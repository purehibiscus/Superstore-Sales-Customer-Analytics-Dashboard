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harts/chartEx2.xml" ContentType="application/vnd.ms-office.chartex+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tables/table8.xml" ContentType="application/vnd.openxmlformats-officedocument.spreadsheetml.tab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tables/table9.xml" ContentType="application/vnd.openxmlformats-officedocument.spreadsheetml.tab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xml"/>
  <Override PartName="/xl/tables/table10.xml" ContentType="application/vnd.openxmlformats-officedocument.spreadsheetml.tab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2.xml" ContentType="application/vnd.openxmlformats-officedocument.drawing+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3.xml" ContentType="application/vnd.openxmlformats-officedocument.drawing+xml"/>
  <Override PartName="/xl/tables/table11.xml" ContentType="application/vnd.openxmlformats-officedocument.spreadsheetml.tab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nadanee\Desktop\to-do\"/>
    </mc:Choice>
  </mc:AlternateContent>
  <xr:revisionPtr revIDLastSave="0" documentId="13_ncr:1_{548F5FB2-1769-4A83-8904-A4DEAEA6505D}" xr6:coauthVersionLast="47" xr6:coauthVersionMax="47" xr10:uidLastSave="{00000000-0000-0000-0000-000000000000}"/>
  <bookViews>
    <workbookView xWindow="-120" yWindow="-120" windowWidth="29040" windowHeight="15720" tabRatio="839" activeTab="1" xr2:uid="{DE32AAAF-10AF-4E76-8E08-66B43DA17D79}"/>
  </bookViews>
  <sheets>
    <sheet name="shopping_trends" sheetId="1" r:id="rId1"/>
    <sheet name="Executive Overview" sheetId="6" r:id="rId2"/>
    <sheet name="Customer &amp; Operations Insights" sheetId="7" r:id="rId3"/>
    <sheet name="KPIs" sheetId="20" state="hidden" r:id="rId4"/>
    <sheet name="Category" sheetId="13" state="hidden" r:id="rId5"/>
    <sheet name="Season" sheetId="11" state="hidden" r:id="rId6"/>
    <sheet name="Location Map chart" sheetId="10" state="hidden" r:id="rId7"/>
    <sheet name="Payment Type" sheetId="12" state="hidden" r:id="rId8"/>
    <sheet name="Gender" sheetId="16" state="hidden" r:id="rId9"/>
    <sheet name="Frequency of Purchase" sheetId="18" state="hidden" r:id="rId10"/>
    <sheet name="Subscriber" sheetId="17" state="hidden" r:id="rId11"/>
    <sheet name="Shipping Method" sheetId="9" state="hidden" r:id="rId12"/>
    <sheet name="Product Size" sheetId="15" state="hidden" r:id="rId13"/>
    <sheet name="Discount" sheetId="19" state="hidden" r:id="rId14"/>
    <sheet name="Top 10 Product" sheetId="14" state="hidden" r:id="rId15"/>
  </sheets>
  <definedNames>
    <definedName name="_xlnm._FilterDatabase" localSheetId="0" hidden="1">shopping_trends!$A$1:$S$3901</definedName>
    <definedName name="_xlchart.v5.0" hidden="1">'Location Map chart'!$A$1</definedName>
    <definedName name="_xlchart.v5.1" hidden="1">'Location Map chart'!$A$2:$A$51</definedName>
    <definedName name="_xlchart.v5.10" hidden="1">'Location Map chart'!$B$1</definedName>
    <definedName name="_xlchart.v5.11" hidden="1">'Location Map chart'!$B$2:$B$51</definedName>
    <definedName name="_xlchart.v5.2" hidden="1">'Location Map chart'!$B$1</definedName>
    <definedName name="_xlchart.v5.3" hidden="1">'Location Map chart'!$B$2:$B$51</definedName>
    <definedName name="_xlchart.v5.4" hidden="1">'Location Map chart'!$A$1</definedName>
    <definedName name="_xlchart.v5.5" hidden="1">'Location Map chart'!$A$2:$A$51</definedName>
    <definedName name="_xlchart.v5.6" hidden="1">'Location Map chart'!$B$1</definedName>
    <definedName name="_xlchart.v5.7" hidden="1">'Location Map chart'!$B$2:$B$51</definedName>
    <definedName name="_xlchart.v5.8" hidden="1">'Location Map chart'!$A$1</definedName>
    <definedName name="_xlchart.v5.9" hidden="1">'Location Map chart'!$A$2:$A$51</definedName>
    <definedName name="Advanced_KPIs">#REF!</definedName>
    <definedName name="Age">shopping_trends!$B$2:$B$3901</definedName>
    <definedName name="Average_Order_Value__AOV">#REF!</definedName>
    <definedName name="Avg_Review_Rating">#REF!</definedName>
    <definedName name="Category">shopping_trends!$E$2:$E$3901</definedName>
    <definedName name="Color">shopping_trends!$I$2:$I$3901</definedName>
    <definedName name="Customer_ID">shopping_trends!$A$2:$A$3901</definedName>
    <definedName name="Discount_Applied">shopping_trends!$O$2:$O$3901</definedName>
    <definedName name="Discount_Applies">#REF!</definedName>
    <definedName name="Express_Shipping_Adoption">#REF!</definedName>
    <definedName name="Frequency_of_Purchases">shopping_trends!$S$2:$S$3901</definedName>
    <definedName name="Gender">shopping_trends!$C$2:$C$3901</definedName>
    <definedName name="Item_Purchased">shopping_trends!$D$2:$D$3901</definedName>
    <definedName name="Location">shopping_trends!$G$2:$G$3901</definedName>
    <definedName name="Payment_Method">shopping_trends!$M$2:$M$3901</definedName>
    <definedName name="Preferred_Payment_Method">shopping_trends!$R$2:$R$3901</definedName>
    <definedName name="Previous_Purchases">shopping_trends!$Q$2:$Q$3901</definedName>
    <definedName name="Promo_Code_Used">shopping_trends!$P$2:$P$3901</definedName>
    <definedName name="Promo_Usage_Rate">#REF!</definedName>
    <definedName name="Purchase_Amount__USD">shopping_trends!$F$2:$F$3901</definedName>
    <definedName name="Repeat_Purchase_Rate">#REF!</definedName>
    <definedName name="Review_Rating">shopping_trends!$K$2:$K$3901</definedName>
    <definedName name="Season">shopping_trends!$J$2:$J$3901</definedName>
    <definedName name="Shipping_Type">shopping_trends!$N$2:$N$3901</definedName>
    <definedName name="Size">shopping_trends!$H$2:$H$3901</definedName>
    <definedName name="Slicer_Category1">#N/A</definedName>
    <definedName name="Slicer_Location">#N/A</definedName>
    <definedName name="Slicer_Payment_Method">#N/A</definedName>
    <definedName name="Slicer_Season">#N/A</definedName>
    <definedName name="Subscriber_Revenue">#REF!</definedName>
    <definedName name="Subscription_Status">shopping_trends!$L$2:$L$3901</definedName>
    <definedName name="Total_Orders">#REF!</definedName>
    <definedName name="Total_Sales__USD">#REF!</definedName>
    <definedName name="Unique_Customers">#REF!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4:slicerCache r:id="rId1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0" l="1"/>
  <c r="B8" i="20"/>
  <c r="D7" i="20"/>
  <c r="B9" i="20" s="1"/>
  <c r="B10" i="20"/>
  <c r="B7" i="20"/>
  <c r="B6" i="20"/>
  <c r="B5" i="20"/>
  <c r="B4" i="20"/>
  <c r="B3" i="20"/>
  <c r="B2" i="14"/>
  <c r="B20" i="14"/>
  <c r="B4" i="14"/>
  <c r="B5" i="14"/>
  <c r="B6" i="14"/>
  <c r="B3" i="14"/>
  <c r="B24" i="14"/>
  <c r="B9" i="14"/>
  <c r="B10" i="14"/>
  <c r="B11" i="14"/>
  <c r="B7" i="14"/>
  <c r="B13" i="14"/>
  <c r="B14" i="14"/>
  <c r="B8" i="14"/>
  <c r="B16" i="14"/>
  <c r="B17" i="14"/>
  <c r="B12" i="14"/>
  <c r="B19" i="14"/>
  <c r="B18" i="14"/>
  <c r="B21" i="14"/>
  <c r="B22" i="14"/>
  <c r="B23" i="14"/>
  <c r="B15" i="14"/>
  <c r="B25" i="14"/>
  <c r="B26" i="14"/>
  <c r="C20" i="14"/>
  <c r="C4" i="14"/>
  <c r="C5" i="14"/>
  <c r="C6" i="14"/>
  <c r="C3" i="14"/>
  <c r="C24" i="14"/>
  <c r="C9" i="14"/>
  <c r="C10" i="14"/>
  <c r="C11" i="14"/>
  <c r="C7" i="14"/>
  <c r="C13" i="14"/>
  <c r="C14" i="14"/>
  <c r="C8" i="14"/>
  <c r="C16" i="14"/>
  <c r="C17" i="14"/>
  <c r="C12" i="14"/>
  <c r="C19" i="14"/>
  <c r="C18" i="14"/>
  <c r="C21" i="14"/>
  <c r="C22" i="14"/>
  <c r="C23" i="14"/>
  <c r="C15" i="14"/>
  <c r="C25" i="14"/>
  <c r="C26" i="14"/>
  <c r="C2" i="14"/>
  <c r="B3" i="15"/>
  <c r="B5" i="15"/>
  <c r="B2" i="15"/>
  <c r="B4" i="15"/>
  <c r="B2" i="9"/>
  <c r="C2" i="9"/>
  <c r="B5" i="9"/>
  <c r="C5" i="9"/>
  <c r="B3" i="9"/>
  <c r="C3" i="9"/>
  <c r="B7" i="9"/>
  <c r="C7" i="9"/>
  <c r="B4" i="9"/>
  <c r="C4" i="9"/>
  <c r="C6" i="9"/>
  <c r="B6" i="9"/>
  <c r="C3" i="17" a="1"/>
  <c r="C3" i="17" s="1"/>
  <c r="C2" i="17" a="1"/>
  <c r="C2" i="17" s="1"/>
  <c r="B2" i="17"/>
  <c r="B3" i="17"/>
  <c r="B8" i="18"/>
  <c r="C8" i="18"/>
  <c r="B3" i="18"/>
  <c r="C3" i="18"/>
  <c r="B4" i="18"/>
  <c r="C4" i="18"/>
  <c r="B6" i="18"/>
  <c r="C6" i="18"/>
  <c r="B5" i="18"/>
  <c r="C5" i="18"/>
  <c r="B2" i="18"/>
  <c r="C2" i="18"/>
  <c r="C7" i="18"/>
  <c r="B7" i="18"/>
  <c r="B2" i="16"/>
  <c r="B3" i="16"/>
  <c r="C3" i="16"/>
  <c r="C2" i="16"/>
  <c r="B6" i="12"/>
  <c r="C6" i="12"/>
  <c r="B4" i="12"/>
  <c r="C4" i="12"/>
  <c r="B5" i="12"/>
  <c r="C5" i="12"/>
  <c r="B3" i="12"/>
  <c r="C3" i="12"/>
  <c r="B7" i="12"/>
  <c r="C7" i="12"/>
  <c r="C2" i="12"/>
  <c r="B2" i="12"/>
  <c r="C3" i="10"/>
  <c r="B3" i="10"/>
  <c r="C4" i="10"/>
  <c r="B4" i="10"/>
  <c r="C5" i="10"/>
  <c r="B5" i="10"/>
  <c r="C6" i="10"/>
  <c r="B6" i="10"/>
  <c r="C7" i="10"/>
  <c r="B7" i="10"/>
  <c r="C8" i="10"/>
  <c r="B8" i="10"/>
  <c r="C9" i="10"/>
  <c r="B9" i="10"/>
  <c r="C10" i="10"/>
  <c r="B10" i="10"/>
  <c r="C11" i="10"/>
  <c r="B11" i="10"/>
  <c r="C12" i="10"/>
  <c r="B12" i="10"/>
  <c r="C13" i="10"/>
  <c r="B13" i="10"/>
  <c r="C14" i="10"/>
  <c r="B14" i="10"/>
  <c r="C15" i="10"/>
  <c r="B15" i="10"/>
  <c r="C16" i="10"/>
  <c r="B16" i="10"/>
  <c r="C17" i="10"/>
  <c r="B17" i="10"/>
  <c r="C18" i="10"/>
  <c r="B18" i="10"/>
  <c r="C19" i="10"/>
  <c r="B19" i="10"/>
  <c r="C20" i="10"/>
  <c r="B20" i="10"/>
  <c r="C21" i="10"/>
  <c r="B21" i="10"/>
  <c r="C22" i="10"/>
  <c r="B22" i="10"/>
  <c r="C23" i="10"/>
  <c r="B23" i="10"/>
  <c r="C24" i="10"/>
  <c r="B24" i="10"/>
  <c r="C25" i="10"/>
  <c r="B25" i="10"/>
  <c r="C26" i="10"/>
  <c r="B26" i="10"/>
  <c r="C27" i="10"/>
  <c r="B27" i="10"/>
  <c r="C28" i="10"/>
  <c r="B28" i="10"/>
  <c r="C29" i="10"/>
  <c r="B29" i="10"/>
  <c r="C30" i="10"/>
  <c r="B30" i="10"/>
  <c r="C31" i="10"/>
  <c r="B31" i="10"/>
  <c r="C32" i="10"/>
  <c r="B32" i="10"/>
  <c r="C33" i="10"/>
  <c r="B33" i="10"/>
  <c r="C34" i="10"/>
  <c r="B34" i="10"/>
  <c r="C35" i="10"/>
  <c r="B35" i="10"/>
  <c r="C36" i="10"/>
  <c r="B36" i="10"/>
  <c r="C37" i="10"/>
  <c r="B37" i="10"/>
  <c r="C38" i="10"/>
  <c r="B38" i="10"/>
  <c r="C39" i="10"/>
  <c r="B39" i="10"/>
  <c r="C40" i="10"/>
  <c r="B40" i="10"/>
  <c r="C41" i="10"/>
  <c r="B41" i="10"/>
  <c r="C42" i="10"/>
  <c r="B42" i="10"/>
  <c r="C43" i="10"/>
  <c r="B43" i="10"/>
  <c r="C44" i="10"/>
  <c r="B44" i="10"/>
  <c r="C45" i="10"/>
  <c r="B45" i="10"/>
  <c r="C46" i="10"/>
  <c r="B46" i="10"/>
  <c r="C47" i="10"/>
  <c r="B47" i="10"/>
  <c r="C48" i="10"/>
  <c r="B48" i="10"/>
  <c r="C49" i="10"/>
  <c r="B49" i="10"/>
  <c r="C50" i="10"/>
  <c r="B50" i="10"/>
  <c r="C51" i="10"/>
  <c r="B51" i="10"/>
  <c r="B2" i="10"/>
  <c r="C2" i="10"/>
  <c r="C3" i="11"/>
  <c r="B3" i="11"/>
  <c r="C5" i="11"/>
  <c r="B5" i="11"/>
  <c r="C2" i="11"/>
  <c r="B2" i="11"/>
  <c r="B4" i="11"/>
  <c r="C4" i="11"/>
  <c r="B4" i="13"/>
  <c r="B5" i="13"/>
  <c r="B3" i="13"/>
  <c r="B2" i="13"/>
  <c r="B3" i="19"/>
  <c r="B2" i="1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<sst xmlns="http://schemas.openxmlformats.org/spreadsheetml/2006/main" count="54772" uniqueCount="178">
  <si>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</si>
  <si>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</si>
  <si>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</si>
  <si>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</si>
  <si>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</si>
  <si>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</si>
  <si>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</si>
  <si>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</si>
  <si>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</si>
  <si>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</si>
  <si>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</si>
  <si>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</si>
  <si>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</si>
  <si>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</si>
  <si>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</si>
  <si>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</si>
  <si>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</si>
  <si>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</si>
  <si>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</si>
  <si>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</si>
  <si>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</si>
  <si>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</si>
  <si>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</si>
  <si>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</si>
  <si>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</si>
  <si>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</si>
  <si>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</si>
  <si>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</si>
  <si>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</si>
  <si>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</si>
  <si>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</si>
  <si>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</si>
  <si>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</si>
  <si>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</si>
  <si>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</si>
  <si>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</si>
  <si>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</si>
  <si>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</si>
  <si>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</si>
  <si>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</si>
  <si>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</si>
  <si>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</si>
  <si>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</si>
  <si>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</si>
  <si>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</si>
  <si>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</si>
  <si>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</si>
  <si>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</si>
  <si>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</si>
  <si>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</si>
  <si>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</si>
  <si>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</si>
  <si>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</si>
  <si>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</si>
  <si>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</si>
  <si>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</si>
  <si>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</si>
  <si>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</si>
  <si>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</si>
  <si>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</si>
  <si>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</si>
  <si>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</si>
  <si>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</si>
  <si>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</si>
  <si>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</si>
  <si>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</si>
  <si>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</si>
  <si>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</si>
  <si>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</si>
  <si>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</si>
  <si>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</si>
  <si>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</si>
  <si>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</si>
  <si>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</si>
  <si>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</si>
  <si>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</si>
  <si>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</si>
  <si>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</si>
  <si>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</si>
  <si>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</si>
  <si>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</si>
  <si>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</si>
  <si>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</si>
  <si>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</si>
  <si>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</si>
  <si>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</si>
  <si>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</si>
  <si>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</si>
  <si>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</si>
  <si>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</si>
  <si>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</si>
  <si>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</si>
  <si>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</si>
  <si>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</si>
  <si>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</si>
  <si>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</si>
  <si>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</si>
  <si>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</si>
  <si>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</si>
  <si>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</si>
  <si>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</si>
  <si>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</si>
  <si>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</si>
  <si>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</si>
  <si>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</si>
  <si>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</si>
  <si>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</si>
  <si>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</si>
  <si>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</si>
  <si>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</si>
  <si>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</si>
  <si>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</si>
  <si>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</si>
  <si>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</si>
  <si>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</si>
  <si>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</si>
  <si>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</si>
  <si>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</si>
  <si>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</si>
  <si>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</si>
  <si>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</si>
  <si>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</si>
  <si>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</si>
  <si>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</si>
  <si>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</si>
  <si>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</si>
  <si>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</si>
  <si>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</si>
  <si>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</si>
  <si>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</si>
  <si>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</si>
  <si>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</si>
  <si>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</si>
  <si>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</si>
  <si>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</si>
  <si>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</si>
  <si>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</si>
  <si>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</si>
  <si>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</si>
  <si>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</si>
  <si>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</si>
  <si>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</si>
  <si>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</si>
  <si>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</si>
  <si>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</si>
  <si>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</si>
  <si>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</si>
  <si>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</si>
  <si>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</si>
  <si>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</si>
  <si>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</si>
  <si>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</si>
  <si>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</si>
  <si>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</si>
  <si>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Total Sales</t>
  </si>
  <si>
    <t>Total Sales Amount</t>
  </si>
  <si>
    <t>Total Orders</t>
  </si>
  <si>
    <t>Repeat Purchase Rate (%)</t>
  </si>
  <si>
    <t>Rate</t>
  </si>
  <si>
    <t>Total Order</t>
  </si>
  <si>
    <t>Total Sales Value</t>
  </si>
  <si>
    <t>AOV</t>
  </si>
  <si>
    <t>Product</t>
  </si>
  <si>
    <t>Frequency of Purchase</t>
  </si>
  <si>
    <t>Subscriber</t>
  </si>
  <si>
    <t>Dicount Applied</t>
  </si>
  <si>
    <t>Total Adoption Rate</t>
  </si>
  <si>
    <t>Toal Sales</t>
  </si>
  <si>
    <t>Payment Type</t>
  </si>
  <si>
    <t>Total Unique Customer</t>
  </si>
  <si>
    <t>Average Order Value ($)</t>
  </si>
  <si>
    <t>Total Sales Revenue ($)</t>
  </si>
  <si>
    <t>Subscriber Revenue Rate (%)</t>
  </si>
  <si>
    <t>Discount Usage Rate (%)</t>
  </si>
  <si>
    <t>Average Review Rating</t>
  </si>
  <si>
    <t>Express Shipping Adoption Rate (%)</t>
  </si>
  <si>
    <t>Total Order Count</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</si>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</sst>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0.00"/>
    <numFmt numFmtId="166"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164" fontId="0" fillId="0" borderId="0" xfId="0" applyNumberFormat="1"/>
    <xf numFmtId="1" fontId="0" fillId="0" borderId="0" xfId="0" applyNumberFormat="1"/>
    <xf numFmtId="165" fontId="0" fillId="0" borderId="0" xfId="0" applyNumberFormat="1"/>
    <xf numFmtId="166" fontId="0" fillId="0" borderId="0" xfId="0" applyNumberFormat="1"/>
    <xf numFmtId="10" fontId="0" fillId="0" borderId="0" xfId="0" applyNumberFormat="1"/>
    <xf numFmtId="9"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6" formatCode="&quot;$&quot;#,##0"/>
    </dxf>
    <dxf>
      <numFmt numFmtId="165" formatCode="&quot;$&quot;#,##0.00"/>
    </dxf>
    <dxf>
      <numFmt numFmtId="166" formatCode="&quot;$&quot;#,##0"/>
    </dxf>
    <dxf>
      <numFmt numFmtId="165" formatCode="&quot;$&quot;#,##0.00"/>
    </dxf>
    <dxf>
      <numFmt numFmtId="166" formatCode="&quot;$&quot;#,##0"/>
    </dxf>
    <dxf>
      <numFmt numFmtId="13" formatCode="0%"/>
    </dxf>
    <dxf>
      <numFmt numFmtId="165" formatCode="&quot;$&quot;#,##0.00"/>
    </dxf>
    <dxf>
      <numFmt numFmtId="0" formatCode="General"/>
    </dxf>
    <dxf>
      <numFmt numFmtId="166" formatCode="&quot;$&quot;#,##0"/>
    </dxf>
    <dxf>
      <numFmt numFmtId="166" formatCode="&quot;$&quot;#,##0"/>
    </dxf>
    <dxf>
      <numFmt numFmtId="166" formatCode="&quot;$&quot;#,##0"/>
    </dxf>
    <dxf>
      <numFmt numFmtId="1" formatCode="0"/>
    </dxf>
    <dxf>
      <numFmt numFmtId="164" formatCode="0.0"/>
    </dxf>
    <dxf>
      <numFmt numFmtId="2" formatCode="0.00"/>
    </dxf>
    <dxf>
      <fill>
        <patternFill patternType="none">
          <bgColor auto="1"/>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2" xr9:uid="{AB57E4D9-7102-44DF-BA8C-1651A087C4F8}">
      <tableStyleElement type="wholeTable" dxfId="14"/>
    </tableStyle>
  </tableStyles>
  <extLst>
    <ext xmlns:x14="http://schemas.microsoft.com/office/spreadsheetml/2009/9/main" uri="{46F421CA-312F-682f-3DD2-61675219B42D}">
      <x14:dxfs count="1">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Sales Seasonality &amp; Order Volume Trend</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Season!$B$1</c:f>
              <c:strCache>
                <c:ptCount val="1"/>
                <c:pt idx="0">
                  <c:v>Total Sales Value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Season!$A$2:$A$5</c:f>
              <c:strCache>
                <c:ptCount val="4"/>
                <c:pt idx="0">
                  <c:v>Fall</c:v>
                </c:pt>
                <c:pt idx="1">
                  <c:v>Spring</c:v>
                </c:pt>
                <c:pt idx="2">
                  <c:v>Winter</c:v>
                </c:pt>
                <c:pt idx="3">
                  <c:v>Summer</c:v>
                </c:pt>
              </c:strCache>
            </c:strRef>
          </c:cat>
          <c:val>
            <c:numRef>
              <c:f>Season!$B$2:$B$5</c:f>
              <c:numCache>
                <c:formatCode>"$"#,##0</c:formatCode>
                <c:ptCount val="4"/>
                <c:pt idx="0">
                  <c:v>60018</c:v>
                </c:pt>
                <c:pt idx="1">
                  <c:v>58679</c:v>
                </c:pt>
                <c:pt idx="2">
                  <c:v>58607</c:v>
                </c:pt>
                <c:pt idx="3">
                  <c:v>55777</c:v>
                </c:pt>
              </c:numCache>
            </c:numRef>
          </c:val>
          <c:extLst>
            <c:ext xmlns:c16="http://schemas.microsoft.com/office/drawing/2014/chart" uri="{C3380CC4-5D6E-409C-BE32-E72D297353CC}">
              <c16:uniqueId val="{00000000-AED6-4107-A8B8-A2728B37DB6E}"/>
            </c:ext>
          </c:extLst>
        </c:ser>
        <c:dLbls>
          <c:dLblPos val="outEnd"/>
          <c:showLegendKey val="0"/>
          <c:showVal val="1"/>
          <c:showCatName val="0"/>
          <c:showSerName val="0"/>
          <c:showPercent val="0"/>
          <c:showBubbleSize val="0"/>
        </c:dLbls>
        <c:gapWidth val="219"/>
        <c:axId val="466726944"/>
        <c:axId val="466719744"/>
      </c:barChart>
      <c:lineChart>
        <c:grouping val="standard"/>
        <c:varyColors val="0"/>
        <c:ser>
          <c:idx val="1"/>
          <c:order val="1"/>
          <c:tx>
            <c:strRef>
              <c:f>Season!$C$1</c:f>
              <c:strCache>
                <c:ptCount val="1"/>
                <c:pt idx="0">
                  <c:v>Total Orders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Season!$A$2:$A$5</c:f>
              <c:strCache>
                <c:ptCount val="4"/>
                <c:pt idx="0">
                  <c:v>Fall</c:v>
                </c:pt>
                <c:pt idx="1">
                  <c:v>Spring</c:v>
                </c:pt>
                <c:pt idx="2">
                  <c:v>Winter</c:v>
                </c:pt>
                <c:pt idx="3">
                  <c:v>Summer</c:v>
                </c:pt>
              </c:strCache>
            </c:strRef>
          </c:cat>
          <c:val>
            <c:numRef>
              <c:f>Season!$C$2:$C$5</c:f>
              <c:numCache>
                <c:formatCode>General</c:formatCode>
                <c:ptCount val="4"/>
                <c:pt idx="0">
                  <c:v>975</c:v>
                </c:pt>
                <c:pt idx="1">
                  <c:v>999</c:v>
                </c:pt>
                <c:pt idx="2">
                  <c:v>971</c:v>
                </c:pt>
                <c:pt idx="3">
                  <c:v>955</c:v>
                </c:pt>
              </c:numCache>
            </c:numRef>
          </c:val>
          <c:smooth val="0"/>
          <c:extLst>
            <c:ext xmlns:c16="http://schemas.microsoft.com/office/drawing/2014/chart" uri="{C3380CC4-5D6E-409C-BE32-E72D297353CC}">
              <c16:uniqueId val="{00000001-AED6-4107-A8B8-A2728B37DB6E}"/>
            </c:ext>
          </c:extLst>
        </c:ser>
        <c:dLbls>
          <c:showLegendKey val="0"/>
          <c:showVal val="0"/>
          <c:showCatName val="0"/>
          <c:showSerName val="0"/>
          <c:showPercent val="0"/>
          <c:showBubbleSize val="0"/>
        </c:dLbls>
        <c:marker val="1"/>
        <c:smooth val="0"/>
        <c:axId val="1868746368"/>
        <c:axId val="1868745888"/>
      </c:lineChart>
      <c:catAx>
        <c:axId val="46672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66719744"/>
        <c:crosses val="autoZero"/>
        <c:auto val="1"/>
        <c:lblAlgn val="ctr"/>
        <c:lblOffset val="100"/>
        <c:noMultiLvlLbl val="0"/>
      </c:catAx>
      <c:valAx>
        <c:axId val="466719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66726944"/>
        <c:crosses val="autoZero"/>
        <c:crossBetween val="between"/>
      </c:valAx>
      <c:valAx>
        <c:axId val="18687458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68746368"/>
        <c:crosses val="max"/>
        <c:crossBetween val="between"/>
      </c:valAx>
      <c:catAx>
        <c:axId val="1868746368"/>
        <c:scaling>
          <c:orientation val="minMax"/>
        </c:scaling>
        <c:delete val="1"/>
        <c:axPos val="b"/>
        <c:numFmt formatCode="General" sourceLinked="1"/>
        <c:majorTickMark val="out"/>
        <c:minorTickMark val="none"/>
        <c:tickLblPos val="nextTo"/>
        <c:crossAx val="186874588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Revenue and Order</a:t>
            </a:r>
            <a:r>
              <a:rPr lang="en-US" b="1" baseline="0"/>
              <a:t> Volume</a:t>
            </a:r>
            <a:r>
              <a:rPr lang="en-US" b="1"/>
              <a:t> by Payment Method</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'Payment Type'!$B$1</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Type'!$A$2:$A$7</c:f>
              <c:strCache>
                <c:ptCount val="6"/>
                <c:pt idx="0">
                  <c:v>Credit Card</c:v>
                </c:pt>
                <c:pt idx="1">
                  <c:v>Venmo</c:v>
                </c:pt>
                <c:pt idx="2">
                  <c:v>Cash</c:v>
                </c:pt>
                <c:pt idx="3">
                  <c:v>PayPal</c:v>
                </c:pt>
                <c:pt idx="4">
                  <c:v>Bank Transfer</c:v>
                </c:pt>
                <c:pt idx="5">
                  <c:v>Debit Card</c:v>
                </c:pt>
              </c:strCache>
            </c:strRef>
          </c:cat>
          <c:val>
            <c:numRef>
              <c:f>'Payment Type'!$B$2:$B$7</c:f>
              <c:numCache>
                <c:formatCode>"$"#,##0</c:formatCode>
                <c:ptCount val="6"/>
                <c:pt idx="0">
                  <c:v>42567</c:v>
                </c:pt>
                <c:pt idx="1">
                  <c:v>39991</c:v>
                </c:pt>
                <c:pt idx="2">
                  <c:v>38833</c:v>
                </c:pt>
                <c:pt idx="3">
                  <c:v>37449</c:v>
                </c:pt>
                <c:pt idx="4">
                  <c:v>37123</c:v>
                </c:pt>
                <c:pt idx="5">
                  <c:v>37118</c:v>
                </c:pt>
              </c:numCache>
            </c:numRef>
          </c:val>
          <c:extLst>
            <c:ext xmlns:c16="http://schemas.microsoft.com/office/drawing/2014/chart" uri="{C3380CC4-5D6E-409C-BE32-E72D297353CC}">
              <c16:uniqueId val="{00000000-A17C-4A5B-A672-8CA6A9E2048A}"/>
            </c:ext>
          </c:extLst>
        </c:ser>
        <c:dLbls>
          <c:dLblPos val="ctr"/>
          <c:showLegendKey val="0"/>
          <c:showVal val="1"/>
          <c:showCatName val="0"/>
          <c:showSerName val="0"/>
          <c:showPercent val="0"/>
          <c:showBubbleSize val="0"/>
        </c:dLbls>
        <c:gapWidth val="34"/>
        <c:axId val="472071264"/>
        <c:axId val="472067904"/>
      </c:barChart>
      <c:lineChart>
        <c:grouping val="standard"/>
        <c:varyColors val="0"/>
        <c:ser>
          <c:idx val="1"/>
          <c:order val="1"/>
          <c:tx>
            <c:strRef>
              <c:f>'Payment Type'!$C$1</c:f>
              <c:strCache>
                <c:ptCount val="1"/>
                <c:pt idx="0">
                  <c:v>Total Orders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Type'!$A$2:$A$7</c:f>
              <c:strCache>
                <c:ptCount val="6"/>
                <c:pt idx="0">
                  <c:v>Credit Card</c:v>
                </c:pt>
                <c:pt idx="1">
                  <c:v>Venmo</c:v>
                </c:pt>
                <c:pt idx="2">
                  <c:v>Cash</c:v>
                </c:pt>
                <c:pt idx="3">
                  <c:v>PayPal</c:v>
                </c:pt>
                <c:pt idx="4">
                  <c:v>Bank Transfer</c:v>
                </c:pt>
                <c:pt idx="5">
                  <c:v>Debit Card</c:v>
                </c:pt>
              </c:strCache>
            </c:strRef>
          </c:cat>
          <c:val>
            <c:numRef>
              <c:f>'Payment Type'!$C$2:$C$7</c:f>
              <c:numCache>
                <c:formatCode>General</c:formatCode>
                <c:ptCount val="6"/>
                <c:pt idx="0">
                  <c:v>696</c:v>
                </c:pt>
                <c:pt idx="1">
                  <c:v>653</c:v>
                </c:pt>
                <c:pt idx="2">
                  <c:v>648</c:v>
                </c:pt>
                <c:pt idx="3">
                  <c:v>638</c:v>
                </c:pt>
                <c:pt idx="4">
                  <c:v>632</c:v>
                </c:pt>
                <c:pt idx="5">
                  <c:v>633</c:v>
                </c:pt>
              </c:numCache>
            </c:numRef>
          </c:val>
          <c:smooth val="0"/>
          <c:extLst>
            <c:ext xmlns:c16="http://schemas.microsoft.com/office/drawing/2014/chart" uri="{C3380CC4-5D6E-409C-BE32-E72D297353CC}">
              <c16:uniqueId val="{00000001-A17C-4A5B-A672-8CA6A9E2048A}"/>
            </c:ext>
          </c:extLst>
        </c:ser>
        <c:dLbls>
          <c:showLegendKey val="0"/>
          <c:showVal val="0"/>
          <c:showCatName val="0"/>
          <c:showSerName val="0"/>
          <c:showPercent val="0"/>
          <c:showBubbleSize val="0"/>
        </c:dLbls>
        <c:marker val="1"/>
        <c:smooth val="0"/>
        <c:axId val="1765197200"/>
        <c:axId val="1765199120"/>
      </c:lineChart>
      <c:catAx>
        <c:axId val="47207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72067904"/>
        <c:crosses val="autoZero"/>
        <c:auto val="1"/>
        <c:lblAlgn val="ctr"/>
        <c:lblOffset val="100"/>
        <c:noMultiLvlLbl val="0"/>
      </c:catAx>
      <c:valAx>
        <c:axId val="472067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72071264"/>
        <c:crosses val="autoZero"/>
        <c:crossBetween val="between"/>
      </c:valAx>
      <c:valAx>
        <c:axId val="17651991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65197200"/>
        <c:crosses val="max"/>
        <c:crossBetween val="between"/>
      </c:valAx>
      <c:catAx>
        <c:axId val="1765197200"/>
        <c:scaling>
          <c:orientation val="minMax"/>
        </c:scaling>
        <c:delete val="1"/>
        <c:axPos val="b"/>
        <c:numFmt formatCode="General" sourceLinked="1"/>
        <c:majorTickMark val="out"/>
        <c:minorTickMark val="none"/>
        <c:tickLblPos val="nextTo"/>
        <c:crossAx val="17651991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Total Sales by Product Category</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Category!$B$1</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Category!$A$2:$A$5</c:f>
              <c:strCache>
                <c:ptCount val="4"/>
                <c:pt idx="0">
                  <c:v>Clothing</c:v>
                </c:pt>
                <c:pt idx="1">
                  <c:v>Accessories</c:v>
                </c:pt>
                <c:pt idx="2">
                  <c:v>Footwear</c:v>
                </c:pt>
                <c:pt idx="3">
                  <c:v>Outerwear</c:v>
                </c:pt>
              </c:strCache>
            </c:strRef>
          </c:cat>
          <c:val>
            <c:numRef>
              <c:f>Category!$B$2:$B$5</c:f>
              <c:numCache>
                <c:formatCode>General</c:formatCode>
                <c:ptCount val="4"/>
                <c:pt idx="0">
                  <c:v>1737</c:v>
                </c:pt>
                <c:pt idx="1">
                  <c:v>1240</c:v>
                </c:pt>
                <c:pt idx="2">
                  <c:v>599</c:v>
                </c:pt>
                <c:pt idx="3">
                  <c:v>324</c:v>
                </c:pt>
              </c:numCache>
            </c:numRef>
          </c:val>
          <c:extLst>
            <c:ext xmlns:c16="http://schemas.microsoft.com/office/drawing/2014/chart" uri="{C3380CC4-5D6E-409C-BE32-E72D297353CC}">
              <c16:uniqueId val="{00000000-286C-4CDA-A4B1-83692756BC1E}"/>
            </c:ext>
          </c:extLst>
        </c:ser>
        <c:dLbls>
          <c:dLblPos val="outEnd"/>
          <c:showLegendKey val="0"/>
          <c:showVal val="1"/>
          <c:showCatName val="0"/>
          <c:showSerName val="0"/>
          <c:showPercent val="0"/>
          <c:showBubbleSize val="0"/>
        </c:dLbls>
        <c:gapWidth val="100"/>
        <c:overlap val="-27"/>
        <c:axId val="482206176"/>
        <c:axId val="482222976"/>
      </c:barChart>
      <c:catAx>
        <c:axId val="48220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82222976"/>
        <c:crosses val="autoZero"/>
        <c:auto val="1"/>
        <c:lblAlgn val="ctr"/>
        <c:lblOffset val="100"/>
        <c:noMultiLvlLbl val="0"/>
      </c:catAx>
      <c:valAx>
        <c:axId val="48222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822061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sz="1400" b="1"/>
              <a:t>Top 10 Products by Revenue</a:t>
            </a:r>
            <a:r>
              <a:rPr lang="en-US" sz="1400" b="1" baseline="0"/>
              <a:t> and AOV</a:t>
            </a:r>
            <a:endParaRPr lang="en-US" sz="1400" b="1"/>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 10 Product'!$B$1</c:f>
              <c:strCache>
                <c:ptCount val="1"/>
                <c:pt idx="0">
                  <c:v>Total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Product'!$A$2:$A$26</c:f>
              <c:strCache>
                <c:ptCount val="10"/>
                <c:pt idx="0">
                  <c:v>Blouse</c:v>
                </c:pt>
                <c:pt idx="1">
                  <c:v>Shirt</c:v>
                </c:pt>
                <c:pt idx="2">
                  <c:v>Dress</c:v>
                </c:pt>
                <c:pt idx="3">
                  <c:v>Pants</c:v>
                </c:pt>
                <c:pt idx="4">
                  <c:v>Jewelry</c:v>
                </c:pt>
                <c:pt idx="5">
                  <c:v>Sunglasses</c:v>
                </c:pt>
                <c:pt idx="6">
                  <c:v>Belt</c:v>
                </c:pt>
                <c:pt idx="7">
                  <c:v>Scarf</c:v>
                </c:pt>
                <c:pt idx="8">
                  <c:v>Sweater</c:v>
                </c:pt>
                <c:pt idx="9">
                  <c:v>Shorts</c:v>
                </c:pt>
              </c:strCache>
            </c:strRef>
          </c:cat>
          <c:val>
            <c:numRef>
              <c:f>'Top 10 Product'!$B$2:$B$26</c:f>
              <c:numCache>
                <c:formatCode>"$"#,##0</c:formatCode>
                <c:ptCount val="10"/>
                <c:pt idx="0">
                  <c:v>10410</c:v>
                </c:pt>
                <c:pt idx="1">
                  <c:v>10332</c:v>
                </c:pt>
                <c:pt idx="2">
                  <c:v>10320</c:v>
                </c:pt>
                <c:pt idx="3">
                  <c:v>10090</c:v>
                </c:pt>
                <c:pt idx="4">
                  <c:v>10010</c:v>
                </c:pt>
                <c:pt idx="5">
                  <c:v>9649</c:v>
                </c:pt>
                <c:pt idx="6">
                  <c:v>9635</c:v>
                </c:pt>
                <c:pt idx="7">
                  <c:v>9561</c:v>
                </c:pt>
                <c:pt idx="8">
                  <c:v>9462</c:v>
                </c:pt>
                <c:pt idx="9">
                  <c:v>9433</c:v>
                </c:pt>
              </c:numCache>
            </c:numRef>
          </c:val>
          <c:extLst>
            <c:ext xmlns:c16="http://schemas.microsoft.com/office/drawing/2014/chart" uri="{C3380CC4-5D6E-409C-BE32-E72D297353CC}">
              <c16:uniqueId val="{00000000-F641-48E4-9B53-17D5E159F9FF}"/>
            </c:ext>
          </c:extLst>
        </c:ser>
        <c:dLbls>
          <c:dLblPos val="ctr"/>
          <c:showLegendKey val="0"/>
          <c:showVal val="1"/>
          <c:showCatName val="0"/>
          <c:showSerName val="0"/>
          <c:showPercent val="0"/>
          <c:showBubbleSize val="0"/>
        </c:dLbls>
        <c:gapWidth val="34"/>
        <c:axId val="1970945392"/>
        <c:axId val="1970947312"/>
      </c:barChart>
      <c:lineChart>
        <c:grouping val="standard"/>
        <c:varyColors val="0"/>
        <c:ser>
          <c:idx val="1"/>
          <c:order val="1"/>
          <c:tx>
            <c:strRef>
              <c:f>'Top 10 Product'!$C$1</c:f>
              <c:strCache>
                <c:ptCount val="1"/>
                <c:pt idx="0">
                  <c:v>AOV</c:v>
                </c:pt>
              </c:strCache>
            </c:strRef>
          </c:tx>
          <c:spPr>
            <a:ln w="28575" cap="rnd">
              <a:solidFill>
                <a:schemeClr val="accent2"/>
              </a:solidFill>
              <a:round/>
            </a:ln>
            <a:effectLst/>
          </c:spPr>
          <c:marker>
            <c:symbol val="none"/>
          </c:marker>
          <c:dLbls>
            <c:spPr>
              <a:solidFill>
                <a:schemeClr val="bg1"/>
              </a:solid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Product'!$A$2:$A$26</c:f>
              <c:strCache>
                <c:ptCount val="10"/>
                <c:pt idx="0">
                  <c:v>Blouse</c:v>
                </c:pt>
                <c:pt idx="1">
                  <c:v>Shirt</c:v>
                </c:pt>
                <c:pt idx="2">
                  <c:v>Dress</c:v>
                </c:pt>
                <c:pt idx="3">
                  <c:v>Pants</c:v>
                </c:pt>
                <c:pt idx="4">
                  <c:v>Jewelry</c:v>
                </c:pt>
                <c:pt idx="5">
                  <c:v>Sunglasses</c:v>
                </c:pt>
                <c:pt idx="6">
                  <c:v>Belt</c:v>
                </c:pt>
                <c:pt idx="7">
                  <c:v>Scarf</c:v>
                </c:pt>
                <c:pt idx="8">
                  <c:v>Sweater</c:v>
                </c:pt>
                <c:pt idx="9">
                  <c:v>Shorts</c:v>
                </c:pt>
              </c:strCache>
            </c:strRef>
          </c:cat>
          <c:val>
            <c:numRef>
              <c:f>'Top 10 Product'!$C$2:$C$26</c:f>
              <c:numCache>
                <c:formatCode>"$"#,##0.00</c:formatCode>
                <c:ptCount val="10"/>
                <c:pt idx="0">
                  <c:v>60.877192982456137</c:v>
                </c:pt>
                <c:pt idx="1">
                  <c:v>61.136094674556212</c:v>
                </c:pt>
                <c:pt idx="2">
                  <c:v>62.168674698795179</c:v>
                </c:pt>
                <c:pt idx="3">
                  <c:v>59.005847953216374</c:v>
                </c:pt>
                <c:pt idx="4">
                  <c:v>58.538011695906434</c:v>
                </c:pt>
                <c:pt idx="5">
                  <c:v>59.931677018633543</c:v>
                </c:pt>
                <c:pt idx="6">
                  <c:v>59.844720496894411</c:v>
                </c:pt>
                <c:pt idx="7">
                  <c:v>60.898089171974519</c:v>
                </c:pt>
                <c:pt idx="8">
                  <c:v>57.695121951219512</c:v>
                </c:pt>
                <c:pt idx="9">
                  <c:v>60.082802547770697</c:v>
                </c:pt>
              </c:numCache>
            </c:numRef>
          </c:val>
          <c:smooth val="0"/>
          <c:extLst>
            <c:ext xmlns:c16="http://schemas.microsoft.com/office/drawing/2014/chart" uri="{C3380CC4-5D6E-409C-BE32-E72D297353CC}">
              <c16:uniqueId val="{00000001-F641-48E4-9B53-17D5E159F9FF}"/>
            </c:ext>
          </c:extLst>
        </c:ser>
        <c:dLbls>
          <c:showLegendKey val="0"/>
          <c:showVal val="0"/>
          <c:showCatName val="0"/>
          <c:showSerName val="0"/>
          <c:showPercent val="0"/>
          <c:showBubbleSize val="0"/>
        </c:dLbls>
        <c:marker val="1"/>
        <c:smooth val="0"/>
        <c:axId val="475030368"/>
        <c:axId val="475037568"/>
      </c:lineChart>
      <c:catAx>
        <c:axId val="197094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70947312"/>
        <c:crosses val="autoZero"/>
        <c:auto val="1"/>
        <c:lblAlgn val="ctr"/>
        <c:lblOffset val="100"/>
        <c:noMultiLvlLbl val="0"/>
      </c:catAx>
      <c:valAx>
        <c:axId val="1970947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70945392"/>
        <c:crosses val="autoZero"/>
        <c:crossBetween val="between"/>
      </c:valAx>
      <c:valAx>
        <c:axId val="475037568"/>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75030368"/>
        <c:crosses val="max"/>
        <c:crossBetween val="between"/>
      </c:valAx>
      <c:catAx>
        <c:axId val="475030368"/>
        <c:scaling>
          <c:orientation val="minMax"/>
        </c:scaling>
        <c:delete val="1"/>
        <c:axPos val="b"/>
        <c:numFmt formatCode="General" sourceLinked="1"/>
        <c:majorTickMark val="out"/>
        <c:minorTickMark val="none"/>
        <c:tickLblPos val="nextTo"/>
        <c:crossAx val="4750375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Impact</a:t>
            </a:r>
            <a:r>
              <a:rPr lang="en-US" b="1" baseline="0"/>
              <a:t> of Discounts on Order Volume</a:t>
            </a:r>
            <a:endParaRPr lang="en-US" b="1"/>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Discount!$A$2</c:f>
              <c:strCache>
                <c:ptCount val="1"/>
                <c:pt idx="0">
                  <c:v>Yes</c:v>
                </c:pt>
              </c:strCache>
            </c:strRef>
          </c:tx>
          <c:spPr>
            <a:solidFill>
              <a:schemeClr val="accent1"/>
            </a:solidFill>
            <a:ln w="19050">
              <a:noFill/>
            </a:ln>
            <a:effectLst/>
          </c:spPr>
          <c:invertIfNegative val="0"/>
          <c:dPt>
            <c:idx val="0"/>
            <c:invertIfNegative val="0"/>
            <c:bubble3D val="0"/>
            <c:spPr>
              <a:solidFill>
                <a:schemeClr val="accent1"/>
              </a:solidFill>
              <a:ln w="19050">
                <a:noFill/>
              </a:ln>
              <a:effectLst/>
            </c:spPr>
            <c:extLst>
              <c:ext xmlns:c16="http://schemas.microsoft.com/office/drawing/2014/chart" uri="{C3380CC4-5D6E-409C-BE32-E72D297353CC}">
                <c16:uniqueId val="{00000001-D62F-4E18-9BEA-E18976B8A0E5}"/>
              </c:ext>
            </c:extLst>
          </c:dPt>
          <c:dPt>
            <c:idx val="1"/>
            <c:invertIfNegative val="0"/>
            <c:bubble3D val="0"/>
            <c:spPr>
              <a:solidFill>
                <a:schemeClr val="accent1"/>
              </a:solidFill>
              <a:ln w="19050">
                <a:noFill/>
              </a:ln>
              <a:effectLst/>
            </c:spPr>
            <c:extLst>
              <c:ext xmlns:c16="http://schemas.microsoft.com/office/drawing/2014/chart" uri="{C3380CC4-5D6E-409C-BE32-E72D297353CC}">
                <c16:uniqueId val="{00000003-D62F-4E18-9BEA-E18976B8A0E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Discount!$B$1</c:f>
              <c:strCache>
                <c:ptCount val="1"/>
                <c:pt idx="0">
                  <c:v>Total Orders</c:v>
                </c:pt>
              </c:strCache>
            </c:strRef>
          </c:cat>
          <c:val>
            <c:numRef>
              <c:f>Discount!$B$2</c:f>
              <c:numCache>
                <c:formatCode>General</c:formatCode>
                <c:ptCount val="1"/>
                <c:pt idx="0">
                  <c:v>1677</c:v>
                </c:pt>
              </c:numCache>
            </c:numRef>
          </c:val>
          <c:extLst>
            <c:ext xmlns:c16="http://schemas.microsoft.com/office/drawing/2014/chart" uri="{C3380CC4-5D6E-409C-BE32-E72D297353CC}">
              <c16:uniqueId val="{00000004-D62F-4E18-9BEA-E18976B8A0E5}"/>
            </c:ext>
          </c:extLst>
        </c:ser>
        <c:ser>
          <c:idx val="1"/>
          <c:order val="1"/>
          <c:tx>
            <c:strRef>
              <c:f>Discount!$A$3</c:f>
              <c:strCache>
                <c:ptCount val="1"/>
                <c:pt idx="0">
                  <c:v>No</c:v>
                </c:pt>
              </c:strCache>
            </c:strRef>
          </c:tx>
          <c:spPr>
            <a:solidFill>
              <a:schemeClr val="accent2"/>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Discount!$B$1</c:f>
              <c:strCache>
                <c:ptCount val="1"/>
                <c:pt idx="0">
                  <c:v>Total Orders</c:v>
                </c:pt>
              </c:strCache>
            </c:strRef>
          </c:cat>
          <c:val>
            <c:numRef>
              <c:f>Discount!$B$3</c:f>
              <c:numCache>
                <c:formatCode>General</c:formatCode>
                <c:ptCount val="1"/>
                <c:pt idx="0">
                  <c:v>2223</c:v>
                </c:pt>
              </c:numCache>
            </c:numRef>
          </c:val>
          <c:extLst>
            <c:ext xmlns:c16="http://schemas.microsoft.com/office/drawing/2014/chart" uri="{C3380CC4-5D6E-409C-BE32-E72D297353CC}">
              <c16:uniqueId val="{00000005-D62F-4E18-9BEA-E18976B8A0E5}"/>
            </c:ext>
          </c:extLst>
        </c:ser>
        <c:dLbls>
          <c:dLblPos val="outEnd"/>
          <c:showLegendKey val="0"/>
          <c:showVal val="1"/>
          <c:showCatName val="0"/>
          <c:showSerName val="0"/>
          <c:showPercent val="0"/>
          <c:showBubbleSize val="0"/>
        </c:dLbls>
        <c:gapWidth val="100"/>
        <c:overlap val="-14"/>
        <c:axId val="1969074960"/>
        <c:axId val="1969077840"/>
      </c:barChart>
      <c:catAx>
        <c:axId val="1969074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69077840"/>
        <c:auto val="1"/>
        <c:lblAlgn val="ctr"/>
        <c:lblOffset val="100"/>
        <c:noMultiLvlLbl val="0"/>
      </c:catAx>
      <c:valAx>
        <c:axId val="196907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69074960"/>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Order Distribution by Product Size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'Product Size'!$A$2</c:f>
              <c:strCache>
                <c:ptCount val="1"/>
                <c:pt idx="0">
                  <c:v>XL</c:v>
                </c:pt>
              </c:strCache>
            </c:strRef>
          </c:tx>
          <c:spPr>
            <a:solidFill>
              <a:schemeClr val="accent1"/>
            </a:solidFill>
            <a:ln w="19050">
              <a:noFill/>
            </a:ln>
            <a:effectLst/>
          </c:spPr>
          <c:invertIfNegative val="0"/>
          <c:dPt>
            <c:idx val="0"/>
            <c:invertIfNegative val="0"/>
            <c:bubble3D val="0"/>
            <c:spPr>
              <a:solidFill>
                <a:schemeClr val="accent1"/>
              </a:solidFill>
              <a:ln w="19050">
                <a:noFill/>
              </a:ln>
              <a:effectLst/>
            </c:spPr>
            <c:extLst>
              <c:ext xmlns:c16="http://schemas.microsoft.com/office/drawing/2014/chart" uri="{C3380CC4-5D6E-409C-BE32-E72D297353CC}">
                <c16:uniqueId val="{00000001-E9DD-4975-AAB7-C18D0CC84D16}"/>
              </c:ext>
            </c:extLst>
          </c:dPt>
          <c:dPt>
            <c:idx val="1"/>
            <c:invertIfNegative val="0"/>
            <c:bubble3D val="0"/>
            <c:spPr>
              <a:solidFill>
                <a:schemeClr val="accent1"/>
              </a:solidFill>
              <a:ln w="19050">
                <a:noFill/>
              </a:ln>
              <a:effectLst/>
            </c:spPr>
            <c:extLst>
              <c:ext xmlns:c16="http://schemas.microsoft.com/office/drawing/2014/chart" uri="{C3380CC4-5D6E-409C-BE32-E72D297353CC}">
                <c16:uniqueId val="{00000003-E9DD-4975-AAB7-C18D0CC84D16}"/>
              </c:ext>
            </c:extLst>
          </c:dPt>
          <c:dPt>
            <c:idx val="2"/>
            <c:invertIfNegative val="0"/>
            <c:bubble3D val="0"/>
            <c:spPr>
              <a:solidFill>
                <a:schemeClr val="accent1"/>
              </a:solidFill>
              <a:ln w="19050">
                <a:noFill/>
              </a:ln>
              <a:effectLst/>
            </c:spPr>
            <c:extLst>
              <c:ext xmlns:c16="http://schemas.microsoft.com/office/drawing/2014/chart" uri="{C3380CC4-5D6E-409C-BE32-E72D297353CC}">
                <c16:uniqueId val="{00000005-E9DD-4975-AAB7-C18D0CC84D16}"/>
              </c:ext>
            </c:extLst>
          </c:dPt>
          <c:dPt>
            <c:idx val="3"/>
            <c:invertIfNegative val="0"/>
            <c:bubble3D val="0"/>
            <c:spPr>
              <a:solidFill>
                <a:schemeClr val="accent1"/>
              </a:solidFill>
              <a:ln w="19050">
                <a:noFill/>
              </a:ln>
              <a:effectLst/>
            </c:spPr>
            <c:extLst>
              <c:ext xmlns:c16="http://schemas.microsoft.com/office/drawing/2014/chart" uri="{C3380CC4-5D6E-409C-BE32-E72D297353CC}">
                <c16:uniqueId val="{00000007-E9DD-4975-AAB7-C18D0CC84D1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Size'!$A$1</c:f>
              <c:strCache>
                <c:ptCount val="1"/>
                <c:pt idx="0">
                  <c:v>Size</c:v>
                </c:pt>
              </c:strCache>
            </c:strRef>
          </c:cat>
          <c:val>
            <c:numRef>
              <c:f>'Product Size'!$B$2</c:f>
              <c:numCache>
                <c:formatCode>"$"#,##0</c:formatCode>
                <c:ptCount val="1"/>
                <c:pt idx="0">
                  <c:v>25779</c:v>
                </c:pt>
              </c:numCache>
            </c:numRef>
          </c:val>
          <c:extLst>
            <c:ext xmlns:c16="http://schemas.microsoft.com/office/drawing/2014/chart" uri="{C3380CC4-5D6E-409C-BE32-E72D297353CC}">
              <c16:uniqueId val="{00000008-E9DD-4975-AAB7-C18D0CC84D16}"/>
            </c:ext>
          </c:extLst>
        </c:ser>
        <c:ser>
          <c:idx val="1"/>
          <c:order val="1"/>
          <c:tx>
            <c:strRef>
              <c:f>'Product Size'!$A$3</c:f>
              <c:strCache>
                <c:ptCount val="1"/>
                <c:pt idx="0">
                  <c:v>S</c:v>
                </c:pt>
              </c:strCache>
            </c:strRef>
          </c:tx>
          <c:spPr>
            <a:solidFill>
              <a:schemeClr val="accent2"/>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Size'!$A$1</c:f>
              <c:strCache>
                <c:ptCount val="1"/>
                <c:pt idx="0">
                  <c:v>Size</c:v>
                </c:pt>
              </c:strCache>
            </c:strRef>
          </c:cat>
          <c:val>
            <c:numRef>
              <c:f>'Product Size'!$B$3</c:f>
              <c:numCache>
                <c:formatCode>"$"#,##0</c:formatCode>
                <c:ptCount val="1"/>
                <c:pt idx="0">
                  <c:v>40468</c:v>
                </c:pt>
              </c:numCache>
            </c:numRef>
          </c:val>
          <c:extLst>
            <c:ext xmlns:c16="http://schemas.microsoft.com/office/drawing/2014/chart" uri="{C3380CC4-5D6E-409C-BE32-E72D297353CC}">
              <c16:uniqueId val="{00000009-E9DD-4975-AAB7-C18D0CC84D16}"/>
            </c:ext>
          </c:extLst>
        </c:ser>
        <c:ser>
          <c:idx val="2"/>
          <c:order val="2"/>
          <c:tx>
            <c:strRef>
              <c:f>'Product Size'!$A$4</c:f>
              <c:strCache>
                <c:ptCount val="1"/>
                <c:pt idx="0">
                  <c:v>L</c:v>
                </c:pt>
              </c:strCache>
            </c:strRef>
          </c:tx>
          <c:spPr>
            <a:solidFill>
              <a:schemeClr val="accent3"/>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Size'!$A$1</c:f>
              <c:strCache>
                <c:ptCount val="1"/>
                <c:pt idx="0">
                  <c:v>Size</c:v>
                </c:pt>
              </c:strCache>
            </c:strRef>
          </c:cat>
          <c:val>
            <c:numRef>
              <c:f>'Product Size'!$B$4</c:f>
              <c:numCache>
                <c:formatCode>"$"#,##0</c:formatCode>
                <c:ptCount val="1"/>
                <c:pt idx="0">
                  <c:v>61667</c:v>
                </c:pt>
              </c:numCache>
            </c:numRef>
          </c:val>
          <c:extLst>
            <c:ext xmlns:c16="http://schemas.microsoft.com/office/drawing/2014/chart" uri="{C3380CC4-5D6E-409C-BE32-E72D297353CC}">
              <c16:uniqueId val="{0000000A-E9DD-4975-AAB7-C18D0CC84D16}"/>
            </c:ext>
          </c:extLst>
        </c:ser>
        <c:ser>
          <c:idx val="3"/>
          <c:order val="3"/>
          <c:tx>
            <c:strRef>
              <c:f>'Product Size'!$A$5</c:f>
              <c:strCache>
                <c:ptCount val="1"/>
                <c:pt idx="0">
                  <c:v>M</c:v>
                </c:pt>
              </c:strCache>
            </c:strRef>
          </c:tx>
          <c:spPr>
            <a:solidFill>
              <a:schemeClr val="accent4"/>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Size'!$A$1</c:f>
              <c:strCache>
                <c:ptCount val="1"/>
                <c:pt idx="0">
                  <c:v>Size</c:v>
                </c:pt>
              </c:strCache>
            </c:strRef>
          </c:cat>
          <c:val>
            <c:numRef>
              <c:f>'Product Size'!$B$5</c:f>
              <c:numCache>
                <c:formatCode>"$"#,##0</c:formatCode>
                <c:ptCount val="1"/>
                <c:pt idx="0">
                  <c:v>105167</c:v>
                </c:pt>
              </c:numCache>
            </c:numRef>
          </c:val>
          <c:extLst>
            <c:ext xmlns:c16="http://schemas.microsoft.com/office/drawing/2014/chart" uri="{C3380CC4-5D6E-409C-BE32-E72D297353CC}">
              <c16:uniqueId val="{0000000B-E9DD-4975-AAB7-C18D0CC84D16}"/>
            </c:ext>
          </c:extLst>
        </c:ser>
        <c:dLbls>
          <c:dLblPos val="outEnd"/>
          <c:showLegendKey val="0"/>
          <c:showVal val="1"/>
          <c:showCatName val="0"/>
          <c:showSerName val="0"/>
          <c:showPercent val="0"/>
          <c:showBubbleSize val="0"/>
        </c:dLbls>
        <c:gapWidth val="100"/>
        <c:overlap val="-14"/>
        <c:axId val="1966320768"/>
        <c:axId val="1966312608"/>
      </c:barChart>
      <c:valAx>
        <c:axId val="19663126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66320768"/>
        <c:crossBetween val="between"/>
      </c:valAx>
      <c:catAx>
        <c:axId val="1966320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6631260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Shipping Method</a:t>
            </a:r>
            <a:r>
              <a:rPr lang="en-US" b="1" baseline="0"/>
              <a:t> Performance: </a:t>
            </a:r>
            <a:r>
              <a:rPr lang="en-US" b="1"/>
              <a:t>Orders and AOV</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'Shipping Method'!$B$1</c:f>
              <c:strCache>
                <c:ptCount val="1"/>
                <c:pt idx="0">
                  <c:v>Total Order</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Method'!$A$2:$A$7</c:f>
              <c:strCache>
                <c:ptCount val="6"/>
                <c:pt idx="0">
                  <c:v>Free Shipping</c:v>
                </c:pt>
                <c:pt idx="1">
                  <c:v>Standard</c:v>
                </c:pt>
                <c:pt idx="2">
                  <c:v>Store Pickup</c:v>
                </c:pt>
                <c:pt idx="3">
                  <c:v>Next Day Air</c:v>
                </c:pt>
                <c:pt idx="4">
                  <c:v>Express</c:v>
                </c:pt>
                <c:pt idx="5">
                  <c:v>2-Day Shipping</c:v>
                </c:pt>
              </c:strCache>
            </c:strRef>
          </c:cat>
          <c:val>
            <c:numRef>
              <c:f>'Shipping Method'!$B$2:$B$7</c:f>
              <c:numCache>
                <c:formatCode>General</c:formatCode>
                <c:ptCount val="6"/>
                <c:pt idx="0">
                  <c:v>675</c:v>
                </c:pt>
                <c:pt idx="1">
                  <c:v>654</c:v>
                </c:pt>
                <c:pt idx="2">
                  <c:v>650</c:v>
                </c:pt>
                <c:pt idx="3">
                  <c:v>648</c:v>
                </c:pt>
                <c:pt idx="4">
                  <c:v>646</c:v>
                </c:pt>
                <c:pt idx="5">
                  <c:v>627</c:v>
                </c:pt>
              </c:numCache>
            </c:numRef>
          </c:val>
          <c:extLst>
            <c:ext xmlns:c16="http://schemas.microsoft.com/office/drawing/2014/chart" uri="{C3380CC4-5D6E-409C-BE32-E72D297353CC}">
              <c16:uniqueId val="{00000000-AA38-4B6C-A02E-1E4445D910D7}"/>
            </c:ext>
          </c:extLst>
        </c:ser>
        <c:ser>
          <c:idx val="1"/>
          <c:order val="1"/>
          <c:tx>
            <c:strRef>
              <c:f>'Shipping Method'!$C$1</c:f>
              <c:strCache>
                <c:ptCount val="1"/>
                <c:pt idx="0">
                  <c:v>AOV</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Method'!$A$2:$A$7</c:f>
              <c:strCache>
                <c:ptCount val="6"/>
                <c:pt idx="0">
                  <c:v>Free Shipping</c:v>
                </c:pt>
                <c:pt idx="1">
                  <c:v>Standard</c:v>
                </c:pt>
                <c:pt idx="2">
                  <c:v>Store Pickup</c:v>
                </c:pt>
                <c:pt idx="3">
                  <c:v>Next Day Air</c:v>
                </c:pt>
                <c:pt idx="4">
                  <c:v>Express</c:v>
                </c:pt>
                <c:pt idx="5">
                  <c:v>2-Day Shipping</c:v>
                </c:pt>
              </c:strCache>
            </c:strRef>
          </c:cat>
          <c:val>
            <c:numRef>
              <c:f>'Shipping Method'!$C$2:$C$7</c:f>
              <c:numCache>
                <c:formatCode>"$"#,##0.00</c:formatCode>
                <c:ptCount val="6"/>
                <c:pt idx="0">
                  <c:v>60.410370370370373</c:v>
                </c:pt>
                <c:pt idx="1">
                  <c:v>58.460244648318046</c:v>
                </c:pt>
                <c:pt idx="2">
                  <c:v>59.893846153846155</c:v>
                </c:pt>
                <c:pt idx="3">
                  <c:v>58.631172839506171</c:v>
                </c:pt>
                <c:pt idx="4">
                  <c:v>60.475232198142415</c:v>
                </c:pt>
                <c:pt idx="5">
                  <c:v>60.733652312599681</c:v>
                </c:pt>
              </c:numCache>
            </c:numRef>
          </c:val>
          <c:extLst>
            <c:ext xmlns:c16="http://schemas.microsoft.com/office/drawing/2014/chart" uri="{C3380CC4-5D6E-409C-BE32-E72D297353CC}">
              <c16:uniqueId val="{00000001-AA38-4B6C-A02E-1E4445D910D7}"/>
            </c:ext>
          </c:extLst>
        </c:ser>
        <c:dLbls>
          <c:dLblPos val="ctr"/>
          <c:showLegendKey val="0"/>
          <c:showVal val="1"/>
          <c:showCatName val="0"/>
          <c:showSerName val="0"/>
          <c:showPercent val="0"/>
          <c:showBubbleSize val="0"/>
        </c:dLbls>
        <c:gapWidth val="82"/>
        <c:overlap val="100"/>
        <c:axId val="565787840"/>
        <c:axId val="565782080"/>
      </c:barChart>
      <c:catAx>
        <c:axId val="56578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5782080"/>
        <c:crosses val="autoZero"/>
        <c:auto val="1"/>
        <c:lblAlgn val="ctr"/>
        <c:lblOffset val="100"/>
        <c:noMultiLvlLbl val="0"/>
      </c:catAx>
      <c:valAx>
        <c:axId val="56578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578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Subscriber vs Non-Subscriber Revenue Contribution</a:t>
            </a:r>
          </a:p>
        </c:rich>
      </c:tx>
      <c:layout>
        <c:manualLayout>
          <c:xMode val="edge"/>
          <c:yMode val="edge"/>
          <c:x val="0.1563674080486829"/>
          <c:y val="2.7777777777777776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Subscriber!$B$1</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Subscriber!$A$2:$A$3</c:f>
              <c:strCache>
                <c:ptCount val="2"/>
                <c:pt idx="0">
                  <c:v>Yes</c:v>
                </c:pt>
                <c:pt idx="1">
                  <c:v>No</c:v>
                </c:pt>
              </c:strCache>
            </c:strRef>
          </c:cat>
          <c:val>
            <c:numRef>
              <c:f>Subscriber!$B$2:$B$3</c:f>
              <c:numCache>
                <c:formatCode>"$"#,##0</c:formatCode>
                <c:ptCount val="2"/>
                <c:pt idx="0">
                  <c:v>62645</c:v>
                </c:pt>
                <c:pt idx="1">
                  <c:v>170436</c:v>
                </c:pt>
              </c:numCache>
            </c:numRef>
          </c:val>
          <c:extLst>
            <c:ext xmlns:c16="http://schemas.microsoft.com/office/drawing/2014/chart" uri="{C3380CC4-5D6E-409C-BE32-E72D297353CC}">
              <c16:uniqueId val="{00000000-1A42-4AEB-A46C-5F402B29A695}"/>
            </c:ext>
          </c:extLst>
        </c:ser>
        <c:dLbls>
          <c:showLegendKey val="0"/>
          <c:showVal val="1"/>
          <c:showCatName val="0"/>
          <c:showSerName val="0"/>
          <c:showPercent val="0"/>
          <c:showBubbleSize val="0"/>
        </c:dLbls>
        <c:gapWidth val="134"/>
        <c:overlap val="-27"/>
        <c:axId val="1951871104"/>
        <c:axId val="1951872064"/>
      </c:barChart>
      <c:lineChart>
        <c:grouping val="standard"/>
        <c:varyColors val="0"/>
        <c:ser>
          <c:idx val="1"/>
          <c:order val="1"/>
          <c:tx>
            <c:strRef>
              <c:f>Subscriber!$C$1</c:f>
              <c:strCache>
                <c:ptCount val="1"/>
                <c:pt idx="0">
                  <c:v>Total Adoption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Subscriber!$A$2:$A$3</c:f>
              <c:strCache>
                <c:ptCount val="2"/>
                <c:pt idx="0">
                  <c:v>Yes</c:v>
                </c:pt>
                <c:pt idx="1">
                  <c:v>No</c:v>
                </c:pt>
              </c:strCache>
            </c:strRef>
          </c:cat>
          <c:val>
            <c:numRef>
              <c:f>Subscriber!$C$2:$C$3</c:f>
              <c:numCache>
                <c:formatCode>0%</c:formatCode>
                <c:ptCount val="2"/>
                <c:pt idx="0">
                  <c:v>0.27</c:v>
                </c:pt>
                <c:pt idx="1">
                  <c:v>0.73</c:v>
                </c:pt>
              </c:numCache>
            </c:numRef>
          </c:val>
          <c:smooth val="0"/>
          <c:extLst>
            <c:ext xmlns:c16="http://schemas.microsoft.com/office/drawing/2014/chart" uri="{C3380CC4-5D6E-409C-BE32-E72D297353CC}">
              <c16:uniqueId val="{00000001-1A42-4AEB-A46C-5F402B29A695}"/>
            </c:ext>
          </c:extLst>
        </c:ser>
        <c:dLbls>
          <c:showLegendKey val="0"/>
          <c:showVal val="1"/>
          <c:showCatName val="0"/>
          <c:showSerName val="0"/>
          <c:showPercent val="0"/>
          <c:showBubbleSize val="0"/>
        </c:dLbls>
        <c:marker val="1"/>
        <c:smooth val="0"/>
        <c:axId val="466123984"/>
        <c:axId val="466124944"/>
      </c:lineChart>
      <c:catAx>
        <c:axId val="195187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51872064"/>
        <c:crosses val="autoZero"/>
        <c:auto val="1"/>
        <c:lblAlgn val="ctr"/>
        <c:lblOffset val="100"/>
        <c:noMultiLvlLbl val="0"/>
      </c:catAx>
      <c:valAx>
        <c:axId val="1951872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51871104"/>
        <c:crosses val="autoZero"/>
        <c:crossBetween val="between"/>
      </c:valAx>
      <c:valAx>
        <c:axId val="46612494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66123984"/>
        <c:crosses val="max"/>
        <c:crossBetween val="between"/>
      </c:valAx>
      <c:catAx>
        <c:axId val="466123984"/>
        <c:scaling>
          <c:orientation val="minMax"/>
        </c:scaling>
        <c:delete val="1"/>
        <c:axPos val="b"/>
        <c:numFmt formatCode="General" sourceLinked="1"/>
        <c:majorTickMark val="none"/>
        <c:minorTickMark val="none"/>
        <c:tickLblPos val="nextTo"/>
        <c:crossAx val="466124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Purchase Frequency Analysis: Orders and AOV</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'Frequency of Purchase'!$B$1</c:f>
              <c:strCache>
                <c:ptCount val="1"/>
                <c:pt idx="0">
                  <c:v>Total Order</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Purchase'!$A$2:$A$8</c:f>
              <c:strCache>
                <c:ptCount val="7"/>
                <c:pt idx="0">
                  <c:v>Every 3 Months</c:v>
                </c:pt>
                <c:pt idx="1">
                  <c:v>Annually</c:v>
                </c:pt>
                <c:pt idx="2">
                  <c:v>Quarterly</c:v>
                </c:pt>
                <c:pt idx="3">
                  <c:v>Monthly</c:v>
                </c:pt>
                <c:pt idx="4">
                  <c:v>Bi-Weekly</c:v>
                </c:pt>
                <c:pt idx="5">
                  <c:v>Fortnightly</c:v>
                </c:pt>
                <c:pt idx="6">
                  <c:v>Weekly</c:v>
                </c:pt>
              </c:strCache>
            </c:strRef>
          </c:cat>
          <c:val>
            <c:numRef>
              <c:f>'Frequency of Purchase'!$B$2:$B$8</c:f>
              <c:numCache>
                <c:formatCode>General</c:formatCode>
                <c:ptCount val="7"/>
                <c:pt idx="0">
                  <c:v>584</c:v>
                </c:pt>
                <c:pt idx="1">
                  <c:v>572</c:v>
                </c:pt>
                <c:pt idx="2">
                  <c:v>563</c:v>
                </c:pt>
                <c:pt idx="3">
                  <c:v>553</c:v>
                </c:pt>
                <c:pt idx="4">
                  <c:v>547</c:v>
                </c:pt>
                <c:pt idx="5">
                  <c:v>542</c:v>
                </c:pt>
                <c:pt idx="6">
                  <c:v>539</c:v>
                </c:pt>
              </c:numCache>
            </c:numRef>
          </c:val>
          <c:extLst>
            <c:ext xmlns:c16="http://schemas.microsoft.com/office/drawing/2014/chart" uri="{C3380CC4-5D6E-409C-BE32-E72D297353CC}">
              <c16:uniqueId val="{00000000-1439-4613-B845-0CA69ECAD110}"/>
            </c:ext>
          </c:extLst>
        </c:ser>
        <c:ser>
          <c:idx val="1"/>
          <c:order val="1"/>
          <c:tx>
            <c:strRef>
              <c:f>'Frequency of Purchase'!$C$1</c:f>
              <c:strCache>
                <c:ptCount val="1"/>
                <c:pt idx="0">
                  <c:v>AOV</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Purchase'!$A$2:$A$8</c:f>
              <c:strCache>
                <c:ptCount val="7"/>
                <c:pt idx="0">
                  <c:v>Every 3 Months</c:v>
                </c:pt>
                <c:pt idx="1">
                  <c:v>Annually</c:v>
                </c:pt>
                <c:pt idx="2">
                  <c:v>Quarterly</c:v>
                </c:pt>
                <c:pt idx="3">
                  <c:v>Monthly</c:v>
                </c:pt>
                <c:pt idx="4">
                  <c:v>Bi-Weekly</c:v>
                </c:pt>
                <c:pt idx="5">
                  <c:v>Fortnightly</c:v>
                </c:pt>
                <c:pt idx="6">
                  <c:v>Weekly</c:v>
                </c:pt>
              </c:strCache>
            </c:strRef>
          </c:cat>
          <c:val>
            <c:numRef>
              <c:f>'Frequency of Purchase'!$C$2:$C$8</c:f>
              <c:numCache>
                <c:formatCode>"$"#,##0.00</c:formatCode>
                <c:ptCount val="7"/>
                <c:pt idx="0">
                  <c:v>60.082191780821915</c:v>
                </c:pt>
                <c:pt idx="1">
                  <c:v>60.17307692307692</c:v>
                </c:pt>
                <c:pt idx="2">
                  <c:v>59.984014209591471</c:v>
                </c:pt>
                <c:pt idx="3">
                  <c:v>59.330922242314649</c:v>
                </c:pt>
                <c:pt idx="4">
                  <c:v>60.694698354661789</c:v>
                </c:pt>
                <c:pt idx="5">
                  <c:v>59.053505535055351</c:v>
                </c:pt>
                <c:pt idx="6">
                  <c:v>58.972170686456401</c:v>
                </c:pt>
              </c:numCache>
            </c:numRef>
          </c:val>
          <c:extLst>
            <c:ext xmlns:c16="http://schemas.microsoft.com/office/drawing/2014/chart" uri="{C3380CC4-5D6E-409C-BE32-E72D297353CC}">
              <c16:uniqueId val="{00000001-1439-4613-B845-0CA69ECAD110}"/>
            </c:ext>
          </c:extLst>
        </c:ser>
        <c:dLbls>
          <c:dLblPos val="outEnd"/>
          <c:showLegendKey val="0"/>
          <c:showVal val="1"/>
          <c:showCatName val="0"/>
          <c:showSerName val="0"/>
          <c:showPercent val="0"/>
          <c:showBubbleSize val="0"/>
        </c:dLbls>
        <c:gapWidth val="30"/>
        <c:overlap val="-27"/>
        <c:axId val="565794560"/>
        <c:axId val="565796000"/>
      </c:barChart>
      <c:catAx>
        <c:axId val="56579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5796000"/>
        <c:crosses val="autoZero"/>
        <c:auto val="1"/>
        <c:lblAlgn val="ctr"/>
        <c:lblOffset val="100"/>
        <c:noMultiLvlLbl val="0"/>
      </c:catAx>
      <c:valAx>
        <c:axId val="56579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579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Order Distribution and AOV by Gender</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Gender!$B$1</c:f>
              <c:strCache>
                <c:ptCount val="1"/>
                <c:pt idx="0">
                  <c:v>Total Order</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551-4705-9F28-BA26BBCC33C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9551-4705-9F28-BA26BBCC33C1}"/>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Gender!$A$2:$A$3</c:f>
              <c:strCache>
                <c:ptCount val="2"/>
                <c:pt idx="0">
                  <c:v>Male</c:v>
                </c:pt>
                <c:pt idx="1">
                  <c:v>Female</c:v>
                </c:pt>
              </c:strCache>
            </c:strRef>
          </c:cat>
          <c:val>
            <c:numRef>
              <c:f>Gender!$B$2:$B$3</c:f>
              <c:numCache>
                <c:formatCode>General</c:formatCode>
                <c:ptCount val="2"/>
                <c:pt idx="0">
                  <c:v>2652</c:v>
                </c:pt>
                <c:pt idx="1">
                  <c:v>1248</c:v>
                </c:pt>
              </c:numCache>
            </c:numRef>
          </c:val>
          <c:extLst>
            <c:ext xmlns:c16="http://schemas.microsoft.com/office/drawing/2014/chart" uri="{C3380CC4-5D6E-409C-BE32-E72D297353CC}">
              <c16:uniqueId val="{00000004-9551-4705-9F28-BA26BBCC33C1}"/>
            </c:ext>
          </c:extLst>
        </c:ser>
        <c:ser>
          <c:idx val="1"/>
          <c:order val="1"/>
          <c:tx>
            <c:strRef>
              <c:f>Gender!$C$1</c:f>
              <c:strCache>
                <c:ptCount val="1"/>
                <c:pt idx="0">
                  <c:v>AOV</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6-9551-4705-9F28-BA26BBCC33C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8-9551-4705-9F28-BA26BBCC33C1}"/>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Gender!$A$2:$A$3</c:f>
              <c:strCache>
                <c:ptCount val="2"/>
                <c:pt idx="0">
                  <c:v>Male</c:v>
                </c:pt>
                <c:pt idx="1">
                  <c:v>Female</c:v>
                </c:pt>
              </c:strCache>
            </c:strRef>
          </c:cat>
          <c:val>
            <c:numRef>
              <c:f>Gender!$C$2:$C$3</c:f>
              <c:numCache>
                <c:formatCode>General</c:formatCode>
                <c:ptCount val="2"/>
                <c:pt idx="0">
                  <c:v>59.536199095022624</c:v>
                </c:pt>
                <c:pt idx="1">
                  <c:v>60.249198717948715</c:v>
                </c:pt>
              </c:numCache>
            </c:numRef>
          </c:val>
          <c:extLst>
            <c:ext xmlns:c16="http://schemas.microsoft.com/office/drawing/2014/chart" uri="{C3380CC4-5D6E-409C-BE32-E72D297353CC}">
              <c16:uniqueId val="{00000009-9551-4705-9F28-BA26BBCC33C1}"/>
            </c:ext>
          </c:extLst>
        </c:ser>
        <c:dLbls>
          <c:showLegendKey val="0"/>
          <c:showVal val="0"/>
          <c:showCatName val="0"/>
          <c:showSerName val="0"/>
          <c:showPercent val="0"/>
          <c:showBubbleSize val="0"/>
        </c:dLbls>
        <c:gapWidth val="100"/>
        <c:axId val="1473788304"/>
        <c:axId val="1473788784"/>
      </c:barChart>
      <c:catAx>
        <c:axId val="147378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73788784"/>
        <c:auto val="1"/>
        <c:lblAlgn val="ctr"/>
        <c:lblOffset val="100"/>
        <c:noMultiLvlLbl val="0"/>
      </c:catAx>
      <c:valAx>
        <c:axId val="147378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73788304"/>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Category!$B$1</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Category!$A$2:$A$5</c:f>
              <c:strCache>
                <c:ptCount val="4"/>
                <c:pt idx="0">
                  <c:v>Clothing</c:v>
                </c:pt>
                <c:pt idx="1">
                  <c:v>Accessories</c:v>
                </c:pt>
                <c:pt idx="2">
                  <c:v>Footwear</c:v>
                </c:pt>
                <c:pt idx="3">
                  <c:v>Outerwear</c:v>
                </c:pt>
              </c:strCache>
            </c:strRef>
          </c:cat>
          <c:val>
            <c:numRef>
              <c:f>Category!$B$2:$B$5</c:f>
              <c:numCache>
                <c:formatCode>General</c:formatCode>
                <c:ptCount val="4"/>
                <c:pt idx="0">
                  <c:v>1737</c:v>
                </c:pt>
                <c:pt idx="1">
                  <c:v>1240</c:v>
                </c:pt>
                <c:pt idx="2">
                  <c:v>599</c:v>
                </c:pt>
                <c:pt idx="3">
                  <c:v>324</c:v>
                </c:pt>
              </c:numCache>
            </c:numRef>
          </c:val>
          <c:extLst>
            <c:ext xmlns:c16="http://schemas.microsoft.com/office/drawing/2014/chart" uri="{C3380CC4-5D6E-409C-BE32-E72D297353CC}">
              <c16:uniqueId val="{00000000-0417-4A82-AFA1-B2B7A768C75E}"/>
            </c:ext>
          </c:extLst>
        </c:ser>
        <c:dLbls>
          <c:dLblPos val="outEnd"/>
          <c:showLegendKey val="0"/>
          <c:showVal val="1"/>
          <c:showCatName val="0"/>
          <c:showSerName val="0"/>
          <c:showPercent val="0"/>
          <c:showBubbleSize val="0"/>
        </c:dLbls>
        <c:gapWidth val="100"/>
        <c:overlap val="-27"/>
        <c:axId val="482206176"/>
        <c:axId val="482222976"/>
      </c:barChart>
      <c:catAx>
        <c:axId val="48220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22976"/>
        <c:crosses val="autoZero"/>
        <c:auto val="1"/>
        <c:lblAlgn val="ctr"/>
        <c:lblOffset val="100"/>
        <c:noMultiLvlLbl val="0"/>
      </c:catAx>
      <c:valAx>
        <c:axId val="48222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06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Seasonality vs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Season!$B$1</c:f>
              <c:strCache>
                <c:ptCount val="1"/>
                <c:pt idx="0">
                  <c:v>Total Sales 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Season!$A$2:$A$5</c:f>
              <c:strCache>
                <c:ptCount val="4"/>
                <c:pt idx="0">
                  <c:v>Fall</c:v>
                </c:pt>
                <c:pt idx="1">
                  <c:v>Spring</c:v>
                </c:pt>
                <c:pt idx="2">
                  <c:v>Winter</c:v>
                </c:pt>
                <c:pt idx="3">
                  <c:v>Summer</c:v>
                </c:pt>
              </c:strCache>
            </c:strRef>
          </c:cat>
          <c:val>
            <c:numRef>
              <c:f>Season!$B$2:$B$5</c:f>
              <c:numCache>
                <c:formatCode>"$"#,##0</c:formatCode>
                <c:ptCount val="4"/>
                <c:pt idx="0">
                  <c:v>60018</c:v>
                </c:pt>
                <c:pt idx="1">
                  <c:v>58679</c:v>
                </c:pt>
                <c:pt idx="2">
                  <c:v>58607</c:v>
                </c:pt>
                <c:pt idx="3">
                  <c:v>55777</c:v>
                </c:pt>
              </c:numCache>
            </c:numRef>
          </c:val>
          <c:extLst>
            <c:ext xmlns:c16="http://schemas.microsoft.com/office/drawing/2014/chart" uri="{C3380CC4-5D6E-409C-BE32-E72D297353CC}">
              <c16:uniqueId val="{00000000-ED3E-4637-BE28-C8C7134617F5}"/>
            </c:ext>
          </c:extLst>
        </c:ser>
        <c:ser>
          <c:idx val="1"/>
          <c:order val="1"/>
          <c:tx>
            <c:strRef>
              <c:f>Season!$C$1</c:f>
              <c:strCache>
                <c:ptCount val="1"/>
                <c:pt idx="0">
                  <c:v>Total Orders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Season!$A$2:$A$5</c:f>
              <c:strCache>
                <c:ptCount val="4"/>
                <c:pt idx="0">
                  <c:v>Fall</c:v>
                </c:pt>
                <c:pt idx="1">
                  <c:v>Spring</c:v>
                </c:pt>
                <c:pt idx="2">
                  <c:v>Winter</c:v>
                </c:pt>
                <c:pt idx="3">
                  <c:v>Summer</c:v>
                </c:pt>
              </c:strCache>
            </c:strRef>
          </c:cat>
          <c:val>
            <c:numRef>
              <c:f>Season!$C$2:$C$5</c:f>
              <c:numCache>
                <c:formatCode>General</c:formatCode>
                <c:ptCount val="4"/>
                <c:pt idx="0">
                  <c:v>975</c:v>
                </c:pt>
                <c:pt idx="1">
                  <c:v>999</c:v>
                </c:pt>
                <c:pt idx="2">
                  <c:v>971</c:v>
                </c:pt>
                <c:pt idx="3">
                  <c:v>955</c:v>
                </c:pt>
              </c:numCache>
            </c:numRef>
          </c:val>
          <c:extLst>
            <c:ext xmlns:c16="http://schemas.microsoft.com/office/drawing/2014/chart" uri="{C3380CC4-5D6E-409C-BE32-E72D297353CC}">
              <c16:uniqueId val="{00000001-ED3E-4637-BE28-C8C7134617F5}"/>
            </c:ext>
          </c:extLst>
        </c:ser>
        <c:dLbls>
          <c:dLblPos val="outEnd"/>
          <c:showLegendKey val="0"/>
          <c:showVal val="1"/>
          <c:showCatName val="0"/>
          <c:showSerName val="0"/>
          <c:showPercent val="0"/>
          <c:showBubbleSize val="0"/>
        </c:dLbls>
        <c:gapWidth val="219"/>
        <c:overlap val="-27"/>
        <c:axId val="466726944"/>
        <c:axId val="466719744"/>
      </c:barChart>
      <c:catAx>
        <c:axId val="46672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719744"/>
        <c:crosses val="autoZero"/>
        <c:auto val="1"/>
        <c:lblAlgn val="ctr"/>
        <c:lblOffset val="100"/>
        <c:noMultiLvlLbl val="0"/>
      </c:catAx>
      <c:valAx>
        <c:axId val="466719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72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&amp; Total Orders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'Payment Type'!$B$1</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Type'!$A$2:$A$7</c:f>
              <c:strCache>
                <c:ptCount val="6"/>
                <c:pt idx="0">
                  <c:v>Credit Card</c:v>
                </c:pt>
                <c:pt idx="1">
                  <c:v>Venmo</c:v>
                </c:pt>
                <c:pt idx="2">
                  <c:v>Cash</c:v>
                </c:pt>
                <c:pt idx="3">
                  <c:v>PayPal</c:v>
                </c:pt>
                <c:pt idx="4">
                  <c:v>Bank Transfer</c:v>
                </c:pt>
                <c:pt idx="5">
                  <c:v>Debit Card</c:v>
                </c:pt>
              </c:strCache>
            </c:strRef>
          </c:cat>
          <c:val>
            <c:numRef>
              <c:f>'Payment Type'!$B$2:$B$7</c:f>
              <c:numCache>
                <c:formatCode>"$"#,##0</c:formatCode>
                <c:ptCount val="6"/>
                <c:pt idx="0">
                  <c:v>42567</c:v>
                </c:pt>
                <c:pt idx="1">
                  <c:v>39991</c:v>
                </c:pt>
                <c:pt idx="2">
                  <c:v>38833</c:v>
                </c:pt>
                <c:pt idx="3">
                  <c:v>37449</c:v>
                </c:pt>
                <c:pt idx="4">
                  <c:v>37123</c:v>
                </c:pt>
                <c:pt idx="5">
                  <c:v>37118</c:v>
                </c:pt>
              </c:numCache>
            </c:numRef>
          </c:val>
          <c:extLst>
            <c:ext xmlns:c16="http://schemas.microsoft.com/office/drawing/2014/chart" uri="{C3380CC4-5D6E-409C-BE32-E72D297353CC}">
              <c16:uniqueId val="{00000000-6BA7-46D7-BF40-744A51511F30}"/>
            </c:ext>
          </c:extLst>
        </c:ser>
        <c:dLbls>
          <c:dLblPos val="ctr"/>
          <c:showLegendKey val="0"/>
          <c:showVal val="1"/>
          <c:showCatName val="0"/>
          <c:showSerName val="0"/>
          <c:showPercent val="0"/>
          <c:showBubbleSize val="0"/>
        </c:dLbls>
        <c:gapWidth val="34"/>
        <c:axId val="472071264"/>
        <c:axId val="472067904"/>
      </c:barChart>
      <c:lineChart>
        <c:grouping val="standard"/>
        <c:varyColors val="0"/>
        <c:ser>
          <c:idx val="1"/>
          <c:order val="1"/>
          <c:tx>
            <c:strRef>
              <c:f>'Payment Type'!$C$1</c:f>
              <c:strCache>
                <c:ptCount val="1"/>
                <c:pt idx="0">
                  <c:v>Total Orders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Type'!$A$2:$A$7</c:f>
              <c:strCache>
                <c:ptCount val="6"/>
                <c:pt idx="0">
                  <c:v>Credit Card</c:v>
                </c:pt>
                <c:pt idx="1">
                  <c:v>Venmo</c:v>
                </c:pt>
                <c:pt idx="2">
                  <c:v>Cash</c:v>
                </c:pt>
                <c:pt idx="3">
                  <c:v>PayPal</c:v>
                </c:pt>
                <c:pt idx="4">
                  <c:v>Bank Transfer</c:v>
                </c:pt>
                <c:pt idx="5">
                  <c:v>Debit Card</c:v>
                </c:pt>
              </c:strCache>
            </c:strRef>
          </c:cat>
          <c:val>
            <c:numRef>
              <c:f>'Payment Type'!$C$2:$C$7</c:f>
              <c:numCache>
                <c:formatCode>General</c:formatCode>
                <c:ptCount val="6"/>
                <c:pt idx="0">
                  <c:v>696</c:v>
                </c:pt>
                <c:pt idx="1">
                  <c:v>653</c:v>
                </c:pt>
                <c:pt idx="2">
                  <c:v>648</c:v>
                </c:pt>
                <c:pt idx="3">
                  <c:v>638</c:v>
                </c:pt>
                <c:pt idx="4">
                  <c:v>632</c:v>
                </c:pt>
                <c:pt idx="5">
                  <c:v>633</c:v>
                </c:pt>
              </c:numCache>
            </c:numRef>
          </c:val>
          <c:smooth val="0"/>
          <c:extLst>
            <c:ext xmlns:c16="http://schemas.microsoft.com/office/drawing/2014/chart" uri="{C3380CC4-5D6E-409C-BE32-E72D297353CC}">
              <c16:uniqueId val="{00000001-6BA7-46D7-BF40-744A51511F30}"/>
            </c:ext>
          </c:extLst>
        </c:ser>
        <c:dLbls>
          <c:showLegendKey val="0"/>
          <c:showVal val="0"/>
          <c:showCatName val="0"/>
          <c:showSerName val="0"/>
          <c:showPercent val="0"/>
          <c:showBubbleSize val="0"/>
        </c:dLbls>
        <c:marker val="1"/>
        <c:smooth val="0"/>
        <c:axId val="1765197200"/>
        <c:axId val="1765199120"/>
      </c:lineChart>
      <c:catAx>
        <c:axId val="47207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67904"/>
        <c:crosses val="autoZero"/>
        <c:auto val="1"/>
        <c:lblAlgn val="ctr"/>
        <c:lblOffset val="100"/>
        <c:noMultiLvlLbl val="0"/>
      </c:catAx>
      <c:valAx>
        <c:axId val="472067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71264"/>
        <c:crosses val="autoZero"/>
        <c:crossBetween val="between"/>
      </c:valAx>
      <c:valAx>
        <c:axId val="17651991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97200"/>
        <c:crosses val="max"/>
        <c:crossBetween val="between"/>
      </c:valAx>
      <c:catAx>
        <c:axId val="1765197200"/>
        <c:scaling>
          <c:orientation val="minMax"/>
        </c:scaling>
        <c:delete val="1"/>
        <c:axPos val="b"/>
        <c:numFmt formatCode="General" sourceLinked="1"/>
        <c:majorTickMark val="out"/>
        <c:minorTickMark val="none"/>
        <c:tickLblPos val="nextTo"/>
        <c:crossAx val="176519912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 by Total</a:t>
            </a:r>
            <a:r>
              <a:rPr lang="en-US" baseline="0"/>
              <a:t> Orders &amp; AOV</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Gender!$B$1</c:f>
              <c:strCache>
                <c:ptCount val="1"/>
                <c:pt idx="0">
                  <c:v>Total Order</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Gender!$A$2:$A$3</c:f>
              <c:strCache>
                <c:ptCount val="2"/>
                <c:pt idx="0">
                  <c:v>Male</c:v>
                </c:pt>
                <c:pt idx="1">
                  <c:v>Female</c:v>
                </c:pt>
              </c:strCache>
            </c:strRef>
          </c:cat>
          <c:val>
            <c:numRef>
              <c:f>Gender!$B$2:$B$3</c:f>
              <c:numCache>
                <c:formatCode>General</c:formatCode>
                <c:ptCount val="2"/>
                <c:pt idx="0">
                  <c:v>2652</c:v>
                </c:pt>
                <c:pt idx="1">
                  <c:v>1248</c:v>
                </c:pt>
              </c:numCache>
            </c:numRef>
          </c:val>
          <c:extLst>
            <c:ext xmlns:c16="http://schemas.microsoft.com/office/drawing/2014/chart" uri="{C3380CC4-5D6E-409C-BE32-E72D297353CC}">
              <c16:uniqueId val="{00000000-997B-4024-9E01-903555D6AE12}"/>
            </c:ext>
          </c:extLst>
        </c:ser>
        <c:ser>
          <c:idx val="1"/>
          <c:order val="1"/>
          <c:tx>
            <c:strRef>
              <c:f>Gender!$C$1</c:f>
              <c:strCache>
                <c:ptCount val="1"/>
                <c:pt idx="0">
                  <c:v>AOV</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Gender!$A$2:$A$3</c:f>
              <c:strCache>
                <c:ptCount val="2"/>
                <c:pt idx="0">
                  <c:v>Male</c:v>
                </c:pt>
                <c:pt idx="1">
                  <c:v>Female</c:v>
                </c:pt>
              </c:strCache>
            </c:strRef>
          </c:cat>
          <c:val>
            <c:numRef>
              <c:f>Gender!$C$2:$C$3</c:f>
              <c:numCache>
                <c:formatCode>General</c:formatCode>
                <c:ptCount val="2"/>
                <c:pt idx="0">
                  <c:v>59.536199095022624</c:v>
                </c:pt>
                <c:pt idx="1">
                  <c:v>60.249198717948715</c:v>
                </c:pt>
              </c:numCache>
            </c:numRef>
          </c:val>
          <c:extLst>
            <c:ext xmlns:c16="http://schemas.microsoft.com/office/drawing/2014/chart" uri="{C3380CC4-5D6E-409C-BE32-E72D297353CC}">
              <c16:uniqueId val="{00000001-997B-4024-9E01-903555D6AE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Frequency by Total Order &amp; AOV</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'Frequency of Purchase'!$B$1</c:f>
              <c:strCache>
                <c:ptCount val="1"/>
                <c:pt idx="0">
                  <c:v>Total Order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Purchase'!$A$2:$A$8</c:f>
              <c:strCache>
                <c:ptCount val="7"/>
                <c:pt idx="0">
                  <c:v>Every 3 Months</c:v>
                </c:pt>
                <c:pt idx="1">
                  <c:v>Annually</c:v>
                </c:pt>
                <c:pt idx="2">
                  <c:v>Quarterly</c:v>
                </c:pt>
                <c:pt idx="3">
                  <c:v>Monthly</c:v>
                </c:pt>
                <c:pt idx="4">
                  <c:v>Bi-Weekly</c:v>
                </c:pt>
                <c:pt idx="5">
                  <c:v>Fortnightly</c:v>
                </c:pt>
                <c:pt idx="6">
                  <c:v>Weekly</c:v>
                </c:pt>
              </c:strCache>
            </c:strRef>
          </c:cat>
          <c:val>
            <c:numRef>
              <c:f>'Frequency of Purchase'!$B$2:$B$8</c:f>
              <c:numCache>
                <c:formatCode>General</c:formatCode>
                <c:ptCount val="7"/>
                <c:pt idx="0">
                  <c:v>584</c:v>
                </c:pt>
                <c:pt idx="1">
                  <c:v>572</c:v>
                </c:pt>
                <c:pt idx="2">
                  <c:v>563</c:v>
                </c:pt>
                <c:pt idx="3">
                  <c:v>553</c:v>
                </c:pt>
                <c:pt idx="4">
                  <c:v>547</c:v>
                </c:pt>
                <c:pt idx="5">
                  <c:v>542</c:v>
                </c:pt>
                <c:pt idx="6">
                  <c:v>539</c:v>
                </c:pt>
              </c:numCache>
            </c:numRef>
          </c:val>
          <c:extLst>
            <c:ext xmlns:c16="http://schemas.microsoft.com/office/drawing/2014/chart" uri="{C3380CC4-5D6E-409C-BE32-E72D297353CC}">
              <c16:uniqueId val="{00000000-C56E-4270-98BA-EA87EC1F1D26}"/>
            </c:ext>
          </c:extLst>
        </c:ser>
        <c:ser>
          <c:idx val="1"/>
          <c:order val="1"/>
          <c:tx>
            <c:strRef>
              <c:f>'Frequency of Purchase'!$C$1</c:f>
              <c:strCache>
                <c:ptCount val="1"/>
                <c:pt idx="0">
                  <c:v>AOV</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Purchase'!$A$2:$A$8</c:f>
              <c:strCache>
                <c:ptCount val="7"/>
                <c:pt idx="0">
                  <c:v>Every 3 Months</c:v>
                </c:pt>
                <c:pt idx="1">
                  <c:v>Annually</c:v>
                </c:pt>
                <c:pt idx="2">
                  <c:v>Quarterly</c:v>
                </c:pt>
                <c:pt idx="3">
                  <c:v>Monthly</c:v>
                </c:pt>
                <c:pt idx="4">
                  <c:v>Bi-Weekly</c:v>
                </c:pt>
                <c:pt idx="5">
                  <c:v>Fortnightly</c:v>
                </c:pt>
                <c:pt idx="6">
                  <c:v>Weekly</c:v>
                </c:pt>
              </c:strCache>
            </c:strRef>
          </c:cat>
          <c:val>
            <c:numRef>
              <c:f>'Frequency of Purchase'!$C$2:$C$8</c:f>
              <c:numCache>
                <c:formatCode>"$"#,##0.00</c:formatCode>
                <c:ptCount val="7"/>
                <c:pt idx="0">
                  <c:v>60.082191780821915</c:v>
                </c:pt>
                <c:pt idx="1">
                  <c:v>60.17307692307692</c:v>
                </c:pt>
                <c:pt idx="2">
                  <c:v>59.984014209591471</c:v>
                </c:pt>
                <c:pt idx="3">
                  <c:v>59.330922242314649</c:v>
                </c:pt>
                <c:pt idx="4">
                  <c:v>60.694698354661789</c:v>
                </c:pt>
                <c:pt idx="5">
                  <c:v>59.053505535055351</c:v>
                </c:pt>
                <c:pt idx="6">
                  <c:v>58.972170686456401</c:v>
                </c:pt>
              </c:numCache>
            </c:numRef>
          </c:val>
          <c:extLst>
            <c:ext xmlns:c16="http://schemas.microsoft.com/office/drawing/2014/chart" uri="{C3380CC4-5D6E-409C-BE32-E72D297353CC}">
              <c16:uniqueId val="{00000001-C56E-4270-98BA-EA87EC1F1D26}"/>
            </c:ext>
          </c:extLst>
        </c:ser>
        <c:dLbls>
          <c:dLblPos val="outEnd"/>
          <c:showLegendKey val="0"/>
          <c:showVal val="1"/>
          <c:showCatName val="0"/>
          <c:showSerName val="0"/>
          <c:showPercent val="0"/>
          <c:showBubbleSize val="0"/>
        </c:dLbls>
        <c:gapWidth val="219"/>
        <c:overlap val="-27"/>
        <c:axId val="565794560"/>
        <c:axId val="565796000"/>
      </c:barChart>
      <c:catAx>
        <c:axId val="56579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96000"/>
        <c:crosses val="autoZero"/>
        <c:auto val="1"/>
        <c:lblAlgn val="ctr"/>
        <c:lblOffset val="100"/>
        <c:noMultiLvlLbl val="0"/>
      </c:catAx>
      <c:valAx>
        <c:axId val="56579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9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 Distribution</a:t>
            </a:r>
            <a:r>
              <a:rPr lang="en-US" baseline="0"/>
              <a:t> by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Subscriber!$B$1</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Subscriber!$A$2:$A$3</c:f>
              <c:strCache>
                <c:ptCount val="2"/>
                <c:pt idx="0">
                  <c:v>Yes</c:v>
                </c:pt>
                <c:pt idx="1">
                  <c:v>No</c:v>
                </c:pt>
              </c:strCache>
            </c:strRef>
          </c:cat>
          <c:val>
            <c:numRef>
              <c:f>Subscriber!$B$2:$B$3</c:f>
              <c:numCache>
                <c:formatCode>"$"#,##0</c:formatCode>
                <c:ptCount val="2"/>
                <c:pt idx="0">
                  <c:v>62645</c:v>
                </c:pt>
                <c:pt idx="1">
                  <c:v>170436</c:v>
                </c:pt>
              </c:numCache>
            </c:numRef>
          </c:val>
          <c:extLst>
            <c:ext xmlns:c16="http://schemas.microsoft.com/office/drawing/2014/chart" uri="{C3380CC4-5D6E-409C-BE32-E72D297353CC}">
              <c16:uniqueId val="{00000000-D016-4C89-863C-1E79C8D3EC07}"/>
            </c:ext>
          </c:extLst>
        </c:ser>
        <c:dLbls>
          <c:showLegendKey val="0"/>
          <c:showVal val="1"/>
          <c:showCatName val="0"/>
          <c:showSerName val="0"/>
          <c:showPercent val="0"/>
          <c:showBubbleSize val="0"/>
        </c:dLbls>
        <c:gapWidth val="134"/>
        <c:overlap val="-27"/>
        <c:axId val="1951871104"/>
        <c:axId val="1951872064"/>
      </c:barChart>
      <c:lineChart>
        <c:grouping val="standard"/>
        <c:varyColors val="0"/>
        <c:ser>
          <c:idx val="1"/>
          <c:order val="1"/>
          <c:tx>
            <c:strRef>
              <c:f>Subscriber!$C$1</c:f>
              <c:strCache>
                <c:ptCount val="1"/>
                <c:pt idx="0">
                  <c:v>Total Adoption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Subscriber!$A$2:$A$3</c:f>
              <c:strCache>
                <c:ptCount val="2"/>
                <c:pt idx="0">
                  <c:v>Yes</c:v>
                </c:pt>
                <c:pt idx="1">
                  <c:v>No</c:v>
                </c:pt>
              </c:strCache>
            </c:strRef>
          </c:cat>
          <c:val>
            <c:numRef>
              <c:f>Subscriber!$C$2:$C$3</c:f>
              <c:numCache>
                <c:formatCode>0%</c:formatCode>
                <c:ptCount val="2"/>
                <c:pt idx="0">
                  <c:v>0.27</c:v>
                </c:pt>
                <c:pt idx="1">
                  <c:v>0.73</c:v>
                </c:pt>
              </c:numCache>
            </c:numRef>
          </c:val>
          <c:smooth val="0"/>
          <c:extLst>
            <c:ext xmlns:c16="http://schemas.microsoft.com/office/drawing/2014/chart" uri="{C3380CC4-5D6E-409C-BE32-E72D297353CC}">
              <c16:uniqueId val="{00000001-D016-4C89-863C-1E79C8D3EC07}"/>
            </c:ext>
          </c:extLst>
        </c:ser>
        <c:dLbls>
          <c:showLegendKey val="0"/>
          <c:showVal val="1"/>
          <c:showCatName val="0"/>
          <c:showSerName val="0"/>
          <c:showPercent val="0"/>
          <c:showBubbleSize val="0"/>
        </c:dLbls>
        <c:marker val="1"/>
        <c:smooth val="0"/>
        <c:axId val="466123984"/>
        <c:axId val="466124944"/>
      </c:lineChart>
      <c:catAx>
        <c:axId val="195187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72064"/>
        <c:crosses val="autoZero"/>
        <c:auto val="1"/>
        <c:lblAlgn val="ctr"/>
        <c:lblOffset val="100"/>
        <c:noMultiLvlLbl val="0"/>
      </c:catAx>
      <c:valAx>
        <c:axId val="1951872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71104"/>
        <c:crosses val="autoZero"/>
        <c:crossBetween val="between"/>
      </c:valAx>
      <c:valAx>
        <c:axId val="46612494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23984"/>
        <c:crosses val="max"/>
        <c:crossBetween val="between"/>
      </c:valAx>
      <c:catAx>
        <c:axId val="466123984"/>
        <c:scaling>
          <c:orientation val="minMax"/>
        </c:scaling>
        <c:delete val="1"/>
        <c:axPos val="b"/>
        <c:numFmt formatCode="General" sourceLinked="1"/>
        <c:majorTickMark val="none"/>
        <c:minorTickMark val="none"/>
        <c:tickLblPos val="nextTo"/>
        <c:crossAx val="46612494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a:t>
            </a:r>
            <a:r>
              <a:rPr lang="en-US" baseline="0"/>
              <a:t> Method by Total Order &amp; AOV</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'Shipping Method'!$B$1</c:f>
              <c:strCache>
                <c:ptCount val="1"/>
                <c:pt idx="0">
                  <c:v>Total Order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Method'!$A$2:$A$7</c:f>
              <c:strCache>
                <c:ptCount val="6"/>
                <c:pt idx="0">
                  <c:v>Free Shipping</c:v>
                </c:pt>
                <c:pt idx="1">
                  <c:v>Standard</c:v>
                </c:pt>
                <c:pt idx="2">
                  <c:v>Store Pickup</c:v>
                </c:pt>
                <c:pt idx="3">
                  <c:v>Next Day Air</c:v>
                </c:pt>
                <c:pt idx="4">
                  <c:v>Express</c:v>
                </c:pt>
                <c:pt idx="5">
                  <c:v>2-Day Shipping</c:v>
                </c:pt>
              </c:strCache>
            </c:strRef>
          </c:cat>
          <c:val>
            <c:numRef>
              <c:f>'Shipping Method'!$B$2:$B$7</c:f>
              <c:numCache>
                <c:formatCode>General</c:formatCode>
                <c:ptCount val="6"/>
                <c:pt idx="0">
                  <c:v>675</c:v>
                </c:pt>
                <c:pt idx="1">
                  <c:v>654</c:v>
                </c:pt>
                <c:pt idx="2">
                  <c:v>650</c:v>
                </c:pt>
                <c:pt idx="3">
                  <c:v>648</c:v>
                </c:pt>
                <c:pt idx="4">
                  <c:v>646</c:v>
                </c:pt>
                <c:pt idx="5">
                  <c:v>627</c:v>
                </c:pt>
              </c:numCache>
            </c:numRef>
          </c:val>
          <c:extLst>
            <c:ext xmlns:c16="http://schemas.microsoft.com/office/drawing/2014/chart" uri="{C3380CC4-5D6E-409C-BE32-E72D297353CC}">
              <c16:uniqueId val="{00000000-7D7B-44D7-B15A-461A364E8E7C}"/>
            </c:ext>
          </c:extLst>
        </c:ser>
        <c:ser>
          <c:idx val="1"/>
          <c:order val="1"/>
          <c:tx>
            <c:strRef>
              <c:f>'Shipping Method'!$C$1</c:f>
              <c:strCache>
                <c:ptCount val="1"/>
                <c:pt idx="0">
                  <c:v>AOV</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Method'!$A$2:$A$7</c:f>
              <c:strCache>
                <c:ptCount val="6"/>
                <c:pt idx="0">
                  <c:v>Free Shipping</c:v>
                </c:pt>
                <c:pt idx="1">
                  <c:v>Standard</c:v>
                </c:pt>
                <c:pt idx="2">
                  <c:v>Store Pickup</c:v>
                </c:pt>
                <c:pt idx="3">
                  <c:v>Next Day Air</c:v>
                </c:pt>
                <c:pt idx="4">
                  <c:v>Express</c:v>
                </c:pt>
                <c:pt idx="5">
                  <c:v>2-Day Shipping</c:v>
                </c:pt>
              </c:strCache>
            </c:strRef>
          </c:cat>
          <c:val>
            <c:numRef>
              <c:f>'Shipping Method'!$C$2:$C$7</c:f>
              <c:numCache>
                <c:formatCode>"$"#,##0.00</c:formatCode>
                <c:ptCount val="6"/>
                <c:pt idx="0">
                  <c:v>60.410370370370373</c:v>
                </c:pt>
                <c:pt idx="1">
                  <c:v>58.460244648318046</c:v>
                </c:pt>
                <c:pt idx="2">
                  <c:v>59.893846153846155</c:v>
                </c:pt>
                <c:pt idx="3">
                  <c:v>58.631172839506171</c:v>
                </c:pt>
                <c:pt idx="4">
                  <c:v>60.475232198142415</c:v>
                </c:pt>
                <c:pt idx="5">
                  <c:v>60.733652312599681</c:v>
                </c:pt>
              </c:numCache>
            </c:numRef>
          </c:val>
          <c:extLst>
            <c:ext xmlns:c16="http://schemas.microsoft.com/office/drawing/2014/chart" uri="{C3380CC4-5D6E-409C-BE32-E72D297353CC}">
              <c16:uniqueId val="{00000001-7D7B-44D7-B15A-461A364E8E7C}"/>
            </c:ext>
          </c:extLst>
        </c:ser>
        <c:dLbls>
          <c:dLblPos val="ctr"/>
          <c:showLegendKey val="0"/>
          <c:showVal val="1"/>
          <c:showCatName val="0"/>
          <c:showSerName val="0"/>
          <c:showPercent val="0"/>
          <c:showBubbleSize val="0"/>
        </c:dLbls>
        <c:gapWidth val="82"/>
        <c:overlap val="100"/>
        <c:axId val="565787840"/>
        <c:axId val="565782080"/>
      </c:barChart>
      <c:catAx>
        <c:axId val="56578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82080"/>
        <c:crosses val="autoZero"/>
        <c:auto val="1"/>
        <c:lblAlgn val="ctr"/>
        <c:lblOffset val="100"/>
        <c:noMultiLvlLbl val="0"/>
      </c:catAx>
      <c:valAx>
        <c:axId val="56578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8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Distribution by Product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'Product Size'!$A$2</c:f>
              <c:strCache>
                <c:ptCount val="1"/>
                <c:pt idx="0">
                  <c:v>XL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'Product Size'!$B$1</c15:sqref>
                  </c15:fullRef>
                </c:ext>
              </c:extLst>
              <c:f>'Product Size'!$B$1</c:f>
              <c:strCache>
                <c:ptCount val="1"/>
                <c:pt idx="0">
                  <c:v>Toal Sales</c:v>
                </c:pt>
              </c:strCache>
            </c:strRef>
          </c:cat>
          <c:val>
            <c:numRef>
              <c:extLst>
                <c:ext xmlns:c15="http://schemas.microsoft.com/office/drawing/2012/chart" uri="{02D57815-91ED-43cb-92C2-25804820EDAC}">
                  <c15:fullRef>
                    <c15:sqref>'Product Size'!$B$2</c15:sqref>
                  </c15:fullRef>
                </c:ext>
              </c:extLst>
              <c:f>'Product Size'!$B$2</c:f>
              <c:numCache>
                <c:formatCode>"$"#,##0</c:formatCode>
                <c:ptCount val="1"/>
                <c:pt idx="0">
                  <c:v>25779</c:v>
                </c:pt>
              </c:numCache>
            </c:numRef>
          </c:val>
          <c:extLst>
            <c:ext xmlns:c16="http://schemas.microsoft.com/office/drawing/2014/chart" uri="{C3380CC4-5D6E-409C-BE32-E72D297353CC}">
              <c16:uniqueId val="{00000000-40E5-4BE9-9F03-28212D2F0ED0}"/>
            </c:ext>
          </c:extLst>
        </c:ser>
        <c:ser>
          <c:idx val="2"/>
          <c:order val="2"/>
          <c:tx>
            <c:strRef>
              <c:f>'Product Size'!$A$4</c:f>
              <c:strCache>
                <c:ptCount val="1"/>
                <c:pt idx="0">
                  <c:v>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'Product Size'!$B$1</c15:sqref>
                  </c15:fullRef>
                </c:ext>
              </c:extLst>
              <c:f>'Product Size'!$B$1</c:f>
              <c:strCache>
                <c:ptCount val="1"/>
                <c:pt idx="0">
                  <c:v>Toal Sales</c:v>
                </c:pt>
              </c:strCache>
            </c:strRef>
          </c:cat>
          <c:val>
            <c:numRef>
              <c:extLst>
                <c:ext xmlns:c15="http://schemas.microsoft.com/office/drawing/2012/chart" uri="{02D57815-91ED-43cb-92C2-25804820EDAC}">
                  <c15:fullRef>
                    <c15:sqref>'Product Size'!$B$4</c15:sqref>
                  </c15:fullRef>
                </c:ext>
              </c:extLst>
              <c:f>'Product Size'!$B$4</c:f>
              <c:numCache>
                <c:formatCode>"$"#,##0</c:formatCode>
                <c:ptCount val="1"/>
                <c:pt idx="0">
                  <c:v>61667</c:v>
                </c:pt>
              </c:numCache>
            </c:numRef>
          </c:val>
          <c:extLst>
            <c:ext xmlns:c16="http://schemas.microsoft.com/office/drawing/2014/chart" uri="{C3380CC4-5D6E-409C-BE32-E72D297353CC}">
              <c16:uniqueId val="{00000002-40E5-4BE9-9F03-28212D2F0ED0}"/>
            </c:ext>
          </c:extLst>
        </c:ser>
        <c:ser>
          <c:idx val="3"/>
          <c:order val="3"/>
          <c:tx>
            <c:strRef>
              <c:f>'Product Size'!$A$5</c:f>
              <c:strCache>
                <c:ptCount val="1"/>
                <c:pt idx="0">
                  <c:v>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'Product Size'!$B$1</c15:sqref>
                  </c15:fullRef>
                </c:ext>
              </c:extLst>
              <c:f>'Product Size'!$B$1</c:f>
              <c:strCache>
                <c:ptCount val="1"/>
                <c:pt idx="0">
                  <c:v>Toal Sales</c:v>
                </c:pt>
              </c:strCache>
            </c:strRef>
          </c:cat>
          <c:val>
            <c:numRef>
              <c:extLst>
                <c:ext xmlns:c15="http://schemas.microsoft.com/office/drawing/2012/chart" uri="{02D57815-91ED-43cb-92C2-25804820EDAC}">
                  <c15:fullRef>
                    <c15:sqref>'Product Size'!$B$5</c15:sqref>
                  </c15:fullRef>
                </c:ext>
              </c:extLst>
              <c:f>'Product Size'!$B$5</c:f>
              <c:numCache>
                <c:formatCode>"$"#,##0</c:formatCode>
                <c:ptCount val="1"/>
                <c:pt idx="0">
                  <c:v>105167</c:v>
                </c:pt>
              </c:numCache>
            </c:numRef>
          </c:val>
          <c:extLst>
            <c:ext xmlns:c16="http://schemas.microsoft.com/office/drawing/2014/chart" uri="{C3380CC4-5D6E-409C-BE32-E72D297353CC}">
              <c16:uniqueId val="{00000003-40E5-4BE9-9F03-28212D2F0ED0}"/>
            </c:ext>
          </c:extLst>
        </c:ser>
        <c:ser>
          <c:idx val="1"/>
          <c:order val="1"/>
          <c:tx>
            <c:strRef>
              <c:f>'Product Size'!$A$3</c:f>
              <c:strCache>
                <c:ptCount val="1"/>
                <c:pt idx="0">
                  <c:v>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'Product Size'!$B$1</c15:sqref>
                  </c15:fullRef>
                </c:ext>
              </c:extLst>
              <c:f>'Product Size'!$B$1</c:f>
              <c:strCache>
                <c:ptCount val="1"/>
                <c:pt idx="0">
                  <c:v>Toal Sales</c:v>
                </c:pt>
              </c:strCache>
            </c:strRef>
          </c:cat>
          <c:val>
            <c:numRef>
              <c:extLst>
                <c:ext xmlns:c15="http://schemas.microsoft.com/office/drawing/2012/chart" uri="{02D57815-91ED-43cb-92C2-25804820EDAC}">
                  <c15:fullRef>
                    <c15:sqref>'Product Size'!$B$3</c15:sqref>
                  </c15:fullRef>
                </c:ext>
              </c:extLst>
              <c:f>'Product Size'!$B$3</c:f>
              <c:numCache>
                <c:formatCode>"$"#,##0</c:formatCode>
                <c:ptCount val="1"/>
                <c:pt idx="0">
                  <c:v>40468</c:v>
                </c:pt>
              </c:numCache>
            </c:numRef>
          </c:val>
          <c:extLst>
            <c:ext xmlns:c16="http://schemas.microsoft.com/office/drawing/2014/chart" uri="{C3380CC4-5D6E-409C-BE32-E72D297353CC}">
              <c16:uniqueId val="{00000001-40E5-4BE9-9F03-28212D2F0ED0}"/>
            </c:ext>
          </c:extLst>
        </c:ser>
        <c:dLbls>
          <c:dLblPos val="outEnd"/>
          <c:showLegendKey val="0"/>
          <c:showVal val="1"/>
          <c:showCatName val="0"/>
          <c:showSerName val="0"/>
          <c:showPercent val="0"/>
          <c:showBubbleSize val="0"/>
        </c:dLbls>
        <c:gapWidth val="97"/>
        <c:overlap val="-35"/>
        <c:axId val="1957876048"/>
        <c:axId val="1957874608"/>
      </c:barChart>
      <c:catAx>
        <c:axId val="195787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74608"/>
        <c:crosses val="autoZero"/>
        <c:auto val="1"/>
        <c:lblAlgn val="ctr"/>
        <c:lblOffset val="100"/>
        <c:noMultiLvlLbl val="0"/>
      </c:catAx>
      <c:valAx>
        <c:axId val="19578746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76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Discount!$A$2</c:f>
              <c:strCache>
                <c:ptCount val="1"/>
                <c:pt idx="0">
                  <c:v>Yes</c:v>
                </c:pt>
              </c:strCache>
            </c:strRef>
          </c:tx>
          <c:spPr>
            <a:solidFill>
              <a:schemeClr val="accent1"/>
            </a:solidFill>
            <a:ln>
              <a:noFill/>
            </a:ln>
            <a:effectLst/>
          </c:spPr>
          <c:invertIfNegative val="0"/>
          <c:cat>
            <c:strRef>
              <c:f>Discount!$B$1</c:f>
              <c:strCache>
                <c:ptCount val="1"/>
                <c:pt idx="0">
                  <c:v>Total Orders</c:v>
                </c:pt>
              </c:strCache>
            </c:strRef>
          </c:cat>
          <c:val>
            <c:numRef>
              <c:f>Discount!$B$2</c:f>
              <c:numCache>
                <c:formatCode>General</c:formatCode>
                <c:ptCount val="1"/>
                <c:pt idx="0">
                  <c:v>1677</c:v>
                </c:pt>
              </c:numCache>
            </c:numRef>
          </c:val>
          <c:extLst>
            <c:ext xmlns:c16="http://schemas.microsoft.com/office/drawing/2014/chart" uri="{C3380CC4-5D6E-409C-BE32-E72D297353CC}">
              <c16:uniqueId val="{00000000-8FA2-4C28-8693-5A20F3B47891}"/>
            </c:ext>
          </c:extLst>
        </c:ser>
        <c:ser>
          <c:idx val="1"/>
          <c:order val="1"/>
          <c:tx>
            <c:strRef>
              <c:f>Discount!$A$3</c:f>
              <c:strCache>
                <c:ptCount val="1"/>
                <c:pt idx="0">
                  <c:v>No</c:v>
                </c:pt>
              </c:strCache>
            </c:strRef>
          </c:tx>
          <c:spPr>
            <a:solidFill>
              <a:schemeClr val="accent2"/>
            </a:solidFill>
            <a:ln>
              <a:noFill/>
            </a:ln>
            <a:effectLst/>
          </c:spPr>
          <c:invertIfNegative val="0"/>
          <c:cat>
            <c:strRef>
              <c:f>Discount!$B$1</c:f>
              <c:strCache>
                <c:ptCount val="1"/>
                <c:pt idx="0">
                  <c:v>Total Orders</c:v>
                </c:pt>
              </c:strCache>
            </c:strRef>
          </c:cat>
          <c:val>
            <c:numRef>
              <c:f>Discount!$B$3</c:f>
              <c:numCache>
                <c:formatCode>General</c:formatCode>
                <c:ptCount val="1"/>
                <c:pt idx="0">
                  <c:v>2223</c:v>
                </c:pt>
              </c:numCache>
            </c:numRef>
          </c:val>
          <c:extLst>
            <c:ext xmlns:c16="http://schemas.microsoft.com/office/drawing/2014/chart" uri="{C3380CC4-5D6E-409C-BE32-E72D297353CC}">
              <c16:uniqueId val="{00000001-8FA2-4C28-8693-5A20F3B47891}"/>
            </c:ext>
          </c:extLst>
        </c:ser>
        <c:dLbls>
          <c:showLegendKey val="0"/>
          <c:showVal val="0"/>
          <c:showCatName val="0"/>
          <c:showSerName val="0"/>
          <c:showPercent val="0"/>
          <c:showBubbleSize val="0"/>
        </c:dLbls>
        <c:gapWidth val="219"/>
        <c:overlap val="-27"/>
        <c:axId val="482274816"/>
        <c:axId val="482270976"/>
      </c:barChart>
      <c:catAx>
        <c:axId val="48227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70976"/>
        <c:crosses val="autoZero"/>
        <c:auto val="1"/>
        <c:lblAlgn val="ctr"/>
        <c:lblOffset val="100"/>
        <c:noMultiLvlLbl val="0"/>
      </c:catAx>
      <c:valAx>
        <c:axId val="48227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74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Total Sales &amp; AOV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 10 Product'!$B$1</c:f>
              <c:strCache>
                <c:ptCount val="1"/>
                <c:pt idx="0">
                  <c:v>Total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Product'!$A$2:$A$26</c:f>
              <c:strCache>
                <c:ptCount val="10"/>
                <c:pt idx="0">
                  <c:v>Blouse</c:v>
                </c:pt>
                <c:pt idx="1">
                  <c:v>Shirt</c:v>
                </c:pt>
                <c:pt idx="2">
                  <c:v>Dress</c:v>
                </c:pt>
                <c:pt idx="3">
                  <c:v>Pants</c:v>
                </c:pt>
                <c:pt idx="4">
                  <c:v>Jewelry</c:v>
                </c:pt>
                <c:pt idx="5">
                  <c:v>Sunglasses</c:v>
                </c:pt>
                <c:pt idx="6">
                  <c:v>Belt</c:v>
                </c:pt>
                <c:pt idx="7">
                  <c:v>Scarf</c:v>
                </c:pt>
                <c:pt idx="8">
                  <c:v>Sweater</c:v>
                </c:pt>
                <c:pt idx="9">
                  <c:v>Shorts</c:v>
                </c:pt>
              </c:strCache>
            </c:strRef>
          </c:cat>
          <c:val>
            <c:numRef>
              <c:f>'Top 10 Product'!$B$2:$B$26</c:f>
              <c:numCache>
                <c:formatCode>"$"#,##0</c:formatCode>
                <c:ptCount val="10"/>
                <c:pt idx="0">
                  <c:v>10410</c:v>
                </c:pt>
                <c:pt idx="1">
                  <c:v>10332</c:v>
                </c:pt>
                <c:pt idx="2">
                  <c:v>10320</c:v>
                </c:pt>
                <c:pt idx="3">
                  <c:v>10090</c:v>
                </c:pt>
                <c:pt idx="4">
                  <c:v>10010</c:v>
                </c:pt>
                <c:pt idx="5">
                  <c:v>9649</c:v>
                </c:pt>
                <c:pt idx="6">
                  <c:v>9635</c:v>
                </c:pt>
                <c:pt idx="7">
                  <c:v>9561</c:v>
                </c:pt>
                <c:pt idx="8">
                  <c:v>9462</c:v>
                </c:pt>
                <c:pt idx="9">
                  <c:v>9433</c:v>
                </c:pt>
              </c:numCache>
            </c:numRef>
          </c:val>
          <c:extLst>
            <c:ext xmlns:c16="http://schemas.microsoft.com/office/drawing/2014/chart" uri="{C3380CC4-5D6E-409C-BE32-E72D297353CC}">
              <c16:uniqueId val="{00000000-FA9C-450F-9401-0B5487878169}"/>
            </c:ext>
          </c:extLst>
        </c:ser>
        <c:dLbls>
          <c:dLblPos val="ctr"/>
          <c:showLegendKey val="0"/>
          <c:showVal val="1"/>
          <c:showCatName val="0"/>
          <c:showSerName val="0"/>
          <c:showPercent val="0"/>
          <c:showBubbleSize val="0"/>
        </c:dLbls>
        <c:gapWidth val="34"/>
        <c:axId val="1970945392"/>
        <c:axId val="1970947312"/>
      </c:barChart>
      <c:lineChart>
        <c:grouping val="standard"/>
        <c:varyColors val="0"/>
        <c:ser>
          <c:idx val="1"/>
          <c:order val="1"/>
          <c:tx>
            <c:strRef>
              <c:f>'Top 10 Product'!$C$1</c:f>
              <c:strCache>
                <c:ptCount val="1"/>
                <c:pt idx="0">
                  <c:v>AOV</c:v>
                </c:pt>
              </c:strCache>
            </c:strRef>
          </c:tx>
          <c:spPr>
            <a:ln w="28575" cap="rnd">
              <a:solidFill>
                <a:schemeClr val="accent2"/>
              </a:solidFill>
              <a:round/>
            </a:ln>
            <a:effectLst/>
          </c:spPr>
          <c:marker>
            <c:symbol val="none"/>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Product'!$A$2:$A$26</c:f>
              <c:strCache>
                <c:ptCount val="10"/>
                <c:pt idx="0">
                  <c:v>Blouse</c:v>
                </c:pt>
                <c:pt idx="1">
                  <c:v>Shirt</c:v>
                </c:pt>
                <c:pt idx="2">
                  <c:v>Dress</c:v>
                </c:pt>
                <c:pt idx="3">
                  <c:v>Pants</c:v>
                </c:pt>
                <c:pt idx="4">
                  <c:v>Jewelry</c:v>
                </c:pt>
                <c:pt idx="5">
                  <c:v>Sunglasses</c:v>
                </c:pt>
                <c:pt idx="6">
                  <c:v>Belt</c:v>
                </c:pt>
                <c:pt idx="7">
                  <c:v>Scarf</c:v>
                </c:pt>
                <c:pt idx="8">
                  <c:v>Sweater</c:v>
                </c:pt>
                <c:pt idx="9">
                  <c:v>Shorts</c:v>
                </c:pt>
              </c:strCache>
            </c:strRef>
          </c:cat>
          <c:val>
            <c:numRef>
              <c:f>'Top 10 Product'!$C$2:$C$26</c:f>
              <c:numCache>
                <c:formatCode>"$"#,##0.00</c:formatCode>
                <c:ptCount val="10"/>
                <c:pt idx="0">
                  <c:v>60.877192982456137</c:v>
                </c:pt>
                <c:pt idx="1">
                  <c:v>61.136094674556212</c:v>
                </c:pt>
                <c:pt idx="2">
                  <c:v>62.168674698795179</c:v>
                </c:pt>
                <c:pt idx="3">
                  <c:v>59.005847953216374</c:v>
                </c:pt>
                <c:pt idx="4">
                  <c:v>58.538011695906434</c:v>
                </c:pt>
                <c:pt idx="5">
                  <c:v>59.931677018633543</c:v>
                </c:pt>
                <c:pt idx="6">
                  <c:v>59.844720496894411</c:v>
                </c:pt>
                <c:pt idx="7">
                  <c:v>60.898089171974519</c:v>
                </c:pt>
                <c:pt idx="8">
                  <c:v>57.695121951219512</c:v>
                </c:pt>
                <c:pt idx="9">
                  <c:v>60.082802547770697</c:v>
                </c:pt>
              </c:numCache>
            </c:numRef>
          </c:val>
          <c:smooth val="0"/>
          <c:extLst>
            <c:ext xmlns:c16="http://schemas.microsoft.com/office/drawing/2014/chart" uri="{C3380CC4-5D6E-409C-BE32-E72D297353CC}">
              <c16:uniqueId val="{00000001-FA9C-450F-9401-0B5487878169}"/>
            </c:ext>
          </c:extLst>
        </c:ser>
        <c:dLbls>
          <c:showLegendKey val="0"/>
          <c:showVal val="0"/>
          <c:showCatName val="0"/>
          <c:showSerName val="0"/>
          <c:showPercent val="0"/>
          <c:showBubbleSize val="0"/>
        </c:dLbls>
        <c:marker val="1"/>
        <c:smooth val="0"/>
        <c:axId val="475030368"/>
        <c:axId val="475037568"/>
      </c:lineChart>
      <c:catAx>
        <c:axId val="197094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47312"/>
        <c:crosses val="autoZero"/>
        <c:auto val="1"/>
        <c:lblAlgn val="ctr"/>
        <c:lblOffset val="100"/>
        <c:noMultiLvlLbl val="0"/>
      </c:catAx>
      <c:valAx>
        <c:axId val="1970947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45392"/>
        <c:crosses val="autoZero"/>
        <c:crossBetween val="between"/>
      </c:valAx>
      <c:valAx>
        <c:axId val="475037568"/>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030368"/>
        <c:crosses val="max"/>
        <c:crossBetween val="between"/>
      </c:valAx>
      <c:catAx>
        <c:axId val="475030368"/>
        <c:scaling>
          <c:orientation val="minMax"/>
        </c:scaling>
        <c:delete val="1"/>
        <c:axPos val="b"/>
        <c:numFmt formatCode="General" sourceLinked="1"/>
        <c:majorTickMark val="out"/>
        <c:minorTickMark val="none"/>
        <c:tickLblPos val="nextTo"/>
        <c:crossAx val="47503756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txData>
          <cx:v>Geographic Distribution of 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Geographic Distribution of Sales</a:t>
          </a:r>
        </a:p>
      </cx:txPr>
    </cx:title>
    <cx:plotArea>
      <cx:plotAreaRegion>
        <cx:series layoutId="regionMap" uniqueId="{93F01DB1-6E2F-4FB0-8136-2C1259DCF9FC}">
          <cx:tx>
            <cx:txData>
              <cx:f>_xlchart.v5.6</cx:f>
              <cx:v>Total Sales</cx:v>
            </cx:txData>
          </cx:tx>
          <cx:dataLabels>
            <cx:visibility seriesName="0" categoryName="1" value="1"/>
            <cx:separator>
</cx:separator>
          </cx:dataLabels>
          <cx:dataId val="0"/>
          <cx:layoutPr>
            <cx:geography cultureLanguage="en-US" cultureRegion="NG" attribution="Powered by Bing">
              <cx:geoCache provider="{E9337A44-BEBE-4D9F-B70C-5C5E7DAFC167}">
                <cx:binary>1F1pc9y2sv0rLn9+VABiIXHr5laFnEW7ZMtL4i+ssaQQ4AYSBNdf/5qakS0xE1u3olevRklK0cxg
2MRBb6cb4L9v+3/dZvcb86bPs6L+123/61tpbfmvX36pb+V9vqmPcnVrdK3/tEe3Ov9F//mnur3/
5c5sOlXEv7gI019u5cbY+/7tf/4N3xbf63N9u7FKF++aezO8v6+bzNY/eG/vW282d7kqFqq2Rt1a
/Ovb37JNnW7evrkvrLLDh6G8//Xts8+8ffPL/Jv+ctU3GQhmmzsYy+kRppR6yEXi4Ye+fZPpIt69
7WDmHrme8CnH4vGql5scRv5ckgc5Nnd35r6u4UYefn8f90xqePns7Ztb3RR2mqsYpu3Xtx8LZe/v
3tzYjb2v375RtQ63Hwj1JPrHm4d7/eX5bP/n37MX4O5nrzwBZD5VP3vrL3icbYp6A8K9Fh7EP6I+
9VzheejhBz/HQ/hHxEfYR4Rt8fIer71F5efy7EflcdwMlTOY4wNE5b2EFfLmpM42xd3j/PxzXaH4
iLu+K5i/nXrhP8fGw0cM+z7idIcNebz2FpuXSrUfoeejZzi9PzlInM5AbZrbdHicp3+OEfGOmOu5
PmfuFqQZRj47cn3P8wgmW/1ij9fe6c8LJNqPz/d7mWFz9sdBYnOjGyvfLDaptq/obyg9ooRjyjzv
m/165m8QOnIJogJz8ERbq7pF5qXy7Efn+egZQjeLg0Tow31RgGu9v3+cqFdQH3bkU9AcBGbs4cd9
buJ8fkQocTn23O374J6egvQikfYj9GToDJ4PlwcJz8VGFa8IDWUw9Rx8yxPP/1RzuDhyMWgW8uhW
s2b681Nx9sOyGzaD5GJ5kJB8VvWtLmpVPK7af64xYNA4EYIRvgugIUx+CosvjjwCMQMTO4czCwpe
JNJ+aJ4MncHz+TDDgXCTqT+1KdQrOhwICFwGeiOw+GaxnuKDsTiazJmHKd7qzePa2Lqdl8m0H6Cn
Y2cIhb8dpAJdbOp6cyub+t7aV8x6qHsEEBCPejslAbfyFCSIrDliiBB/lu68WJ79AM2GzzC6OEyM
Lu+7N8ebvKylMq/pf8gR9xnQAIRtFQkM2QwjCOq4K9BO0SB0eBoavFis/VDNhs+gujw+SHU6142q
1aZ4TXuHjoSPEeKA1KM9ewqTwEe+wL7r+t8Jn6cwvUik/RA9GTqD5/wwNenK3Mf6NWMFciSIz31O
+F5ssIuOGAP0GJ3ZuZ9Lsh+Sx3EzPK7eH6S6fB40sKHxo115heDNPQIgOOQzO8ZmxhZgBHQCA4IU
TN6jMj1VlhcItB+XbwNnwHw+TK7gQhf2Va0Y9Y7A2zMsPLrX2WAEURtl2OVknub8XJT9kHy7hxkk
Fx8OUleON91GqddTlYcwGfkeIvy538eMTZQbBUJgixXEbk915OeC7MfjcdwMjuPDTG0+39f2zSdl
YvW62Y0PauAyz8c7uhP8xlNv7yNIbohHBIKQYPqZZ58vFWs/RrO7mkH1+dNBas6FqmvdmFfUHSjq
EO4xH9EdCjNWTbhHFChpD7u7mI09V6GXSLQfoO8jZ9hcXB0kNr+Z9LULbhTiYQH1tL8JASZsiAAj
B/A9/MyweYlE+7H5PnKGzW+HGZ0t7jPwOa+ZchJxhMDlcPeR8hTPrZvHjihE05TgXUVuhs1LJNqP
zfeRM2wWy4PUmyl7/kOb9NGuvE7oTIRLCdlVAuZ0AINiKUJAGOzoaAgbnoYFL5FoPzbfR86wufzj
ILGBRoqvm/w1KQD3yINCgeu682iAQ3UH4moX7aIF0KenmLxAkv2QfBs4Q+S384NEZPKa079l+ZpB
AKDigjXzd6mmmBkzKBRwBioDuG0dzUxhXijUfoCeDZ6BdHFzkCBdagP16XBjdKZelUCDdIYI4jGy
S/lnSuSJI+wzoHE434vTy+XaD9V8/Ayty/Ag0bpKs43Ur2rlACefUMp3dDSCvPNp6iOAukE+1BMe
Ow1mxu4lEu1H6PvIGTZXh9nDdqK7V/Q+UMuBEjRnHt1P3QgCuAA/jXd0AZrZuZ9Jsx+T7agZHie/
HaSuXN63m7tXRATCaMI4kJiPFm3OcmIOrgdMmrfr+gBNehoW/Fye/Zg8jpuhcnmYtMAq00a9Jiyu
f8SgLwDTXc1zbsB8yDx9j1B3MmLTz4y7eYFA+3H5NnAGzOowo7VraIOqh6zdvCqzRhHwAtA2sMv6
0Rwdzzvyie9PfbrbygAo1VOlealU+yF6PnqG0/VhmrUP9/2rdkpjSP6JT328I9XAaj3z/2D1INUB
gL53gj4F6Kfi7EdmN2wGyYffD9LThBqM2uZOPy7df04LANUJbBpjkMZsjdYMFahtHkF10yd8Zs1e
Isp+RL6PnIESHibHub7XUCbYvCImLhQJfNeHptq9mPjkCLaAQPcN2hm7GTQvEGg/Mt8GzoBZH6YB
22Zmr94R7cHsc4J8DG2EDz/P7RhgBoZOEPexODDLY14q1X6Ino+e4XR5mH3RJxkwAlrVr6dBEAxg
l2KwWjsy86/cDabQ1sG+kTuP1942Eb5Eov34fB85w+bkMIO1UEPP+q1Vt419nKJ/7nRgYw7zGGbQ
MbDXwHlAvREwgNidFQheKM1+aJ4NnqETHmbTwElx98rdaOIIGm8F9R+rZ+BangZpsJ8AYIGtII9V
hBlALxBoPzjfBs6AOTnMvQS/GTXqV2U56ZE7+RT/sTwzYzkxhpbbaSMbcNIPOgVx3NPo+QUC7Qfm
28AZML99OcgI+kqqV4yewc9QKDVD29P3pPKZuoAhQ8BNE9iw+/Azi9R+Js1+SLajZnhcHR8kHlNx
8OK+V7eviAqBPWsudNFgumP8Z0YMI36EgWqGXVMzLXmZNPtReTp2hs3lxcFic3pv6vvh0Za8guuH
yAwmHvbf7G+t8WB7DpTcYIP+Lrimj9feRmbTLP9cpr9H6HHsHKHTg0ToYmOG190zPfEB0B0IDRzP
Hb/HwZJB0xoRu4h6ZsleIsl+VL6PnGFycZjZzP9B0yBUxrDrC+hJ2yrFrB7gQVMh8J5MoN37M2xe
ItF+bL6PnGHz6TAZgU/3Jod+40eT8grmjELxjLnwz8zHQArDoU9dcHAzDz+zQPkFkvwNJI+3MEfk
MDOY7T7v/4OuANi6gcBYuY9s8wwfaLT1BRBoEDdv8ZlVNV8u136Y5uNnaN2EB+lvTu6gKeBVtYf4
YLWAqtlr2DCGaAA24npg3B6vuiNofibIflR28s/AODkMR3P7w9N2tsne1qI9++R/ecAQFJ9h4yZ0
A5DvKcvTlEZAj+dErH0LBOhzZGaHAP29WPsRmg1/dieHccLQR7uRj1Pyzx3M1AsAG22hp3ZHlc1a
0R/yfg+2B7p8ZsF+JsffzP+D9DMF+XiYvuXy/qt53dO3JuISdp5PeGzz+RkaoBywG3AqYO5vPn+J
RPtx+T5yhs3l8iA9yYWazkJ53aNqprNOBLRnPE4+JPfPLBccnSagNwNYtEf93DqTF8myH5YnQ2e4
XBwmcfl5A9vQi9i+6jZaqJhhDD7F/5szhB620ULJ83G/zYyVeZlM+wF6OnaG0OfDzGEu1K1U8eY1
tznDlho4ykHArrS9YRicwQXnPAgAb3+s/BKJ9qPzfeQMm4uT/x+r9vcnD347lHGxsZvlw2mOTw4f
/PG7DzcPJ0zOhu4I+r1BwjZuOrn79a0L5ztB8vLtlMjpS55R+9/bW/8y6H5T21/fOmI6xAtjSFQJ
HAcB3A7EbB3sJIS3MCKwZ4fDbjdodnehKApvFVOn9q9v4SQWeAeo66nNHeLvejpgDF6GcyUetldx
kGwa5387QfNaZwNswP82Gbu/3xRNfq1VYetf3wJZ/vZNuf3cdHcMdgYTT4DHxCABhp1BQG6Ut5v3
YITg4/h/TJv6Rc9xdUqt0y8IzVZWtnZFcuu/Y7KQ+oSJ2CkCW8uRLVPDG+ejtCy5yyBo0nXQO6Yc
izDPhYrWTuMQ86EZquzMj4VKri0vzJfWKO8PNvLiVOI4O7Nd4i6Ek5pFhZTKT90+Slc8Fe3Ctklx
npSVo/8oZKkv2qEpx3U+4HXcjW0Yj9ItV3nbGfFHqwbiH/tIxoGx1cB/b7u+8a8H2Py58LSS54mr
LV0S3hZFKOLSV5vWOvL3xmR1fqyNTuNVWTcpP7cMSRuvnCxHNGxQqmQf5J3ySXeZSdhP5a38KhvL
Sw3bIOtA9rXxQq8YEhod25oT0y9zXSEnPy0YZX4WVG4kXLZIGy+PLn13jJouiDKYzypQQ950VRgB
ldQtmrb1cIhlhNFt12V1Ny5TqViHgrSo2WiCItFRGuaNGZ0h4E1BiqDwXScPeytolAXSHyuKFywp
6RimvI2LMjRx6UovDfyk0WNyN0bDULM0tHk8sEUba0UDSAfbeO2mfWQuvdw6J6grzDVK/CgYhUOC
rqUmSGpZnEjHadcxK92b1OGNCkiNxqDFRfcOZx1bcVEOG69M0mWXNVk4pINcKF1Xq9bP03PjKLLW
Nc1PtLbNOi3aygZVoXmQtVlz4rd96DUyXeV5oReEy/gKjigswlZm/YLTOF1Qy0iQ8Fgf16OI3pm8
yz9HhWPLII0yPxidtrzKEv4x1Xn8jsRVfd3J1nuXlWn7h8z9fhELHJ2aUvbvYD3o1dBq9Smr++g6
c/XwOZWl44Zd07Rh5LnRosPKuxQijT7JsifHveTOldNHvQ1q44hV6xlyHvEoWzuJo8YF9kw6fCor
nwVelPGPFcfFTT30KQ7ySMZ9yJKK9KHKjdeHehjHk8JADhEIW+fLpinsSdePZt1lafyJlJqcidGT
ZYBL1n2AKKseAr80UbJoUpP9iTvKs4B4I+sDMADFMnX1GAxQv7+GQqh3Yjr2Iam8RZ00lASU9N45
Hso4DhI1ZkUQmaa9auLYPcN9r48pFU1gkwGwbrLavJMZLz6Zui/WbeSVXztXfsaVaUOb+f4pIJ0v
h5LQcKhL/2Icsv5dxGt5WtDefIgxGX9vyJjnK9H17m2iDTpzxsJLgqoi3mmX9WJFk/K+FVV0jBmq
lrJPR0DQS25E6je/I55kn4d0VJ9JZxULWeWnnyunEIsuBQ3jjjVrBDuBl8Lr7EqV/KzTCQ9zX2Xr
xJDhqhAFO+36WnRBMaRJGcBY5wonKg1GNiYygIKtui6ipD/tnbI3oY5TAqs4TgLJ/D4LlHXqBXWq
Yam7pgy7qJPTvNjA8zIZxg4KS1Z3pxqJYkEG5n6inkOurGM+qtHcJKXj3fVMp26ARIvSgHWwVyZ0
yzH54JmEnuVoiM6RpWXAkzpaeCo+EbT2LobOVKAaTX0zZn62YAbpW94gPyi7UV+TSIxfq06bKsBO
1gci78qzOInpx1hSFvIqc2nQ5dWwGEcRXwAP1/xhmbModBaHUZqjcEwxHsOkN6eNKuNNTaS6zzq3
Ceu2OnebqFsy3vUL2Tbkd1dG6pg4cE5o0HfdcO72pb+gKe/qwFrXAY2jEl3iqndWRmNHBlDa0+/S
pK6rsLRYLLOmx5ctHCQXBVmkUBvIvEv6Y1fa/r3uaO2HadyRm9ZG/te0y50saFTjktDPOrGMIjm8
p07kn+u2YJuGGX0meGR4MFgMdq5BpL+OcRGVQePLOnA7ii48gfGHATv1pReLZgjihnQLCIIzE9RK
nujcb1VQDtg/d7CrL2H/WgpLlOnQov62Ap/3Hnd8OImdqA7hS+MwTqL6hKWlWNuK9ueOdVUo/NK/
pdqwP7VD71RZuefYa2sbDlU+BJlIlpVJHFByJ73oeulfCJKm5xJpngTJeCuRWwUVynRA+/6jRuam
r0YU+tjIsIjyKFANlyuFMVsjNYp3FTZ66XBXkpDWXX0cO/IyS9t4RRsVLUxh8GdVMbpOYoZWoO+3
yVj47yu37kJZZfpD7GGwINKUp12S5ktjIpZdMI3jkNVFCwd6oPjY6fpBBTzndg1Jg34HKzdfFEh0
12rQ5q7qawcFbokzCHuo/ynmET0FCYeF25VFqFnJyiBLWX6dRw5bZe6gT3Bh3RDVqF8MNVLnjom9
gBeFXtumbxa06e0frjFykfm6CFov/WJr/DWpyjQcwT2et10eNwGvO3lN/SoPilqniz6XbjiQvv4T
kzZdNnhobhLE2bKlnVnq2E9X1Nf+ghgnulEtri858uy6E6QCKZS5auOE4GUyChMH1M390DHSOema
M6OoDFnRfTWIZl+qvmtWceend7nv4eUwIsDV979IP7s3qapPiAPuHnlpuqgY/F/EPBEMjPHjVll0
gpKMLlqF3ZVrFT4fSye5FYnPwHZKZ21Z4QS0jrJ3ic3IqVsnalXapDppICBZNlUmjgnV9crrIfJy
Os3WqSvbM5XrDPSoL6uFxY6zQMNow77U7ZJ4dXFrWadCkP2DamIcNoPkx11LqlCxi5F25XFB8zRA
pXBXGrPbCpXvmsaH0EEVSUiTcQ0m2gkG4vyOFR0CKblaqXSECCNDfJkifemV5p2H6rWoq/XY5U2A
8rRbIFm89x2bniZ6jFeFKf2gEsgNuCrcgEp5Wo9ZvIpodkFyx3kv6r5bZ7wRx3RI4sVI8ndOWlwP
RsmVzZEKRu0UIc+Gd6Jt8CJVabaubakXdiyLBY21HzDZ4HXRkhGMsEeuHNu7Adh274Olrjoek0iH
guH7KuLOkg1JHqi8yQNXlQwcWSrBH5DmXQdtorcqH6ql58Dy07VzzPu2eMed1gdnPMqgZQ0OkSib
kz434jgpYieI1eif5nZ4lyn2hUbex6dHqz8Lw291CfcUy91Z9t/+/M8HncO/D2etf39xOgr/+1+Q
nm3P0P/hp6BreOJR6vmHplzq23d9P9V9yl++HfE+y4i2p+7/Tbr0wzef5VLPWONHrmebS0F68/eZ
1Ix8fppOwbhdMsX5kfAIgQ1zwIID3TTth9smU3Ak4lSoBd8DZ+7BGZZTKrPLpeBARAJt9ECb77oa
d8kUhnI7caGBSGDgFQUca/nfJFME8sInudR0RTiSTMAJMq4HHcjQQfk8l8pwYgrcpezex5FtxNIt
aelkISpbNX5irCnTDXUMq1dFNdQDXVi3Z7IPHR2hr3FhaOGE2u1T71RINjSLVDhFddyJPKsvMpaX
kAbotGflV5bapNcLh/MsIWHseRTfe70emveZ7L1s4/usjG5JTip+GXNVlSTIsapBFFoyk19JjGxX
LOKMmbQMdMfyHBzbUIHIcZ7j4czNSZH86dSthjFPIN2TcUKj3LM5guYTlwrYXzftFoLpAmSf5pse
zlUjufTvo04XSXVsc5rR44y2kFcdj3VsVReOqoSTTzMUKTda/fjyGMjG59efTo4hcBADVIZhU6WY
3n+S744J8WuOuLpLcEpSFVpNGIGIRrhOlaxM38XGLgxkhFQGDnXAGl13lAy1G2I68o6cWi6LOg20
rojBl3D6fQXv/VhIWMJPZYRDowiB/mjoOIB2w2lZPpexl8pxpSHOHXdMi9xFPHqxV60yn1qCgsJY
zr+kDEUWaJxv6vZzbKbrUgFPU4BihwtU7fy6ZTNoTzvEv4sHWHM8aFGZ1b9LGrlFHHSJatRVEcGD
QCy4DQ0lkeDHl4cel9lte7A9CbZeCEiU4TSGaVqeQBOzVjmol+TO8TKvIiHkwpxtQJEce6JH5WWX
ysEaX5C0gnAgrREC8w18agaT8t9KAps7OezKhVMfpzI2ei6J9GSUJQMyd5R3oHKrAfMRpytmuqam
S+VHlH8xDUxBFdQcqhVfNBpaI5at0qjsfoIKcD3Pp4W5QM7CgToTEQSdDrPVYLlCyZAW0S3kBAUz
a12VeTQsnSivxbAefNPDEvnx/eOZJfOmbhY4uHxSVCgRwyM0nk9ALMaEidI6X+HQVC93jnsrJ4XI
ey3hsSNNl9CRQtxbD24Z9MIlMBFMIdnc5CVPhrBwsCluRC5zU0DgpI37Pm9VUX/9sZiTPf3OXVEP
WG0E26bhYDsPbDjsNnguZdNFvkHV2H/tjTWwCFCTIsAH9R1hTtAb0jo3pZtWk9LYTk+/IBdqfoLP
XyYLYw47uAmCLiBKKJi252L4EIHboeb6a5ExB2x4AtZr7IJ2QHZgZyRiYPfruIGzmvIEQsIsNGVu
MDv2gUpo06CSYG0nyz9IGFVAyt6e0T4tdf4TszI9gmY2X1MTE7CGvgsIcz7zTz3pilIUI/laRy53
8mVi6zJrrqvRKgjuu2qoQDjHy1t4T0OOo4eFD6Ghc9OVZXRSC5MlcZiPECSf5bIqbATxGOKRDRuG
nOw9z0U85qFLRA8m0XWSARenaBQZfGuqoq6qfqKm+Dl5CZaKw1FG0OWDILODTgU2sxiwMouqLdry
i8c0S1hYIuhtrIIoaoQwIR4hU5dBNGytZ9ZQeK95MCcljnx4q+8s4dWq6cjPdYjOrTgctgjBCINE
1IXjL/6yLNI+rYEK0uWX0oAWVUtSpz69cLEkwxmpgSStAhG12fgpl/0weEEjTVfJEAx+x9/H1Rg5
xyaHiP2TcZqaX/qKTwFCT9s8E+u0YRM8uiYCltDQeqx9X5okHT+NGU87yACybHJaCmYfANKFkPAi
gVh1/OTnfQ/YEZYM8KseUWz9BZAcpF5xr5mwS/tYQYBRPVxe+LEzdIGv+wS+QkPwAJIrp5hiA1uy
PN30NS+qciVag9sbSvRoz41JIxNkWW7cPHTiKO+PYwrO9Y/CLyL6qUUthkXm+THEGS3QghCi/Ng2
zK0mzL4HZ1lAr8TEoBM8WxokGooYizL7MuK8hiSwd5FX1gGwRzo7IU3VgaH48RXn1ggOdaTA4YPf
hs5n8Zcr1gbVsstJ9wcZm2kxdg2dzJ9beyk4b95WjH+JEjLCIgQextbxhQeGBdbpj8WYagPPtJzA
aUauNxUNoKRAIUp+bo5G0jaVI3j+KadFbklgdcOce13JCqyRTOsCL00EHPl1W/sxWJxSMh0vY9+6
rQ7gYTBd1gbWjauzLPL5TU9M5g9B3WHevre+g1RYsbHXZ7CIkAwSRCNVBjTieFJ2iWAd6lZCdHES
JamdNL+FkxauptOXyiEgqSF9u/7xHc/tmg8HnaOpA8N92CgLOcHzO055JIuuqr2PbVMgCGKZMS4E
sS0Q510Aj+qi9Fjirodl26fAEFRBbB8iW4eX05ImTdK50U3U82lJu5Uac3OsSpdMJrIaa4RXVdaW
tVqPbEhB6yJg3mDB4sHPQTs9XIEa/fiW3Jll8yEC8sFtglUDBKGJbmaqK1Lko04K96NvJQHdsmU8
CWAd0kyq+6DHsKV4ANki2U8qDrZyMimmrMDROBI4G6B72fSSrlJ4SBrQVR49VkDJwkvV0Gl+GVU9
fEpJIPbxaohzXq9SB4juVembltThAP4CbvcntzbLAODWBIZjGuD0RugroxDvPUfLAkfuZY0ePpK4
nSyVNRUsrTEblb61yE/dAog/XY2fPLeY/GPuaAyA9DzP4mE55hxDuUYQp+k+QpRqYDo6D8ie4pS0
I1iTQjkClhjtsnKybg2YzWPllh2YNQsRCVxQ2QjBX5BjYZiKPKYwFdZ60rEhy5oEVEIKN4G/tvMz
mcLpGXM/irRnOgrPh4O99uC/GLBKwJLMQ13cjZQPvHI+tLmnwTpsw1tX+n2bhpBZyrj4mVmYuaPp
khQ2/LlQU4T/IGp6Pu0IqkmUl733oW4wrBA7wCML1Bp8P8wPUPRUs2XUObqvgQkiA0x41kYFhCxg
9GCWOtNn9trjtR8lq8hSH4wBKGT73kAPCHiA3AHFt30BjmoHW1x1BUxln/kF6Apo0QRHnPYTEE6i
MPwSQyLa90jnGiRhaQq+KeV2ylN/PNt0qtg+tYlw85MTACMBPY3QcjrPbCAcrJ0Y9cMHKQcO7Jpt
UlKGUYei5JK7IzXDspKGA6klXFdA1cCYSlWnKGtIz4ISoh3nzMS5Qy+iXHokBGq+j2+RytBxFzWU
L1IPqPc7mmSjeZ9rnsOTEEeonVzRFqN+XPhJIVgZVhA/1s2q65jfXppKRr0GLhbl+Jwgg8WiKIzA
QNrbxkSB7v1qhCpF0Rrah3GftqAM7Wi6IYOqK0toshLA+9MbntmBxiHqcdM161J0EkcQv0WxPbHS
g8gs9MasG0dIa2Eplid9OkRNUNVlwlet8GKyYLnTjx86rl31qaFZHEEh2Lo4HCA/1UANxrYWC6Hc
Lg1jlsXH8HAKu6g06sazSBQIrXGHpbuKndqXaFlCSY5+HFgbp85HoVHff+htT+yFU9vCeQ8ew2vu
mOHcfBw9KFvqoNQay/qd6McsXUcK2I3VqKmf60Ckmrgy9MxYV/5XnCd+cQdVYN32C1gqQ3UvGtt1
KEyzrsbJsY2KivlQNUMs4+sIiHl+KbDnpOm65aVbZ/Je+gWxMMs9Jr6hFyPRLSzpEZu6lO/gsTWW
o2VR0LL0gKeNlMzOC9anVbxM2th27XnHolgpYDrzrmHvo8Il1QlPqIz9FawVTtKgbEcEbj2rfdWJ
IHYor+xCRmZMhpMurh2p1p3KwduEqegoGNi2VA37XTsNZ/UJLI7OicKOQNiCL5sSoi4RWKh29/wq
cz0Pftnti45SUD+BuhNk9SYcodhafR2bSrjtacJNGbvHuHcczwuHhEE5et0XCc6zgNF28ouIOQpu
JyYMnMqmjwZ4Yk+YMClYfDV0ZVd610nkJF228lLiuOVJ2gzCb694QpgSQP6KiZPwjGUy/eTFUeSM
Z5RmNcyUM1Rgsi/AaleSnTkkMl52jlWlcHadJB2UmpdQHurqeKkVbFcyIZisSaShdTLkLlEsB1Ut
UJkmxl8UFjms+N2N3QKulyeZEB+b2K+q0EDqDTPr+o0CDxJiLqcvAfkhZIH6o5hieipruPuwlLgg
fJXIbpoxktkUfulaWuemyL3J5NPWxr4Xis5qWABjAfHG2gqoOoug3N4qdD2MMH1VAs/L88CX1BFc
LZMYkswCqwkeXFLpss8466d5LqhIgEuCnggDUDhF6kt6X1WQ0FQroxREWmHn48ED6t6XrHEAQdpU
zSebFI0qYL4cOeq1bEaK+ws/8SaRFSBdjjccVhZcgcBb1dfI6acFxqFMDcizwYHXMpFPU9O2GD4K
LtavOpChhWc9wT3u7scYQqqvQLhJeI1BgYHfpIxGAqpPnQACKCg9iWEudqsnGmsBX+klznRzkR0e
JqOBVWPCXYwr2Mimvwj0HFwQpIxzs5tqZ/vxx0nefg6YAje98NwSai8hLhzZfk0VL5VZq4IMcNOV
O8IDaIPYJbFCN5CAx1oEbAuUHlsLSw0y78bEJwUWQ8QCnMp24FcibzTMUuvmGXzELYFjMyHQHFEr
ghQNU9Ab59BuADrqxaj6KrYzqEvQILBr23uSroIcLSx1wTt8PEDpEYahLbTb5cGjNIP54RTqeGjJ
vGy6+Z4PEtZpjM10GUklhxcH6BDx5MfRUbSxp3CnZJre7UIam6EBKeEmp2/BytQwDrr5CKyu2spJ
9O2EOmMH5Sw43oVo6i0dxIo0ORmh4aUv1zECEgktO9Vo0GmRxBPzUXeAr2o9t/qKeVzA8qkZRKxw
86aFYPeqBi57+kK3nX5BV4gPv7ICTeqQj2ySv2h4LLuPTRZnsVoVsQ/fKyuCY3Kc1oOH7RnZrhWV
1MJ6692Ui6Q1IM7/cvdlzXHjWJe/iBPcl1cuuUlKbZZs6QXhpYokQBAgQJAAf/0cWu6ZcnVE1Xyv
0w/tiLKsJJPAxb1no+0jhl+CE0Dgw6nsGc75JZi21H9B50bzpYbYZx7BZ+mW4MMT2uF9V/U8SGCb
AwADQDZ4TJ05Z6Ldt7PB+Yr/xpxJaX5gaBatu0SFHqBrmGPhc14NRTzwpSS6BWwYFIHBz3fzpPEH
msZkuPLJ4P8dX4HbJf4aACqagOUP14XNBKDAqig+PehasbymI7GYAojb9rW/Fijl9GCjKUSFyVU3
mLwZOI5Y3lhvJAUY5AJHlX3zU0tRb9pBCMZOv+BksICdogfTDZh3v7tYIy34JGmHr+MY/dwzk8gH
fGGarIxsr1GXi3V+maK1W9PT/HHrtmg1vqJI2o3hjsCr66RJNz9AlZsVyOqxDqzcVw3wqn2Jf+Cn
uWYrvoHAhPv9zn0f4g+FBY6fn3qgj17ZDxtwZXh62FiUgCxcyu8iGSj8ROqCfYYFVaaxrj5Ali0A
2U4OZpwUCc8tmTb8ju0DeiMYy4EagqxmgChJwDD6co7ZaQQzCmAiueEs3ffTHK89QPiW5TNKZZQS
hzNPO1QaesBku395po92qCA0OQMWT4cRUqYb+DJxl28r2jPiXVaileqvRQSBRFcKg+PuLmMkSufH
eKfqSWMJ9Vx3SFeZDBoqCQ/v0ywzgEDpe9xGAUZyHIYFHv7mxRvuKh35fmzwhOzLTYUqwOL7+Cbp
LIBER73fR8tl3RJOske2mdV7VmimgSpscirSd9RbrC9vlRu+ARr7+z0QOXoo/hgvd5Rq6NGvorMu
uFjle1q4bgq+xXZIh2uaTtKRQxwKPXt/rn1ALWlwokVDUuoB+LcH6QQkSK9AJFc2f/LbibYQfiQu
6uzTmqG3mX4US79M4ZsmOaCJo2Jm4UXlhZtmr1tswliUBqeDxbAPIQB6yixLChMYrHJOi7Ba8B+9
bCkzyMPinZ/+eScfz3KSFABxhZBEt9/Wz3IzDMte/wrX7tUE3f++eXvN958Yf6L3hIb7f4Mm0cNP
uNbtP0gioBO8weS+cxv9QCS2cotukVy32QWyodio+64s+P43v5YsekpUogJv2MJffUDwezn12kpZ
p6KsDELl5w+my9pVlKs/ArCP3QZl3nmdxn2Xt962w4EaPBH+iNGWzWeoM7C+Yx/8wxW45X7lrAfT
+P7rgxJV4EibsFS854+JbezplrGSjtLEj+yjYLEPoHGCVQGrwRumHYTUKlVxXPOWT4KU3QQZ5bPp
E4l7nleweMulD9u9jeugq/Kes2XYL8v83HCeYDhHSpKYfZPLcKcZ63G1+5rMyBayHly5HjlvOjpg
Nx4+vhDgwHvRYwjiwe+NdeDRmy6Mhiz/F+DrbwM9sBzUB6zgEMUtDf4LVu5mcAjAq8PnTogUV521
rcVugKBhuE5evO+gYQHwAq69n/Zr/5fp7vfZbv94RG8g13ZPh8Tn/22wVcYKb9UZoKqP0gj9xb6v
MAdgJ/3zR/0NQMdu8mHLwmcBssL/p/tY/xeGCjqRKSdoJf+zRnxmhagmSeL4HgLvfXUXabc/VNNT
PGERqxiP7Fdx/Odr+R1CgB0J6ydHiE+egg7HOg9/vxayRCHgW9o+46VAKGN9Euz9uNbIyGw2gdb5
377n//5AyIQBHKR5EQJcLP6GK7JO+QFEsuRpsiMOipbhxD9njqHM/drZ/3yDwQ7b/V96Z7/DPbgj
gbovDxF/+3cg0w40bsd5SJ9+VYy123bQ3qWQ4SUHC1nZcqCSbOrRrJGjNTfjXs8jhdLg6S3GefQv
V/T7SscVYZTaXwcHyXSCgNi/02Ku8L01c9H0NHxsqhV9Hfa4NYygrvfQnOERdLFx2JlFhMMBrYUH
wZ6H5ieazFYtEyb7Q8IjkfilRWlx0PLJCT+O/UGCK1TNmCer9YPPkh9l9p9v4u+PEQ8OofY+3osL
SDbA6yJ+Xzc4d6c5tN5y7TTbK9P2sxGSOhnNo/NyEyNJ6/8d6kpAgCAXx/+VwLKngP/+eZlFN4K3
65nrr2PPtt1ES1+gsopSaXgt/mefB8h/f6s8NgZyYOP/KgfRSoBELz29fhxLaJL3p5GxAfti1NN+
YPzzB+715S/LFAsC9NP+QhroUWIgmn/DM1e32V5tCTtlo6dYUmWcZ9F7qrBh/m0L/vdH4dHloL3w
1mkMmX8vdZyE3Jk2bU8frciSAB3BOgonjj/++a5+STH+cmPACvFRP7OmEHaY40V8vz853wcvk/Wd
Pqot9DvdhInd1QgGYZZG/Kkh883TSugW2GoB1fOGabGck3YO+A1Oa0hw2kowCeTnNoyBPfjQDCYt
9NwOvUEirsT2LLCuIiEopzc9TRxjkKJhPE4NH8wWzpUv/FTzOlcJoLbbyAYiSh+KDz6PpRhGonsy
cghT71jbLQUkM2ZJ+wCYCIVU44RBI+t5PXhU4lH8alAyD/+sK9lHW4EOPcdhkf4sYx+jBlt9lO61
4yFKN0bDvQ1YFwjvvZMIc8wJY2jwA2ixUpNdIz3szZz30dtIkKPY7b7Mg60vmZ55sEHRqIqxr1OZ
DdSU/4E8JhybXfmrkfnZQYFZW/H9blO+H+LZBFXfGbMFS8NG5gIfyRmmiuXig63o22qwHC9lOALP
H+jwEqHtLaJr6mAOkGea+t4OBuhFAWd1H3NYsToNfWTHDAfsCgQmA8tQ0m7OBak8I9rV5+WEFN8k
fCimQmZr007Y3NOnxBXLJj6Bb9gZLfSAfphexaxBInzqJdDmtoYICXKCQ6emIKAVD9B0/ukweur8
kqR2Dd+DxLo5vwI2I/JxLArKwoaOkJtiEoYRxs4VbDHg0ptRODzbGnryTbnS93bpY4XWLEjyysWO
rLes0LPeStDRa49pusgVeNG+g2Yx9od5/ZZCsQgzAonRcI8lz0auvoxAXjxT5h+U269aNIEPb9Pb
nKNu08MIJTwE0r/6LADfe5/oxnk/dD6WBuSA6AbHbGAY2VQBRYwsF+WnPEAla0WGywgZpOAr85bi
E4q4yJ8lNIvDgfdJm5Rd267PiesTWrt+Jcc+XqJT70fbmSu7nIBkiKdMpWFli6S7Zv08+MCMF/WJ
YFGf4jaBAwW7r/tGlRy+tH4vaguXA2bRIZqPGHYBKYVjcpNL/10wbMdxleltuvayzqDRxNP1PXWg
mY0bKnpzv9Fh9ht05XOTOz8asGJT/r2T5hleJXmjYq+94RA8N4kGBA3tS3tahCnqrljzx0x2E3h9
2f/o9UTqoZNt6eJxrBNSTJd8C/nBkREs8CiTGL86dyMEqGN2WPErzznmsW/KCnOE7oH8mAoIQJkN
BvgaCpocOuqLZxkDmy8HQDS69CLRvsAzkX8dvDHBKG/4pzUP+8YPZ/8S+0XXl8Lzolv4RraDmjX8
rzQjjwAPe+iV5qj4EYDqwTwTyOBpCWkHMa4bvSbQfH7SSwzAAaWghofDXCKtHKT8fM1hDilIl3/p
l7BwZygQzHcdxjRohJEzxpyed65ckHT5Rz4nGa894qkLLyBHqONgpo92iRjmJC5uEj0H8P7knfjq
Uy1vLQJmbzRsI1ihJNk51HZZLxbt7B30xssZ6Ld36VnUhXWO6vcjWFc4gLYtDzqMzdJ7W+W0/jF5
nq3CPti+ak1FCEWBhHxw2zRWbjfIoYRiSplabiuzl9S0U1v6geyvLshQiDFSVcsaQZwMd+ggL8pO
6hBKE94kA7clkN7XZHXffUPINQ6wfRZt5hrQIgS8reVLVidORE2czeNVdrF6c9KiJ/NBb7e6NAwa
CFbB8gDRuGei+CuYaVFG4TAeBYCCMvT5/GiDkT3qzs2sYvPcvkydm74oK3lYTtbYigRKQk6P6wPj
mgNzw8az3VbFNl8filB3QzVuC/1KudxKkDz8FWGnUynlEjwWIBHOMlR5ZZRPLnE/xl91ntpbCrx/
Ae0QG3womUtivAkTqWlv09wTfTkErPiqPAwDdY7+jJYJ1dNDuqbsgEKfplUB381pDkT3AJ0OtB1r
p15CMcrjAivEkcol/aoi8rJiTn7ZJr7lx0lCbk0n3v7h8IUcuzkzpkEb6J5nVSSkVPEExpa1c+l3
y3JOCyaPE/rQoGwzXbwU41x8i6yMPlFFxLdlW7Y/DBZ4vWQivIshLDj6OCnqyU7zM/pLD06UcYEa
X7P3zRfjMRoCAmUW4ORr5/wYZ5lFRfJpnwMPSlh6ykDMVFKP9MgSo16g7Ypw/Ut4CfwxOtA00m/A
5aaHYuzUKXBD8cy52m5aTafGZii5GIN5fx1jf74oE68Poybqk8rz+HvEFhSHcHLLNXYcmweY1n0Q
zebGqmw996uNBHCbfDySlMc1xmMoLAF7FOfNU+QWDhH1uIV595IDOnmbtnz+hAO/PWGzZXdb4M3Q
MEHHPhQkuQXDHURwvBVDnW9ujLDe1XjYWk88MEDwD60VcqqgDPEPaqXTm5xN3GK43rZbVcTmBkIl
BnSAw08RbQVHzeYWynuWnwJwftUit/g+X9oIyLzyfngkhAbt1iXx1heV4xa9bp0ZQNr5LUuiJZsb
Hy8aG2bYRSS5XT3ZPgBlGa5e7MbXYVZf8W9aAL198Ko5OhhqMnq1BYX8MpFBfymEDN+NBxdhNXSr
fwepj3npw2WZjl04wJdVdEF2ExOh8kPh87G48C6XNXjcGGY98N11Xmw8gx9lLpaSR2S8Cg98/43z
pgzfdeqvs7qdigVET2BVsJ7HeOL3kY29x2wselmlVnWi6QqpnmjbLzCWDMJ1N7xnoq89NSYQIRIS
eEdYY/T25PJRme64tx5+XUwWmeoM35pYW3ZhmMnVUAUZOpcq4YYsd0BLqK4iE7Sf1mwTrhL+kN5C
rkcCePLQIt7MGMTn16TH9KdQR5SckxSNUztCVnRa5jS7JKH1R/ppixwJl9LZyS/MJUSx8895DEbg
OA1uVPA66cQ8F17LKBQ47VCoEvaRdmCVFxf2uY+gminDLh4eBZxF23HFoElh/phC/3YtqB2rUAHH
v8sGlNMaArmtFkC2LhTmjyoNMnaZPWc1vR+clxYbXGZ89C2vgdNwtqu0ZJjw+3mOaT7XLqXpAEOD
0QL7IQe9WcHlEvImDszQ3cKeSNOSj4B5q22201hG3IH4yQxlp7GPE9G0IArvWA+YtKa2t6eoRSRz
ncITmwESoyo4s1ZJ0JEmyRxcU2C/0zmcr15S2KzilMS6zGIWAYoDZvcaSE/9WAq0JpGSLjwKQYKo
aZcuNGGFFq7zYJ7SuxRtLbMufXJeLDI0ZiZ3/VChks74AeF7PdImUYSmPG06OcgyaafAFg3jWZB1
jQytSJK7wFtS8wIyl5MTnfL4a7ss79vWtfC3yfe2kAktMSbw5xXajobkBC5AHB4+ikSqQH9l283g
wuGqot4clk4VlZzkJssMMk1Zcp7wZzUOaa1U6uAa62PU12Xm3+eWbIdMDKDxWkvuwDDmfhVYvU71
hsMmfih0Fz1nEBCpul+A9WA9YMGU0MOtPwIh2aOcRp03OsvaWy1G8WwmPbeNse1CzkCN4X3yuC3O
XNCpDsdpOLCJJM8j84OmmDtxw0ji3cF9G9+EEqSlaDXI6wJjUR2GBC/tMJk5bjYMhxLJZwOv4Sqc
dCODFCY2lq/zWaqVlIVefVtNrIWnJ9WLLIsAhqxKQBBpzjrFzTUOIPfzRvCSFgLeezpS8Gu1wqZc
y80xdcUpj8O/T9lQ9xT9BS6BPOHU6Q8mK9LKjLJ7pX0bvAN5sweIdoojPJD8kMmMPnjUV9XC0+6L
P/KXgUIJ1mJwO2QhoW9iDWdRJpEQb5FPYEAMI2LhQrU0r3qAoxciQ9x06wPh7u1SYdiN7inGkssC
F+531kXZOyNt8IUF0XoLwzEECnIS5wiQ8SvA95DtNc3KMqL+dJcSEqFvRXHcF2H8PWb7MOxGvp/a
NtTfxJJ7fTOkPYhQgMkiPY/J2ItKq97O4Jo2AbAwW2lQRQPqSJl6PU3uBqnDb13XzawMB1xDSYes
g48Rv7cC/IU10TmZnHlqwqyeOwg5FXot1l64FPNniamtq5iMIv8dB++qysLL1+UEA1Vaz5J6Jzj5
wpddN3AItoUZeMM9eZ8kln4zSy5xPGDyPAhDoIYSJIluQd2pG+kgKil3k7e6tdrIbyycbV9pwIxL
2S+D/T7PDnsFmxJzmpFAMX8sYK2WEozc0ox0iS4AqVtIpnq7oZmHbPQPJLos5MCzbr6JHea30kM7
MtcDmbyk8SYOza+/LcnrrIfhLZMwbjMd6Xrwvcm/mjULnsGu5QVUQejhynReu+G4oqm6oPqNa2On
roMd2BZoPaHi8MQ16tbAqwzZlXiO+4lslFzgMIAiBYuoijve0Zgth3ZJQaVwVlGGJk01+xgLt7ab
+hA9dTSS7cuozcjuQxGsusZUQRhKWpGKDU74wLSDO3p+SMf4PjURyUsWTH30dYBsFN6zxcstJQcQ
Zsz6d6wTqSgqTNsWVl2zdVybKsOBm7i6A38FY7+Bmjt29bg4wtmNy0kY+ZU2GMDkw7AAHYpKC5l3
YQ7KyKn/0rYsFm29YquARoEbJxpVudhJpPOhRa82nk1nPP6nnrRdkqaD/omPTTKBa3smfgju5Qg/
YT+PtXKx59MHauBtT15jD3IpQ6FkBgewQOaO2/+De0Xm43vUdHR1AdN78iUBy9Q9f4C1ntwJh3ko
dmg0DIiVN8gi2al76AV2HgT7cMt+tDHxbXqErnrDfpsCXfRvRq4dLL9jDqDLw2RL6JriiEA5nl9N
B0Ahv53RUNqrTwvfIUKh1WZixw3sFp4Wjjwq6LcoN+PC62SYjRtvIoPb28peQGWhK4heIk6eozmR
fdqkEKr20cU3ZnICOqR+Ro+D2aGdDlLmFPXYm0XNoEK6CyHmQusuC1RMV/RoovL42M8Zd04ChV2A
pPYVJFVmWOOmHW3cD41cobgpgB2MIr/d0PrlDfGGlIAFWwhMgGUQT0XcZG6L4iN4P/4qczO8eFDX
zGUoYD4r4ca1WwO1Cf/hjwxdFtTvnWKNSHXR1YuCTsWWWziBfNxS436q7C9F3y4PAEuXE3Dg/lb4
JKpYmJo7GjjHGxlxiLWWAkSw9IZnWtg1O09o4bIyGqWLSzuubDyq2YeK0eZyhZPWX9gPufmEobTG
cBOnOEdNPUebe9I9fL5oELyhQQeKCZFQmSRHlcYzrwnCEb55G7EObuF2nYKnHPbLpF6RGfVdIYgG
Fmq6YDQYkbGAaUTRoGvQTih9Ml3Clh+tZ3fEBR11OMJn3rUH+LQW4h24CXKIc8IJQQ7Ej4VoYufr
U6BF9obUhzjQVUbCVlQAFPsEE2rm9JXnqW/q0E/M/AXSB8gmoGGFyq6CpmNa0CAFIXRFALeuLSZv
XsYT+vA7C8LNlmvEsiZj6XDxWi0gZTcJzBXQ1kk4PqvQGV3nY1KAkvLm7gjfAh5MZmHwjKCtO01y
mGhlAJh92yBYwNogxaPxfIH73OQhDaR9cHjYdVyQvGgQqbH+4UG8BPCQyvbWQxnW7xgu1+4xowh6
QNcVwZmKDia9qDhL+m8okZE7RktMYYOPyB1kku2PViGcoczXzUKuRgyQkW3rbSl7f33JbWIeVjV0
uAXY2MAOZ1ygmmYcZgWWFE8B4MOsLqhYzwFAi75eoY35vEYxfIQJ0zHsv5RCnqiS54m04jCHo/8l
VTooiww6xE4NGxT6Gn5fWI7cFZ7KsK9DoxeYuoYRAvmiX4rl3KYK6jQ9bpCDtmS1uNxi2KURmIYr
OWYOjuc9ObLEi8J7XbcLXNrAaOB36MtZZpAXRq2e0BSMTt9FRprbNgyWvPaTVmYHCCHkp9VmM1TH
84i7hBoge49Vl7clRwN+P3l7x6vxNisEz3hud6wzUkCOwqa+q3GgUyivAJc8bBwIQLmlUsK7vEBg
V0c+75tt2l3ubQI5HWQjXNZLJP9ckWnShETbap0T95ahWiw3doaVuR6mJX/SiZoRjOElyYSBoAcK
xENxFw0kvMm7gWWQCRHHSxWQ4sbzuvCbG3q2h0roB2j1aAUNWPgVrhgzgmfICgdHtqaqyta4d7VZ
HdXloPKZNKbr8wH1V0XDDQ1ClxzmdE1ePYLkkSuQK+RTQMixJwxIHrz1BRQPJYcQ4yqgMPGbbE0c
hoIihKthIn7CGx7Q7hNLrFornJvo6tCf112kpnz/3tL7NVoBQ0ehQCDNwKMvE1QWbbmY4S3SXHxR
sxAlYsmAPUJRCaFUu2DJD+qt9Va/RW9lvcpD53GnDOw9GrjL+9ga76woNnWtepbdz2YWlzmZ4PVQ
GbsFLpCdPOLnr0CM+wzLoE2/yXCLGhv7+mlRLjwzxNOFFV1yJN640eeQzoyAeDKt8xPSKsa0RhwN
GifeF/Y4JuEyPMEt29cK4FatsNTjaooS06B9CW5GJzpoA9fgS0ec/VKQOSilNj6skwlreD6QPyEr
9us4ieeXHO3+MYhJ8E1Agf7Fxz9JSs/ii4Pk/ws8N/mdBcl/lMuMXZebrxAozw/SIMmjzGfhB9gH
2wNSkRg6miDmR5wHasSYoaM6zyBOwb++XadQfaYAO+rcYlCZENC0lbYLxKuXD/Ez7aKYVzFQ/bOU
YwAqDEpLFkXfnQH6rxomgQepbzigGF9qcOBwMX3BRCu4fFKxFnFyP9NuQpXXeOsetElqgv8ZIgEL
J/wErgGEo7iPEf8D+ckawqsR1pHw7dydfdNxup0h5HbzC+ntmnxPxliwExU5n+OKxMqfvTpfEmQt
oHgxqFnAaUEfQYugT/0awrtgQ9uY+66vFEuVb8/GWaCYZRra5BDH45q/IwJiRlFBzsOAlJU1Szo/
qdHnQadQey5tWwha4PNfIEdGGw9VlYMXGpsGMvY4gRS0k+IPf/JcpmsQmhDqNVqujnVgLPuWQS0k
W7KLyLEGJ9AgCEfZ/OlxifIZI0wf2VSpV5GvZKE1iNgccx8sQ72lV0qFNqLWa5qnQePLyOjpm2Hb
EiBGhLayd9UqYrRk5SY7VIYTgU2SFhUQ6/1O4rT1i+GIjJ8lmz4br93CpOxJzvB30MJnqb3xZo2B
+YY6ZD+klfWLPFsO/0LP/W4QAfkHAzVeFIMeE6x0CuHD7+Tc6GPmoFYW330KF8kv1jtMWQL6SUW8
hdpzzZeRVz6PVZiVGYKvoFQZwKPoao5Gm73Qn0TXP1/X7+wyLgvJtSnsqnjDAMhDcEW/X1afOFiT
2j77wYTcvU38Q/jBWTFgIXoCdNm/EJW/c/L7J8LGjW9j9w6D8o3/Jv8AaJjPiAEb/+Afn7h8qGqi
ZFSg5nXWxQYiuMW3iHvqegqy8uNR/Mqie/hgRD9C1f6ap/DXeIX/n9McfosG/GuaQwQrBcj8/6MF
+K9kvOc9se6/Xjm+B0H8+qe/Ih0QoA8fkA/bGoycCaQl/0l08PJofxVvAsvKbuL7+Tf/ScdL/hda
QlB+IQarGCJXLDQwyj8T8vBGZdAVSYYYliAJUS7+J6EOyc9EgL/Q4FhZ6MshYMDvTKMA++33JW0w
bY6K9uKEDR+sTdGxaMVY0RfHbnc9pmMIFmFsaf5Y9NG2IIFk7K9rCv/kMnR5XiuAm58o6aPPyM1y
D5BIjc+LTgmkloF9kFuE0JYMJeoksW8B7eA7uum9RUCzMAo0K5alvEYTj/4ByEgR3eYDgoFYIDxs
ZwiVLmabhqmZMGKgdXZuDSqGYCFbgxUZ/9TcgFtCOxLD26VjZD9Q+8A6EiN2Ahq6BiU2uii4JTnA
s2SkNcjxsDsvVoPaFC69C4HAy2oOSXQ2mGEheYS3r7C9PzYW1fHN57goWEXJ/Ac+JVjQu4ywVxAz
6gghZmjY8IsH1xQuic6WjKlCWN0sWIMZJQH5iXfGNtHm8z97PPBTQhL7kI7J2jZg0MmPLU2AEjDM
95/l5iEwj+DKPiPGQn8eV589Fcy3D1ASdPerIeMnqXNxP2u1uBs7gd+oIXQENkW6LEf3xUGBVH4A
40q5dTJ/tAzXNaUAa0oaEMLRzfZAqmIw449bv8n3oM3zBzIIaAhxxPtBTVCGxroYVnHIcq7LZMvO
oKrkPaCF4iFBGAGSB3FcnDS+v8MipuIWwBNydLpuve0MQnlst0Ck3CeADoNgyh+9GKuFso5DOZkn
Jx60vOJEBZ+IYPEZqFB08YY+PluTiXumJgzwW8xdk2Y0uCAmaq2mgZm47vGSBH3aPD7jnoPoEI39
9G3d+PS2BxV8lhjNo6rYYEKtwETrH9Cj5g0Y9zlFb++KRytbDGQuLp5D5Nk82mizbVNYmAqqZIne
Q2K1Bs3sJdDBdt76Nd8Y0DAdFLcSk0p7gOapvcSWjv2JZNO8nY1xoTv2YNZuQ+ItK5jpjDeRb/MR
csiooPMZ02QCNfoqzVMWFAmisyJbPMjcC0D1wR/0MgYuvuugEVhbgHMAQRBsiPwhBKAFaouOrXV+
QaC9oCu8pR6+CHVySS/yt2kRS+nNBdIWMY1FBM/HW5cSxjEzrc3+Zu8DxrAtNCcQJ958mVO0d+dh
mlz/OZQQtl0S/A/UNZbPl4y03jPy2nQVMnKHVggZTcusP3cTv8Iu0d4OBk3qd5p4YMvKMOIi9i4t
97OxzsLBf0lghTj0mwNpsc1bQ8AtH3zYBEooXgeITtv1tUfcWO0VnbjT6OrQ6cxP1ATIUxwkYjYy
Ci9lidZnfU1T0qYnbG/v09hGBGlOClGRJom4rCAXlMByQ7R/MHAfEGGm2x/JiGs4Ob+3YG9NaGo3
W3QouU/PwqAjc8X4JDZgOEinO9MFzUEBp/dlhX6xySwQk3hGyzUJe1wRh/Ij2VBpBqKqiWxHmwf0
6PowALUxZ9Bt2+cZES41RLfHfKbJa6Cg4KDGGEDORtyvuf8UwBgJzcSGx7bDJW0MWHCB6helIkV+
1KgrjZCEGx+z6B/UZdDhhuQNltb1ZNdpeB7TJb+ni4A5dYde4kEvDwGgxMME7y5Qzc4d43S79lPu
jgOYyKrr9ID8DuQyWuBmVcAcq3qlhKxZvr0JgrA+N2T3m1R3M8AtAFbdUrFIAEQlI7QSqeffIUlt
vU81Uid7Lb4VqLbHsQ/ypicQaSPNlSLOLdGVgI78tAnRoyddvAvlPVi2wS2lydp30YeYk4Our1jm
4AovjCiHWajP4CDXk8/b+YUaNWNhrN6xVfZPo9Lh6DrqmlmtwaclCMl7xBKPl5Z08W4547T08tA/
m1Ss7BTxOLkZpx4+fKiUEX6HtM+jNCy+5EC4qt0J9mhkVxx7uLdrytEzz0nMsSrSLbs6PUGIsCCI
kTb51M8I8JrIazFhuowgcW9w9nbXrfjf7J3JdtzItUW/CLUQ6DFNZMdM9j05waJEEX0bgfbr3wZL
fiVSZcnlsSdV9rIlZCKBiLj3nrOP13wpq6yCrchk7hFBU7EVXd+uIPV420IqZgRzXz/RSdEfQK9p
G4WwO6hwgp7DLq2OzHTafWEW3hUu9fJMOqN2gQsd/1gDs5CGDzQ2OTvnrRGKcdWNKhMHeuLRqZ8V
Hl66kto8V0nn0jwzmdM3DixOa6BWtrF/BL0hzHOTcTGqxnikIV+Xyc6tQm/H1CI7YMSiXoUAgiqz
0+5VrUuQorJs1kkHX1E322snTKurcVb6uZlm5dpT3Oku5zGwhq3ONAHbYGztDQN/Zi8tamBIlt9M
MKffuqIt1g7OHlSeKhxs9kFnOpQuO3aQTo29duxE3FVx11/HoC9fKSyjTe3TPm1C41nzu7cEKO+j
YzjjSqMgpqtv35UW0yLeqYzSNOvBVrLOzVMT3kWttRvN9DlEkIKAzd5hHlOrOQSTaybT49RPPqON
CuGj2740RY5z1NRPMuibm1YY9bcopCedpRpjJ89M973RlVVgzBP2BScUl7l0qEHlkF2VwjkHWF6e
FnPbbQplQMgzIuh3AZKHod5IUcznEUrkTV3I145GxFStOUpxvkhmk1LZ7PO9K9IZWdDCQ/SXxTWz
UfTEtI4DZbUwhNnlNnEZJi+op241w6nW5tDoz7HhJvsKy9o3uo/XXS/ewqLBd5Mwv9fcpzIXOnQZ
lezGTEf1MoXzaa13GDvM5qmKaOHNzIGHMgtZO+t605cNkyN6Vft0nIoTs69PbLShQGbFXUJpeYp5
EaRJ4ogtzU5/Z6QqDmo93bU92phKjTfWHEvmNXGJoN0OujidX2lPW9RTXXUT4qUIEjB4NGQLc1oz
c+6BbFaK9oYstmNX0TzSvK9hZDwKZjBPegMYwfTdHJypfdUIxXNlfy2MQpwkc8fQL07qY1321bFr
jG9uMQScC14lIvQYenBe45mTw96rw3QlrRouUcOgpfeceMeJxb0W2hSt43xIt5Tz4wVt6fAS6cih
5Uevckx2sY4SRFqB7dY8osKL1lM8GutWpOLcrNM7NP3OdTjGeIqHxO4gB9MiYmZRBanUVm7v8O0i
4JZs6adaI521dGbci8luOWw2oryoXBUF1uAz6qze7CTaNzjyVrGmX4SDvJhzdDaxkkErkSfUxXOb
+wic5Hg7yO6yFgrIannGaY0BlzNPvPfhyKi6yzgDIi2dUl5z5jJMNW0zQUCDoMo+LVOEF07RlEHs
tCtjcm3aklkxXxrMeY7v1cz/Cr/fIdEROWOw//eF3xlis5evcSe/wRD4sWTkBL/8yX+h/Ei7Neix
QG+yiYvUf+CiuyYxOI5p24YHOIcihvbH98rPMv7w8DBQ7VOXIUteKHvfKz/yQWg5MLf6iw34L5jh
hzIeFvz3//6BjU5d92PdB83PZdphUmVysZ9Icb45OVpWa/Ue1vBbXEX+TkMou0o8Jug/3J3/8ErA
OiyTGthkizI+Vph5aZXWPAquZOCJK3SQQVR+qyGMu+CfX4lr+PRJXMOixf/xSpHSsEvUWb3nrIPS
tdMvZM8xwoG28Y8vhC/HsCjDkVxwrY8X6t1c+FU71/tJZm9Znr2FWvKW8u//5jK2ZwngjswrP905
WHwoHfEuowSDJMzxBEdX7ACdGZP/4tbxrNJyQ3PnejC/Pn6jqKaRVjEX2vdhwfQd1tgqrAzvtIU5
8usvtfxNnx48D9Ib2LSFIvSeCfCjy8jtC28pXep9PCBFY4R4PUXjPcv5fd0zQ/n1xZaG3E8Xo2W3
QMEc/yeElkbrmXezqvc+Q/y1KwF/pB7bYKUlL7pHMZpg4AJ1A2Hm1xf+2CnklaJd51imzQYHPQ0v
6sf7yYCpM/K4rPe0CJDRtI25skkFuNdS/tOvL/WTbWK5lO1yknFQbPJWf7zU3KXdlNA532tdw/Gz
qxnKGnp48+ur/O0X+uEqS8f2B3MYbXjACl3OVfzRPhrteN8XQ3ko2//u1v1wpU+3bsiKGFQ2V8KA
PK2xGr9A082D/+D1WoLePj0emN7wfvi+i/MXy+rHL1WFBZbxqi72dW9U61rv6ZVQ7I2X700IP9Sr
NV5jAEmY8/Y6eu51mpv+xmys8rAQrxx66e648caoC9qqHL66cVIEbko3CcGCQGuUvU1g9U6iWfRn
tSsRatUz4kfDR5ZT1QuYKA6LjZ4NRtCxY+zdsSmuptY3HjLXIJ0iTMPnvuin9VCMNr2HGUbZVPq7
IeV5zsBlRIGc0FkQqzB6676JrBOlmAR2WV5ulOGWN0pLrYPuz8NXRqb+ThBacegdwVVSqzoOnuzT
gAYSIsjJyvUvNGtgfks+j2b41ksBxGWd9areVmCdLyJjBmJsgwkMeiqRFMt17o/YKqiNgJrX20YP
R7BSnYd2stYCDHUFUCMWriJ1VYCS2kBzzuISR0m5cRy2APQEglQOdEVBD1rpYMFSBH4/V0c4rtXa
K5pk5/mFFrjQMx4wwtjHMRLpc+RV+b0zZFB+pFk/NU5hPIR8d9qBg6BIK6xu5jP1S5aEW/sqME28
s6vRsSgf8W3m93LwMBNoEnizlqjnkFtzjNOmRk+TvumC37RLHeMBGv8bGrrwRjlzdcJUgU9PWgbF
r1Fl2zbXGZTZPgPkyzRxxmvUitYJKzqApb4ACBAx9uMYQKMwpww5JBHWLlQWUXIembV/QQZE+eZo
vjgXVcpN7HKb+lkbPG+BSOdwViLrgA7CO4VlTTYCwpOHkLN5MFvxFEDqim4xI/CVIjfJnhGOscXC
71mHdpxiDgIFNgfVvFTboKz1+oyCtvap5MKeYWKtgfEVPQR76t5kXjl62Z6iEJ8fPGwIt2OZFW+G
G1cHvuO0KRUrp66jLcAi4N9XhiNuzbLi+YHvbzMss2x0oH4c99W2Gwv/FJ27ubBn+Qk43WY2Xi7q
dmTsmRbgYfLvZdPy2ln6rAU9J+kNQhdvp8y671Z2PiDRg6gT9TumIOmLPxja1i95jxwX6vsq8Xug
2qAerofW7x/nds52dt2pfDtorZHgnTTteTOnFBSLfWWAwo7M78vs1/LVmHm3gPJPYk3Wh7xDRlI/
RSktBnfKWUNBYlHhdnQnHX2Zb+Pj12iu8EvYcZQ9N9BaDmMYlZt2ZEaXtekb8m3/NBSOeeCDUGFF
xcQcUDbDOkZHeB5l/rhBsuUjVOQXAuef8Q9+3tgDAgOWJrxBo9Fla4bk8Td8O/a+JPQEN2jszKeI
Zh9rOfU7mm8FYjsAKpt58MoDw/c3GeIHaDRFSS3yHW2Jb/CV3HUsx5uyMfaq6r90EGfQq+G06sLa
ObIVuldxx0spSj4Wvtf+rEemv4ky3nOLIf7KoKHwQMNtPur+uC1mqrhoHmsVFAO0tVWGpnJlqpyH
mlVxvMSLgXQMFcuFyaFy20Bv3WRdDvunr+G5Sdo8c8vqVgyq31GKFUFt8b2NIn0B3OxdeENqv+Sj
XBonSpzj1WKmgEHpMHY8URkL6jO0IljTOeV3D+wdyw6N+lXhNf6FKrvhq9RaJIqRZM2Jrcy7Eg5S
PwarL6gkGFK0rB90FZfG94jkkcbdmj4ugQ622XlXNKPbUzF0rGTvJ63Ob5tdrhfo1ScSEAoMgWtn
4NJtVcHOkx48OiGGr7FdntQlGSQRygWeYOg+bZJfmLWqtvFgevwINM/l4olPKvpDOd4UVvImJm6m
EBa9Mu5OgvRjjdBSbN5X3SFOnlTmiW/6wGrVL8+Irc/iPAsVnXSbzmdP24w1jpPEStOUfU5gwlZC
0gx6SLQoB2dWRMVopZ+d6i4ZuUOzG5brUXfxyWvEKXT8wukq19t2H7Eb3OJeCAOPifYhnLviSnas
PVrE6jH4vPRZX3DP/arbmqkNXBD3KU0oQ/8CfEQde5gjQVZ1Fx4i1T3s6X4H5cTfAUultdMmFyYg
iUd62PJiGmN1FqbzQ6Kbw4OXTd7am+jiWTO02BnLyaak53yBUJsQm+zJbeg4JWb8VkUhdbZK7nif
7yFGR3vDq7QNzoUmULpZowOQCIqrKdqxuH/R7KpbGS6bHsJj60SDcXXflKy8bcmKoxeeuE0wCVUB
vGuUSu+LrGMxz0DOJph7mMMqc5CQs28jo2Qo3u0Lw7baXRn7K/imNVwP6adg/PKcxSylyGt4RFK/
CATCxxNYjbpPv9dNEPS0Rbue+oYmdl6bSYFuqFEwIqDFFis8QHeSfgiaVbM40E3Q66DyuuZg5rJb
d6JAAr4G0le5znFC5FDMbD55y/pXuAM+dWNICC7IUrIYLIwLMbkYvtmPK6MIe+9g9R2JADTQEFrR
XvPbzlkB2HHfIEbF3srrs+JbTYdjJZKIKY/n1iJgUtJKTje2vllUmyn3wM1QQahWqcvScRGEpBYS
0ICmZrpRddxaZB90okc3I+Szl+kZMNYxvxlSE70Asm5yaDhcW/Rr3ak/lHmarXFUfrG8DjRMSod3
MtG82VqMfIH3i4Wjv7LtVDsTQIPTNcow2oUWkxbeU8NcVSnRQV3u0UtqOoX4NnzJGLMgGjKyjaET
mQFuUDzSxxvPO/Zo2uIRPo3SMgBQ+bk5n/O6Rl+j3BUdYzf6PLk7wgXLNe0kGW3d27pRwfpmOSzf
VsTphGrJGlYDgiHkHXzhfdYNTLg8+G+7Xx+wP7HbKRl89k6PIzzqAmOZIX88jMp5jqxO6vm+YQNd
O8bQn6mo011agpwTIDjiazM1xhXGzLki89vqyAtvHxV6iGQl/N8Vah+lB98/Dx0CQWdpKXY/Fblu
ZES8A3yethD3yIOOLQM6pC7JS5l310CDxPbXd+CnypDhr05paFkwDOlzfFJXSKu3C8Zl+b5vOISV
YReyQbEdl+S0HXEUVb9DW/90/F8uCPcFQ71vmih6Pt7xsuWAY2ERYEFpBmAGJet8QphMvU7b4gXH
B8YOGXMetDHjvW87QzULB2vSILaxyDXCiHL7pZqbfjcSCfKbws78u89nCwORgOvqdJI+lSf1mFQa
qtdsHxeFdeh6WbxVZsM7NahB4mZG0DxuIA7xIsWpUOc9bMuFElZf1IKDdsKX4ChTHmihe+sJI+xK
gsIGIjV19tEyEv+U0X97miHtZZTBcAVyZGjvo5BV2RwpXPE+LtplcJsv6BSY/vv8Y8cE072aFgoS
9OkxvyfnLn1+3xVLsna8YJhJevnNvRDLb/Ghkue3sjlRYpZ2YGF/lt5E4NBTdq9sr5yU87aGIFYx
OgkQhz42iavtNY6NDFABNQKygUrSqsOvH8+f6myfTAUP4ScsGJPH9NPjqSYMknUikr1Pvb2ztag6
1tbwu2Xgp44FV6FRgVrLXSgIn39zkqP60MHjuXcsDs9OxMJV1o4KGgMaFoLHylwROZOcx0QKPv76
Cxo/32OOKMDXiOoEPo8o5eP7wBwRN3Y+xHsm77jPcrTkp1oY+s9Fx9FYEqUxXfgYrO5La7qHfdW8
abU9bNTU2xFREyXyWNbbFlkc6DDcVarmOGkxtub87Z+mVSlfm5DwkBNyqShc3z/9//rVv+lX093y
eFT/fb/6IZFfubXJ/4e6vmuU/vxT33vVnvMH8h+iYpBReC4bEb/89wxPf2lICwdSBpLHd53SX71q
9w8gNgbtY/4XnlWTj/GvXrXxB2oDGsz0tw1ELnzCf9Cr/rgxsDGyyyIjINaEv40a6tNzCT4H+5Qd
O0c/4vzNdjRe2qJs9/NEth6nE2m//HCDLv9cVn5sjv/dBeGQ0LMXbPogtD++CBnfujbqwj6anO7W
oh+AY/sd0p2c4jeapPgNeenjQv/nF6RNyP0CSELT/9NG5KcO+EkI7Ee3ip2X1OcCZpqKW0loyG+O
GR/Xl/dL8VPzW6MfA/f0eVdv4yGOukxYRxAh9kvipu3eVkTSIG6NxLkicO/ezRiREa82Xv/6rv7N
t+RJsnkaPJ0d/vPSNjQZoRFaax2lkVonpQc5ZwX81MPbFLEr/fpin9MTloeGJ1CQRkqMgoMP++Nv
iDNXFkg8LCIVHS5E7pfer7Ar5QkTbJc9pDTTOj4Aeqf9MbXYZx8tUeXxeswp9nWj9P8RKmi58w4H
PFSATF6I1Pi8f+AzwQ4RhdbRG0DXB/7S2MKRxT/+u2stkyeTlj7hT5+Z8cTD6XmM3uloygHMLhvn
q6uK8bpLjfrp1zd6uY9/bcx/fi0w55ZtuzrMKPtTuzZRdas5VWcd+zB+kwZHic6g2v71RX5+dBBP
OgZRVvybVerTj6n3qeUqI7eOM8L6Y+qhn155SNtIwcjoff36Yp/OGn9+JVKuBJvwMpz7fNbwQlNA
1xfmMTUSAgTNnmuKUKNvm7eyfvKazH5B/sBLinr/eooVDd6enu9vPsZy4P98Z5maMVbkVaU9/enA
EQKZD0Mns44j6QUHMysFZ9TQ905reN+BjnmQLktmtERJglkVhMvx8toLSJ8VpN3/+tP83S9g4TYg
Qolfmirl4+uU5b4zFlnNy7u03JBtUxVxXj5aNY2jf34pxwG7JziJkBLw6Ykaa6+tWrcxjwle7mvw
xLyyxISy1HsOv8SvL/ZxqWf5tixSkGj/s7O4Pz++dawqhHG1dggn0LB0VNr6qTTz+okG28ihf2J1
+PUVxccleLkkXQTiqBgL8btyuv94K+sMNqMjXP+AfZj2h0dozkq2crxGHDVeJzLkd6XXQVvNS43b
JOKVKkZVHfF11gAPEgcdVsP2976CKCurJQ+AQfs2jLVZrBNR/e4m2e9b7F/Pos3Gj5Jn0Rz7OpJk
tsaPn7nETWqNhWkdJH2xLdFU87ZKHA0SsMTeC5p2gh5BJdICW6rSenI2gr/sqm1JnoaxjN8Y2UjI
DwkkS73OGAJfgQnx6PrMOJmHkM0TrxczXg9Bc+CkKyKmDw2RAde5w1hLT/ljsIjME9xZhGvL1DBP
BgPChQIRcvQiC51vyg1cEZM7XUZJrrUbxtH+PSmIGhMOP2wEXj2bvxrVfEvLzY+dLMjbBIN11CWm
s8vLhmt43Ol3KXPTeLq+snqIRAAPa8itccUTUltMF4gSU/OOcbPvHAa8KEds8kurpxVlfMjQfbxm
wCrxE5dGfSCdbrqG6zZeaobSeowXWZQ8C0yd88qdTSeDBoKV456UU549PNQvGapsGDB4H14m4ctX
SeOQHbrv7Rc4s8bXeg5xQDRuc906qtjZA5htQDQ4oVl/sXYMvs0OIyYhbjWz4SUd0Y1YIW13yBfc
0TAJ7ycKwF1omvK1xVq6xu4obhW4zWjlD6F7LWU03xs9Wtrat/idCmfw70FoyNcM+wXJmIx8NrOE
okAzpPXvGTvy/6KlzuiLZAWsbgQk3c6K+2Z1OvyH910OhKFHMvlSp04FuOA9sTkqxyrp8mRDkwYi
U5TT7B7i5WCiwXK6RDvnn2IDGa8JJ3God3VNc9Y28qhzQgx4ajJwgC+us8wvpjSlR91XC4yp10PX
OdTLeqn1biN39BeafGcgc2sCiqAlQ1axLzpVzPtX6dEUbSDZiPNYK3J+SpuM+CCs6Ays3cliv1FZ
yCADvz7Pcp9qTC/0kL/WUwy7Ro0U31pgxSdT2F0y1fCDGiuFs8sMajOaz2ihzxEuusJ+QThtvzD6
8o2VJBKBeORJtDfwWIz9PA+RuzYix3ou+75ktJNMZ+jQ8zUNOdpZqZYLbysSvT0kOe4iTOBcRuYj
Svpyrrq1LkPnNidtBJq345XZyrXT6dzTPf1YWMQ1YUb0fQTa0gxGWyP3upyn24ygp01XoSI7ZLie
OBk5GSJDXZZXCs05dICwK75VdqvePIsZmG243Tm2HcSPEy5z2FkZK1Mw5yxcg1633ARtqh8dFMty
K+3J+TrOrliTj1CeVlJvo+3CAQRm39XJWlAX7uBuVee4+AXeAzQPzxEs65VbqfpsmYDsmnIKj2JS
brPD3uY81UmhtlNZz88OBNwDZjNMhONgzc9l3mQbhDczHUmgBWsvtBG8ZkP5nILQVfjbY7nO8Kzv
lsMofvqxkYjCmA9sGs6Ai4i42BaeoZaFCbkcVubrLpPaCeZMwHMtCrnJ7qZvuE+HTawl2tXkV8Vj
kvUWbZVSrdBkorfHs7Vys/bFVejSvWTW1sAN46DrGSaDUOAv8rRza4x1ln8zxKCYtWYs1o4L/lwF
WbMId1YkAHiQM/jl6+GUk663p21I0n2Z9BD9w5ALWUCBUMRH8YkH3x0RmYzXYGa0jVFU3V2dORha
+1JuOzuDjhTrX3NXVo9+nhjMz8S4lVpogh3nc2AqLK7YlRgwzyzvp47VEJ4U6fyidALT08r1y0td
dTXqScVDrTmcyF4QTohzzUh5JaSkYthUtTLSowORGiKSOaomYLVVuIIhaTCH9MXtxDSDOHHV+/et
2yHD9zo6rww24xE7LMhROD6Ezs8BDO/qKRTWeAkEkPHvMpmj885+7HV2iLoOyDMd0Hz528Bly12W
KJYgVuNF4Fex2o7UUYDDOMI5/YzIuLYWDk1sM8AcsUHsbZExKK55bANgL9DnGJrnT0bVRJzn4m5Y
CZOxDe98LBHwgW/36rep7q2VZGAYbnJXSagT1vCt8IaGHOpMsx/I9vZP2tiXezhCmA5K4CodxK00
/iJ79ZJCrdjYVrLwrCeWj8d8Rqx7gx2jMhFIxd55jxsncDDfbhDINPtUc+Yt1KH6jih0SEdYNIa7
3m6Layeq34x8fhwNS1xksG8Yv+QM6oD54RvtauM1ItfwdU6S4SbqoDZd8sYT6t1nkQ+ODVPOqo+T
bKJbI90D+l0Jb49cIZr5Dut4kHVMTfeKoImj1VTTWSOVee0gjcaCV2SdWDn8ChBa6Cfca2U/4pgR
Kj8b29a6wF+SXzTC6q6LhPFIWwn5Ff1IvqkUAX2V7/SAj+rZYBRiJA5eaBPleNziwe5mYPpFk7Nc
wLtCye1Zh2novzCrHm4GFWVXousQrUMZe84glsHEzmN/Qe8JBNOTGZ371pSctSPWIc0fYB7FfSRf
jAQJNORSf1Mi9jyS/KCFK0shCNoJlrytxmG2X8O3MpjIEeEybuHYm7dOViOJKs35pk5iku6nbr5S
RKCv/D4anrpcNd1Gl9JKDjCKRjvwQARhOQlhKZ87oz7UOx8h4Z4qVztNAUDdERthwCkHUlmugGDo
EOB5eM4Hdvg3AQvnrAPttsyxpmOZyiJf134cylUlKC9iFrddhrM3CWpOFjAKere/igwYd6syDcHQ
SZa8p2wkFq2dcvt0TAyWUVOfUD80mFMHJq5tF5KCAFRNQYHAieo3SP293LVYEMXwjaF+F259rZm3
Uc34zLJgVpq5M+9l5ybXEhzpHSQnee/lqKl7MP3BjOKBGa1jMW+NY0Yuc+quzZpBQSDApr6CwWMf
UmSIBjhlknxtcasu+5k6pcxnhpJ2FSYXhu6Od3o7aGc2UAzG+2Zjbj3NbF0Ii6W9JQDNhoFD01ru
Op7dt5A04IfaM9VXMmvc18EhSnSrQwLBY5FD7w+IwgP2QBJi9YYxpcFbHePT2DPqf8OLG13KtMBS
PCdSHUzy7UG0VWjl4zFpwAe4LUYuducLDYkxoyVyINdEwviHaJ7GEYhd5aLP7SzlHTNmIwypXAQV
zLDgqkRzeqG7oatD7yjzi9LPAaSVxqhdxZrJr0Z0obD2RU1YWXc/xs0YWn9WsP/rhf6mFyoszMY/
VGM/mTZPqoFW4F/Z29//wPc2qK//Iahtl24Gtc5fLVDnD/qOsNdpCRCuhVXzrxbou5IXzjTNUUjQ
FJN/tUD1PxDkMangnPW9cfoPWqBU2h+6AfDfTUK+Kb2IOyLHinHVxwpsKpTqSzfxDnpTYHECsrke
MiO7Hk07ey3KnukwyWUuMikwxCtCsLJz0yzapzR1MDuGrtQuYahDPIjrqb+0iCC4z3AfWceG1/Fr
rJI0OoFc2IRBWHY8pg0IpW0HDmITjrl7P9lquOra2pSsLUUeHuLUy1/7frJPe+Re9/FYpe1qhgFR
rJQnDPQg1VjgHRhOYt9KTnq7zzdwARp0OKSFccgsTOeVfmH+rdRdDrL5fA4Ypn9QSWNdZ6HWzdgA
6vAN5EtxEWnvLD2sCROhBE8zdKUXK4z6h5HyABSKjN8004TC6EeLo7Id3Uv4Y36xHidTXqZ2NHIA
B/+38ltreoMApF2Rz41nDjlqdN5rBngzq3YdFCQe+8hQmdapEacZgDxgmj5nyy5+meuo3EPTkRub
XteTYLMZA9MrvB1rk8nWXDj5zSTi+KKzuxNkCFW0JBJGuwhrERg/q9/pFZKo9VwUzk0RRyg1ZrC8
Ls7E2BhZ5I1uXsX0eSJG1pX/Ogl9rBnCt64exHnfHYmUQHoSZs2hC7N0k0qSm+H2VE6Qg6A6trC2
YHlOTklsVu1Bo6x8srxgKl73brF0ruNqn2m6/BJrISIWPynyKrAAjNw0+aAONEiWpF4Wqup9zcJg
lF+I95XMWxa15H19i2yWunxZ9Jz39U+8r4WsrayL4bJEEmXEahkVLJz5soSWsCQDwHmsq6ZTN6ip
ltVWXxZe9b4GY+eNLj3WZfm+QuvvqzX26eoNrGJurWDN5wPb8qy+lq3paPsw9PL7sBvTk96Ep02Y
RWqixHH6F7JhvEtnaPt1tewa/vsGki57iagwM67GRAwXM/Gk6X2jZ+HYX82al1Q5flxNqZ0r+uR6
mNz4soCIK/JXfl1jsIK4aBPu7WiVsSZPddDNVXKuO0xH4fY0/roQ0GmFpfqnwR6cE4+q7C7yuEYo
GzSjUGkkJ92hNAU5NkL05T4sRb3VUKCydaeoKWn/HyaaOVtZZAWv9wIurNqgjjKAhKVocXda1Yac
wSJolAgJ++LkptEU3SSj30FNM1H7ZeJokP52BsXDXY2VRRqdv8/BfJ3ONfhTMr+JLdLLae+MDXtf
B72+WPVQp9el1/IEAifXIShSZ6+l7MzAbEN/SwiIOnBwKDYJlsUTTKzDaYfKCCFTke0au+vUqirm
hq5JA5gy7YpropGtEs2TY++ctFTXmi+v5pgXM6vSN4Rbdwttl2FK9kqrz1qnCEEhh6fyVkM1fZ4D
zwlkCWAHTYa4aa2MVcsryhx7lQX93ElBPi0j5nSIvKA3sIb1XXZpWuU9rYpFqcaLDYxhn6ro2nHK
eFNUULtDPIBBmuj0R0bcjvt2dopgsZ9zt6vhlr4XHSicZaQxWfPGyB0m3UZqXGOehQeXzxkC2dY+
cbEVbpYR9cj8XXZnNibtTTOm4+lU2PMDRl7r0S0ATcYZMUpjHccHt1PuLQE03bEenHxkkcJZTHnL
2rHC26N91TEt1rz50XyxoNNWWOXSy5lx/rcsqr19NVvWvtP89BS0HIq9SEbjNjTmLlCgZYJBMn6N
kqw5LzrmRW5bcChpjRciklDLADXdjmExo1Ft1KaQvU4mLDflasjjbBPOZpkHTpRztw0TjyYgEN//
miQTm4hnEmnCj6DGIA618hSqlbxAeDy89nDgcZxl827xzG10ry7XtOiBw0mveCToybuMVVRPQcTP
/0hmydawO+3czsbyQvRdsp7gXt9iEsjRI1nqyRWRdeNCc7tqmjjaEF2qb/Pa6s76WXknxPAiyskz
jdLeM3IW3TjpbhKymA8ejLYXU/JIm2YznI5GU56hW5R7MiTFhaTfF1CEdrxVw3QTicLxVoUmknPK
T3WKvboHPZiHez2206BPZbaGqcySmUcX9N3SfYKx45LTuotBuSfHLWLNX5upogEWqngmQrOOt0WW
FueJkYd3MZmg5Mjj33/GOEx9DmMsOTWgR+2lQbW3msX4pSCeM5jNer41e9MIMLhxTM3zREUr2lR3
TTQYp3MMCH4eqj5aEcKW8rw18bWNQO0Gd6JBfGRar6ehUQRsTCp+AA8Kpml2aBnLKkQmsKz27Ojj
S5w1+a0ZWy7AakeMmwGoGK04aw5SnsoDLZ0r1U1QXaPWFEo96g2QTAPd6QAG/3HSorzcV6PbJg+W
bYSlYszvdOxEme6lF3MVYwkvgZVvOuE06wn5GbQ3IkFfPYWBLszow5FdxRkeIBCt3baF7kn+Ybcb
dADn49jskgwYAg9peMJPma+7ssyvzHpSdPjcQxdp9bpx2uTPFvz/zse/Ox+b74fXf68V2L8ML0ny
4YT85x/5fkLGLIZSgNkF/afFOuYwm/kuFKBk/sOwHCKPBcNA/i+Ms76b2gwD55pwDd8GZQPV3uNs
+10oILw/MDZxSAb1s0Th+OKfCAXsj6MVTv9MjQBQLAMKDt0/OcBY8XKiuyLjRsoa3GE9FwgG4Zuy
k9KdhOZgRe1VnOTtVwTOBnm5mXZt+M20Ky06lkFOVhyK+3E5QIX5sNYcEShfqzdkg9RPUgd2HQBH
NaIVBJPkMm1HCMRoYMyTCu/xtmOIB8w29U8NDXBH7FNxJ2k27Spjyq5n0tH31JB4g9n+vsEfRBYa
W4N1oS2Ej7HME6wKUg0vOC2mF3hXU7KOYm5bEEc9nWX0d+B9c71ZYjDrLx0H1BcVDRMLFNM/w0un
pwleQuBzaHADc5rVt76NBGLu3DqJDF1cRbFzJRTJqium48Yd+XJztv6hnvob6YS5TOf+mhS9/wRo
S1x+VZSMWJOWqeYPRqGCvSpd9D03KL79E5sAtAWLTGPOr0bsNabRKHeVGIV/Wbm1cVoi60ce6niV
HSQZ8uF5gQKwWVYn/tz1ZzNGhnOjs6pXkWTaQ9nY8jqetHFjJ2l61tmKwAAvVvl9TqD7LorxoHQS
OJjntXcqR3NuL81T1tRbIzZ2buy/po3TfPn1l/Y/aiX50kRnLQ8wygYkFWgnP37pmrFGFOo10VlV
ET6J5dePSP19FGTDXNLmaU86TnQnMNzUxopL6P8Qx+atNNP5DDKz/qUG4ZGQ7jqMF1FpZQcqEPsm
nPhPjWkY37AYi2Ok/R97Z7LdNrJt2y9CDhQBBNAlwVKkJKqy5Q6GJNuoq0CNr38TynPvseU89jiv
fTvuZNogQSAi9t5rzWUONxHL+AkZMRIYN3hifGLuPJJyn9Ji6NdoGfV9XAzFLtKURkcHejanyHYz
6znPtNXq/ZU+W18LpzsNyjT273o/Cgzwn8jt/Xic0s1oD6TU0nfa2vFzVnnJUYhyeIsjpGcZ9dxb
pWhGvbdjVcuiHmD4WFd9t23jYbzjpUyvZa/xMjVpvE8t+j8xlSHuIIfOezLbV65YjHcYyjs/jpt6
VUqML5ypTaIemKXIohjvxoJfiflJnJxzisbT5GbmJ3CK1Tc3q/FAFABLYMhzptkvswXSTZpm741V
fJW1rX4Oomm8dReziJ3St+Ro0zGHrKM52SP1AHc2i9C8w/Uz3jScx0+QLeF8zu68H+zl3dTS+ZL3
YHlEBD7NC9PwJAQcbj0cxz9pf35es2w0IaaHrtGCvuTxW76ne//wwrChB1SyUruLWp3uotcVO81o
sqdpHHAuyI7mprc8O6qc3wbTZbLRNpysxDBFXxP63NeVYwZHdOX1J1kLcI9Rpu9qt/o8eiL1687J
HwkF9dZpr+xsBSS52GX89qdyIUnobThvOD9C1M5L827UVQphgIHeGlfZdBZREK9ZrqZtz/6/LKhl
elR21RobgpWpPfSu5t+ELnit0nK+vD+2VVIzYqJYPKvaNk5o7YPvZebqn10tbz55iQHdCATvddzE
KuG0BBHZBx8cvxY69QTEmnzdUdNEK6vrnB3BhmBQyTbAJqLTh/6D2MD8IHrk9pOAiewaZY5po35b
Xu0fbv8ABxjKnQruTFU5mt8aEuCLqrX7hLLyDC4AmrdTN9pDMsU9PT+odBVN7iIadySXsL1YvIM4
DrI6OLokQbykvQMXxquHKlzDtQyeaTnwZXQzMw513Gnb3689//QFxLK90p9iXzbtD42hAkmMIs9V
Miif0cQnxniNKyzc1k6AJaYpWGcCUIq3aE5ZYoqIkzuTwepFD3T7yhic4DvvnsXCPJUv1igNEnXG
9BiZFY3gOnODh0zCvyKpPQQR8/vP/u7I/vdmsTz7yEyFNOirS89EbPPh5lNWq1kM9l3Z2XaxGhgi
fedpDqjOGhx6QLLmc4K0+iaTfbFrsQ7HK7MoqLCruD+WWPPWg2eqQ2YP6oD2X3tondzbETxOaIGq
u+Jmdpv4JE2+/0BoBiPZZmi+w9QHNeLF4pUw2u6gkzvDlLBGctGJhUQse9rSVWLDtDTRvLddF3wy
YYvtNVdzj01MTzwge26bNVa4rWhEPyunmHdqAJMfQxknYVsW4D9Mc/xmhAwZMGUIrV83lWlsOPp7
W6tMXw3cyAD5i3plMWY4ZKIPngvJq86ZYLx9f/UC8PxfVQDcfoMQiI8H7uM4A8W+y0x8n35OYtba
M2u67FUzk00TBc88eWDPwYGxgiy3hhiVI46x+bz47OIVs1LzjhhquKRmnj7ogEvDlQA1Q9WavFnQ
QA91GI0HLKnAK5TZg4vNzFNEorlPCvR4nRgze8nvHwQOifzSPz0JnkVj0zMI23w/Dn44NrBW512T
9vVdlBkt7hudFwzmNWsz7YCaDI46Wkuq0HgVEaSw5ShWvThmO19mgzVpE+bNIdJqfG/EhR3rOGsI
XM/1mHAOKONI5cNi29bp8rrioH6dcNI8svy3r3R3+m9dLIXmM9HOpd+QS8xkguPYuS9ae5NLfeI5
EIiCVhm83GwLZw3GGrkj3d6FFu1Pc4WDRuSP41Aih5BRM2W4ZyGF1I52gQg1DX7T6d3X2mZb4fmK
MJLV5X40ZjK9ltmKzOLlyLn8rsBI2k/NmO5tjQm1P6Lr2QBr+GQAUoVxiuaez0PWVZPwQmBw4mFN
TDAnNKHlG5ry3Fd9nx5peOiYqsjqQKkxg2irTfBbJqMGwiS6lPCD3oqfGi0hLGKu8KrRf8mTT0CJ
PTKp0poUPuxypDDkzEZSsANV9BUIu3EH62w54OCFPuruyFbV5ARR0HgMV1aEJ6cdo1zn66YseVnZ
cKOagcQUymUQQiv6nPPiNYNv62ezUTyEYdscoGmz68xGYr1GVgChNDScKgU02i7HH2+6hC1OiM1M
5MkrHUvW1bbOcTSwsutrrZiNU2gP6XHiQXABriF/wi0SlWsbHNdngyxbBJ46k7uk8GA3GzIZ7xRn
yz0EFg85EM6b77BF3YPbzdoG3FnKCA9OEGFSah42ou/BozY4eNcOQKTVoLALr+KaU+Yid/db2G7k
EVWBjl1tzr5LOdwxx0brxHwI69+QymKdYWu/loCub03cW1Tgmced8ab58v4i/V9l+6fKluELO/t/
rmyvGPp0b+n0U23791/6HxG88Re2o79zfqkg/z3/cb2/bIZCghasJ1El/jD/sby/DGF6uFIWOR9C
9H9XtpaDBN7FzWGz2KFa5W/9F/Ofd8n5D+sjLNxFAOuiacaFwnb5QYBnEaeo3DkIjz0GimjNaVJe
BiOct9ZQtLuYLK1jj3sfMv6hqgWeNXjH3h2gwHavZI51uDbqnd7Guv53LwUA7H8AyZh8xx+Xbj4a
Xw6dvG46SA3I1fx5Ex9R+NgpKJyD7O2qvPFoiN64uCn5DFpgpzACyvvYEBoMJ8BibWh51Mx9syZJ
pgu+ukVhXBrDBgy9qSaZy09zpYXX5IUP7Zrjt/GcR3Ac1Sbrq3lLU1Rz/czmVHaTN7bbaL5wWs3d
L5nyvtDToo18g0iEdKSVhwTnMZr6kBaWRu2Fmy+r79ygwZlMRwzroUYa/NFVmG8p0ZPNqLyH2u0i
BBRkAFq3mL26R68kaG5QdY79KTOzcNUBtXvN2V3uqJlKoFSCDLc19REjERdQubHtAzPKjq1VZuk2
xkPKEbmzxKWoqYCGcNhCzXjCP67tVDyrI44uY9d1VvMW65G68XJ79J2kuTLC8liVTvMgi3i8Nbxx
2skGzy3n9h4ye6/5sZxreof4B65rYU2nIoy25Luk9JI7o7wjZuVZtxIYUWg7Sn9GmPiZw1UF2L4j
XQkHk3aZO6zp7FlTsxnifjyFcr7XcarfKMIBmOV7BeT/wTHCrZtq4lU1AHW8KgJrZpMKtu6gPzp3
uptWd31cWMA93fzWJm2DmtBSRnqmvdxYj0mItmOkxL2ZQSwycDC3NZxRxED6yJHUKg6jU9m7LMuL
bSXbKF1DyMRnyihpOUsZ+9EKqo2Emb6Cpkoim46IinnQsIY15ly46/WV66RL+mOmH0MqraNH/PuR
0NEs9INCzz5TszQPpWQAUQ8GXMS00xh7NfF8bTGbP1m9TkIIaPmtCFoiWsmxWHH4aVF1EZ5gxiUo
Ue672M6cpQngS6voJeWx59ysxjWaP4af6GXudNkP1xx1+yt7aLpNJiDpijrKNq02I/kYYvKrCYOn
2MvVttORwIQqjnikFaqn7UCreFrPtXA+g/KFMjdmGhIGr9vY3mC8mGESkW01Td9MEGvnOo8EAPZR
7UUlYJC2TJKeG3OiBxTIyDiYPUFZPtkMU7SeW1lM6OxME/O4DYZ+Ra6uxC8O8JFhHLusn4UZjF2n
CbQHe2wwngota4HhKuPKq+zS3ozcx0MvZ6B2uUGMV8is4mqMBu6e6AIEq/0yk+yjLelVRFwVbiDe
8kEMzirOBvUwD1VxgpTtcfvmOj1j9A04CHvB2nTj5e0iIFWswkwE/W6xMmY+w6yBnDY9tncyJdoo
bdWjFw3zq+zncQNmTRw8JylX1JrMeiuD+B1WwuG5j+hprOjKTPoqD+fC8NNYpd46HIphWpWNkl8K
oi87367JbWLwapCqAWRUHDiTgcPNkRngXIaQn58WqS/JkxOphWXokHzJwICZc8II8sZm9ErqTRya
N00mhoujQIyumOliw56KJruhGVLtKNpx7NPMLzXmI0bV+xWzp2uH5eAqjxDjrbogy5+Ctqjv4s5q
S9DDpnWmaKshz7Vl44P8029iNykfiEPUMt/oYuHrJf/d4Rn1gB5O0bGfbXUeiI25jc0hfSRdAf0o
/TGGFl3uIzdheoLKzFvZTZq+oafWGDQRGkkH01LObRNPmfZ50aoO67GuvTvTGtx4I4F38qNUylFb
oefeN9C09RHy//AcEhyx7oEi3xltTx8G6uisORoYBrSke6KJen3V1pG4irw+2cqhV/fEZs3JCk5G
dMHlYX4qQaTcSej6xh4FfHgrhKggMxO1hI6Ng/SXkkIAh7hRsDoodOQbHO3pS1QjW0IoPmKRdvO+
XIXGYAP4tdyUwBEmIrRUWy317b7hclnY9t9Z3707T4uGbS2d5gvEFS4Rejp0DdbmbTJZyUGl5rip
B7vesDaMh0SmweceWRR/8NCxzvOSk2IAI4jISSKTUJavSSUkJyaxa3kyQpvjJPr0KF3pjVEfvXFg
rkGgQHfV0n54/9koIUkX1BWhQ53Fl+wNuQHq9YZjZ/AHV1TUoaP1FBstctNKylsPYShXzd/MGo8Y
LcLUuiGW45QELP2znZ1waQdvY0O/VHY5ojwCcRh0EXEAZXZTVSK5nuxS7kSpVfyFeTRvqOT5TYcY
4Znd0d4wzc70iXo1Vx3ZFQsDTvuSDGl9UUg4r4Rdi4zSNSqehe31bz18gqsUBbWv8nLcLeeS10xL
yzeeUttai0mSiSES2bsb4EYRQXI9fRO2U3VluTWRK7YVwSQwmlmKTTdpk/CHXHnWdlJajARx7vQn
J2nbYlM7dfoqWhkyevUKaxm4hmbgw2ekImszDE20fuXwQmZdNu+qNO4J3up19Rw3UUpQquLnil40
kfQ3GiXG3aQ79+kY2LskyUM8FkLJeV1Qgp+bGP3YyuDgdROkhThwxCq/kNDUblvgSn7Z6vxegZ5M
0GuspPhiEQbCvxn3X00CXjcIHkgQxlaQn926MU4NyxlvUUOSSTj3pDZy7jKrFeAChnNSmukLQqPn
RjMQsk84cddD4lVHwnc0EpEGV0PyMMHBXXdZMBQbrazzuyHS2+sySaaLcIz4fsx63fKdxkDToDLI
OOAO7kJvYLO2Xfsc2SVGtpJX7BSjbLJ9D8B1s4YXQ8qunQvg1wtakpAM+UZUdv1KykbFfG7WvKMU
zbAcMG1TbfIED/xkzK1YKWJBDm4CfIdOfuec2lyfBbk+WWeuRm2WNSDnpD8RnoEQEU8E4X2qEA7z
FC9Rn8xEThr5FSIXu45Nn+5qCQ1Q5xkINl6ZOcc+UewEAkxsvSdVUIyIUYMoYGsVnL/KzHLvx9EQ
fllLreH5mpwrV6UstJFnVTu3dLLkrKIpHcEVy/w6wbLyhNayviNmT36pAzfZlQ6ucOA1qfYm8HMd
XTpGBfgohVBJA2ltMZmZ2TJqCRU0JpTmlrZwlB9pNnk3SGir714BD2id6aF+IK6L/GrwR9qqsTqC
Q8aujqz2ynEnE0HO/5V1RRu305/KumWy8ruy7vwSF99+qun+/hv/qukc5y+PAabA6WM7rmX/COE0
cC8zj6Q+o3dKcs3/jiuF/EvQCKYpjNIOq69OV/J/fM3WXzAfQXNCb/Pw5DEI+i+KOi7xc+EkMVUx
J1uGZhR1zgdX40RLzGonbd6XAQvcxp7ODNV/uBu3fxeIPzqZf70EEjra2jgn+ciUoj/XZnQ3M+aV
3gzXkRzJGbDPVNDc4Jb+byn9/3GV5VP80ENHJYT4OeIqsvjSaF/K8Vtr/6nM/OVe/fxFPpjmZFwK
3jUuQR9H6hdGo/X8hykeM5flX/mpygZ9iViTXDCeDLrSH25Xk2lVEvb4zWytUG+Qd/SBGQfzMDlw
aRvcxx0RXAG6jy44Wo3ebcfGGjcokozdNPbDLq6UejKj2TLW8dwkvmrlhVzc3iafdxxOnkKkXAYw
aayWLHGD0c89WwP9MZl3ycOUuiPLqEyuGqeXqMmrLzlxx1B/m01WGv2+I3KLE3ukE2PJ5pFqMiLL
k152WkNcd2KYMI7qkkNEpNCVThH+rOWox1aRPUVnwjCcKw75FBi61uBesVHhh3k3rpCMZz6VYHfq
vHx+pC+aQSKLCLCS9ZtDx+oYxLm1cbW69xs55zthNidBPOfjWEziMgSdsdM6ibzfUslB5EiMss4Q
WzJd2RbGyji7On6rhFEJHfWxv7MktjWRuu1JEmu2AdFvMqdHF30m75T3IfFQNAFlvwRJP7x5bT5d
ekhDxCkGIxLXnoIZAPe3oXCCz1HVqQQ7XzY/OoNjWwQiGd+UGhdyViPa71qN0WY9Jln75JmxG21H
pxWXnnpvLZcbTHrLuZxsLD95S86AM9kOp+WgJdsisFqOyBwVAtQoKDEbI6WHQHu6yxIN8Jb41jZs
1sPUdl+TeXwUs/nNQ936PJpIskSnxZ/bFJWiPiE2XKmoNnbFIL7NkPG9VTTUM/HAFMDYI/kR7GBu
4ezw7+UjnyMZYbrnnt08xcRErfHAyKuc3sS5yocAf6iiZ8BGjYzLTA5hYZGjpSq1pdjQ0RuY+Hhs
B8iGh80EQCXmVhQQboh0QGAzo7+6TszZWdd10u6G3CUfy076e2Z43X2LJGk9K6/hwXBj+5KFHHv0
LEiPyC9Q+Wtlt+nhRdy4HrdzVVtG4OeqMn2czPK6JUw6OSSmkzMZwaG3AiRDMEmnAuOOKjG8TGGs
3ydFl5IKCHn7hrlYQuBUqO8MoYJXMguoUUZTC67NwcNOmkZSdksJ0OFDC8QN8xXTJyyX7CmIScep
UvWpJjzlDlZ7f3C8yrkN0NnvOLFat9LIw9Mg7CfY6gxXKSk4l9m9vu+i2jEPtcJ92HUjmjIMSMFr
O5JY6FUDWHMLX86unCL3u0hS9ztx3O26AZ92pVCJv0ZQYjZhVwuiBxEFbLSm9SDmesv9CNDw+cY8
fs3qhjvZ9GMGrazSsZ8a0x7Sv3nKwlA86FiaN8HkMkPH7mbsXFmonU29/NklcZIK1Y4uel7r+x5x
mYPNizDcWMY93Ds0OG9GioC2zrv8Gh3H8KIYoZ6LLvRuqGGth8xrJ/r2jauBySJzh0jw6Za4s8XX
oVxQlap4mSJ7uJCpM96OSdRej03tnIxRTmckrfZVWjEpNmr8c8ixnPuK6gqL+TTvYSUxLrN1RC2r
Gs3yQrYM2ouayQRZLZGdWDaA+PgxCl5aYYP+XcTYVFdRVkb3teoTcjacZm/0LEIpI+Edj4btj45n
b6sJH1dLmnruNxXRi+wq1Ai6qK+ywaGUi8hPfZghnIWrsKcA4KUhDDDxJD0EWcxHPm34YNLyP07p
VF/RJoSsjk2pXidOoROZnCfeweXEsOUo7fhShEhUGo8kSRKNUK4tLbmIpFq+gMUzQXgAihtPJ+Z+
UuqgKT3ja5C+seVkqm1IgiS419Qzb90z36DDVc7w1zh53sKtIqCmbluWsT69ZMgKd1GiT+uWVeBL
HHvzpuyl3OOW679Jwki3ZgiN1CyMYjeUMZNWV0uqlyYtjVc6N8ytMi8m5s/rGOuBmrqhJ50e3/93
s3Bs1ORCHfBgoyyZbTncDLhyyJ6Y2k3v4pvd8AzP3F2MvgI2pWKIxCVxnTF3YRjTr4mz8ZqVlbX6
K3HEzSc5to3f2+ieVxCStc37OL+oONSbDfNDUYzBc4Kh9KmP83z3Llqw7TnYxLOh0/ZdVKlg8Nb6
2KVH6BAvNMrbAyNTN6U7kNj4MlN9T42J9XlS/bXXktv392xaGV58JuKlJ0a9xak2EYi6LzWPwhRi
iHWgJkUVqbt9fkT/zmxKEjnc+QAQ5z36ED6wPjJS8+LUuTdoY31um36+xKLhp6uWgbFduQzNhmUY
Plcdl0WCGBxHBsUrQ3WEli9jZMJ6h4HYRH5612LAVC5z2S6zoq+ewf+dZolznyvHvgrQle9Cp2l8
WnLUuXWguTtOo+pA1m36NHj0/wrELPfLMBDnH8oKl9p2BxGUCfWy2TUePaN3q/PgSG0De8Jbl15D
MRIg6LSIR34xMMRtsEHNRwrN9DjzRK9huyDnFXrxLWEPP5iN3jw0KRkFPEjhLbDLkAzFzrsvkhxh
kCDxIVZVsXMR0H9uOZC2mNrNgOkqAZzrJocpTJDReMvMjZmqpvff+iLQHnMQlfQO24SkR8351++U
tmPwfdL5sKOwSA4RmLxtHPcPIYrPWxok0zEBdrvR7DF+Ljqwnl7Zj1uNrvMnq5vEp15p4lNiV9M1
O5WzjepI86c41nytEtFeBkF5nkNN3ZURmdFkG+QbLbXG6/e73trIRcrGdW/MVN/qRVGy8TXJla3w
R9clY78CDyFeU0PfjnapX8kaHnKxJDLlU2ttqjo31qPSBS8xkV7kt0/ZTeAa4cGgBZKi90OAgw98
vniagE1DvXE1u/F4LZsi2ORENa4XoX+9QrCQ3pDtmB+caXRI5aRt2TLKtFduzGZIdczPP9fzGWTJ
TNJDs/QfPYvMQnIeWQIN4w4D8atKJ8QzUT0dzCoobiQJoH5c2l24mpD5POlU8fYKXXGymRHqbqWR
krqF4WHVwUW9scA1bzvLTI+ig1eUDGgYDOCg5DBV400tG7ZuGTEhkkQIQT+ec5n6JqqUeOUakYeD
L+sPQGOpxQPRVOehzQoDJnNRPnTlWGyhPWJeiwvJOEKY7U1NP2OtOqdfh1E2n4ljq4514AxbyP8a
VtK00B7+1knSl+PETBrvKutZNvR3GQQp2Al98hh5vNvXFvmZi6wDyt+T3vE45YANjpYXG696KFAf
5QxMxDAwr/dcNDbw8Cycdg3mo4YXM6aFiBhimC8qlThYBzFt3HZS2C/MvqKF0ldwp/GajiswyKx0
ZLbNF90Zeec1C3suMc7O+CC0OsTuTXP/1AHLxvOfitvEoq+zguwX7BsjEbtYt+YDDRpnN4DtWb7R
jYxGk6Ba5InIVNBKdHF+b46p2pRuAp+3gsvZ2mWrVpY9mV+mYnLJ9y7qe1TfE13KWLsKg/62Y+a1
KpkQ0APSvrmII7eGKD6jVzNWWTIFJ75GShx9ycpph43aImwcNmUWmjsc4CRIcy65EoGtOjxAusRN
jeGgmm2sV8TxmVW8JB07+ZsstLdmtm/AH1hbcxzy5dxWH+ifwUaa44cB+v8aV3oIbrHecSP6taGT
BheSB7Al0eezVmBJaRMLszqivcB3h8VmZhFVqrst/nibjJZMVnxferWCU5WJIxRfAGHWwbkqohAB
GsRkB24B8lMCknbznOD073p7n45GBr2hG/vN6M7lfYWIGBlCqCOZJzIZKrdT3RZFWn2GHQ2OwJxy
umdV91b10rmXhqJblLlVeuj6aT7iEU3RVUTdXosYx/llWItb4ar5NgkddV9hldj0eSenNaMTvOGz
42yQuGN8UxHpMt6cbPs6pSSHFXVkNjehGWhRAao5vzJwFO0ZpNme8ocytIZqi389Ta+a4pXjvfGM
dtg9G14Hjxk4Z3np60RpeLS64TaYQVi2EyFViQZHoHXhPZs5gRirlMY0fTzFr+jTn3wVEe77dY8b
6kYYbXIpbIjCXTypZ0ctkejENJnXk+u1z4z05DGli/+JCF09WBiW1pO+7JCOkVf4VN1oPxZFdxXF
LmFzedN+Yvpk7zFFDEecgv3VoE3pWyuWvBnye3HBdm1w28sq/5o3+M5AxYsXTPQlrWcmh0cjNcWJ
ZD3ScDUKbKJsC0Gt24huM2mteLQKCZUowFq/iun7Xpfa9C3tpfvZLGWxgUPvrsMwm7d2kyXrpCfb
ijPezFaICrBbddo4+M6kWMmSLNknVQ9G1kGH4mfstseJqsIvI2teDYbrh001+7RaH4gQ/DxCJ4fD
nNDFhSzqF95EUWxUn5SVWD4Z6kO80oWsGflwMt7hQM8fyjQvT+2cmQci0DhKISKagpAOdlq5nbYH
naXle8olR/s2tVlHVxP7j9E57lOrEeBN3enuqGIGjNxx8JhZWntiU8xuOSomLyPsgMekTuvPVVeN
cldpdHqBPddxyhSOIMhVmnKkEVpbXIRlDMW6KePxC0gc2sWdGpIjqVXfQsAw5N+5xmn03OLK4mT7
VlS6s54wdPokuFzPZc/8roETvWtTMDADP9UJGSI+FFq67TUcsvA64TC0SkSWNBvXteuzCp1g3SjM
Tbz/XzERMYxgT/PIcjORaAftfPSIEb5N0STAwc2ip1FBDNEnaWyMIg8uDZSFV0urvoikGb4IovHm
DhXSVjp0lbViMHZJPbOyV5q15lXL7l1PMs6Polrd2TpktnXgNFsYKDoT/YX2zhPPZKQUuyhy5MlM
nYnFRXXyEOUetWlihq+oDJpVwUrIAEFjHB2O8oFSh/0k9PIvATotQpO9T6AdhisdttyOf8X067Fu
70UsvsrMVTd92U6v4Rz02z5lusV9m5KzRzjCrlcYuj2MSzvG8SPhah43xQrkJ9lH4iGGrb1NupgX
VnkMMwrOVFPkeFtbswHWR+YtNcjTguS4GavZOda106zaoXU2VVYEL6UHzidTg7vXaiuBDBAwC7Y1
qhhTcbpFQVFj5h+KO+AnISdc7ZLneXto3Sm/BLHm3MpaD9EEOOa1EfXWdyPEylYmBJSpLg6PAQ7L
m8Ieo1NG5uS9qBJS1dfTjIn2OSkYIEdps8tZbjd9ZTGka0f9EgSdgzWw6tZlm5a7ianOfcuKiymQ
sZHn9fpOZd1D2EFBGaHTHq2wnHbtoL5ga5D7JIzYsTgIHllINULvvP7EUU4eB/SF101Yp5x/y+J7
1yZ97Gdt9WrVCRYKaDk1JUAdpa+lniT6lYHMFCJekPh0S2AAhY350JnaOK010H7eNV6N0FzjzK/H
lUWwISSAYpwpzSLlXReTyh6KnGCt3J5IrI2JZ6xoYT04ZvNtHNuOAQNHFVVb6qiTgCFtqgY7M+F9
2DZFUt0TOGekyYGES2Ox0+415uNH3n8bNaTzlIecjUWAj5dTYebT7nhr0Kj7KD2IWoUzhbRv2Hej
A+iFlTuZT7bSL5yhHDpntIm0zjXeYEcPV6KE++HUSMaQqKgbwr33vacF3yPHsm9tXTMvzeh9r0eh
PYW8eo/oZVXk201Z4wpQY+DjS5YrQhnKHUT+DkFCXfhOG4K8LegA/L6d+2sX1ASJBusLFJ7h/hKL
4jB+LnrNVftB0L/rNZpxcVXyTNY76vH8D0TKX1rU6N8BsJE9TIwN6dofeq5ytEfOSZJw0zK0GZzy
Rwy5cZOFVeb//ov906WA90rPtdF6/4Jg1Bunov1o8MUiN3wAacaWAXTorLeYe39/qZ8dIUsAELIw
k5BwdGMeV/zQrzZSW58yi0sVquhOadame0clHDl5eFd1OOY7zH3Tf9sk56KmgZGAPpwNsvXDRe04
MEziO5r9lHIXTcEfjqJlR036L8TEf5R9/SL6Wi5lYvQh30h3hPNB9JWy+M9VpRGWMaHZXGWBhjq6
dpNDatLRzGh/3FYTKZdpNkfnDkDVH+7v8lT83Knn+haCVpjMy4zmw1MzhaKKSCVp9m6OGYhDF42M
enj8/Y/4wZrx/iNaONPcRamuMxb4ea4xGmwXLfryfdvSupVDxCkilFZwnZn6vJ8nLNM9qRGbUnFI
/v2l/+n5sUzHNhcTlWd8JHh6thiN0LTIqxrSaVNZNvbQZGkES03PUIyHnMAgTwab31/2n159eN6c
zfllmQwz+vpxkmM1nlPKmMvKGh21kfePmIjnfejw1HqS5/f3l/unF9JijcE0RRATsMefLxeqWjc0
+HF72bT2Q23WO4p/NBjAU/6wynyAev79QiLGJLSN4R5yxQ8CSm+e//VbOvOSF/L+bE5B9xV3MxkD
IGPOtJT1nePO+ksULM2kgVb877/uPz20luc6wHAsuMm/vDTSagG86WpPprS42MhkzlXIEvv7q/zT
TeUnXMZXOoPP9yHXD9M4gci7EzlLz/sq0CdLfIY3jfAJkuoPv98/fSHxznfGD8qIcfkoP1wqHbsC
eSOpt6CqkGsN5ReMfF9+/3X+dI0Pi1pst6bDRq32htmeZ0eBTMv/Vk3/x8XsHx8Onj90gTyK9i90
U89L3EGZrdpXnF3PpC6YR7MsGJSBfv4caawwddHri0ka8ZbF9B9G7J9WtF9fPUuHoGthicEH8Qvj
VhBeZBE5AKbDABzQIjhcY8KuTxlJL4e08gr/v72vXA84FwFMtmnIj+9eTVnlTpVV7/Ni5IDiTBc0
g/IPR4lfn0WLGTqaaVq7pFe+h1788IB4odHOKs3qPfZ29JwVcadl1Z8kzKg/PIr/cCW+hGvD0TZs
XEUfHhOviQkhn9xyz9JG1rPWXFmTfKhU8vT72/YPPxOJGKix+a1YucSycP/wjZwqT0lTkeV+jvWN
yl40F9RUWqxj/F+/v9KvwmoXFfcPl/qwx9KjcoIcwc2+6z0a94WAqjnItl2NXt8Bcivmx8nmPGYz
/1B+Leju66oOnrFHaxtYnu0mYfq7A3jZMKCzaIDnYk6PtptUiJNH7RAO0XwOMupAURcWrAimRdRV
7SYz26Q9yh67z1B2dLCnjtxJ2mzoGAml/sMX/Wj+YZ9lB2euh4weT4b9cbMDrqFZHjThPezH9pOX
F/q10bt3k+PEL/ncAQLIyB1WGV66MQ23hNLQMxmdg+MAJbGZzBp1RYh095gHFEatE6HLybHSuNiH
aSzlZUrqfAomrY7h9AQqsZDdDiWCpx7sipZo3XoUpdgz2x78tnXNNddJfFp48pQKtAxJijaJjOMI
CBigSxmOvuC44nG3TJRh/4+9M+mOW7m29F+pVXN4AQi0gxq87DPZNyIpTbB4KQk9EIEuAPz69+GW
r+sqRYulN/bAHtgiwUQCESfO2fvb4dyaf/hotT7YtN551gjZI/iDRL2Akv/sWYvKQVF9TNyXDOzM
YIXiyLc+HuKsQfU6RkIffv3I/VzwYEfCo4+JHtkLsKsfH25VY3bRsqwPYUA2OP1WTLNopi49Ibt9
FMTdJYnz5iOi5vgDDvM7ry/V3EKmR4vz85mjiafBwNtcHWhzTS+Dp60veFitR9fysm+//SEReLAa
0evgP+elI3NRzptTXx3KoWEqgqECw94CeTGyqjl62JaDdcuAfVphgQt/f5miroLjZbqLo+Tcx+Hn
0PfLuqoO7ZKyojQWqDFG6pFNzW+XAc6ySGFnW45X0JZ//C7pAbUxNrAl3SZ4nqaF/oflmrdIiN9+
TCk3EEwhjOL0YZ7DoSXmgj4e+gJdQa83OD8OiCRvtHa9HY2nr7/+9n5+UBxT8MHsxVaDnOPsEYXs
LCunUHwstxQHQ05VzQyRmU5biLz94B7+/AJyMUobSgOXgfb59qXQhiReX/LJDOcxEcazmoOv2Sge
Y+19UIMs7/KPBxouxbHU46Ox5p9Tz2ERplNlIMQQstgKeqVhjV3bL4YZQflwok35UTX6/hXJ9UDG
trx059sLwDOC1LiisgbC0uRrPVmPoiEvsSdlGAuJ/VsJCEsJ7pgU3oASqDq44tkT6bacO7rIz0mq
7U9TMRwcJwcqZn5wmZ8LxuUyHA2BCFN9nDcUhsAc05RffYDrZjwaPnpeObIj/vo5/Hmp5CrkVeFM
suGKLO6zv9cBo2GPkLus/NAIOlp0etZF1n/3K+8uUx0DdYz6YvoIxG4vNtjzp2RZOECxE0REmMSP
V4Xj1IUc+/JD6KKB1gVpm+QD5VAkQqb0c8UQu50Wn7NROzmO2TmUjL1Mf9+NUG0L5sg78GaP8+Sq
+7DP800sJcXBUhaomjAxZHHep9DWHtGArfvBGv/uF7NwEhkGkhd8/sUgSUgKJhvFge50tc0m0BLG
SJ/z11/MewsENrmlpYRj76eSs3RAHlRxXRyqzkc4XA8HM7ceA/+386CWpxlPMKpKzyNj5OyrwAst
KqkqFqJRCoQsUYKJyRx3v/40761AHiVAYJNgTbNjuad/KzfnzLRJFzZyxEMtVjOfbWp08dm2bfEH
qRi/X0VzZkQmypaBoRJ05Y+XC7rUw+zAKzrl0dfl3jWpd1c20fOvP9V7L8/iFwQjRP/mpziBsQVy
ONe8PEXqBrf5ZDFii9yvDFvqXRO7wRsc4uxIt7D9YKt6b81DSOpQV9Mp++nQQ+vUTIQz5IcYzw7p
sq9zhoM/e5LZ/MCL+MHV3nvgOfaANYLnGfzUJCv4jL4nCS2Tscz3JSned2QWGJtf38w/g3POFwVu
IuwHxxLInM/W1bC3x96l5X4Iem0+pfCJd9AT0aNBByiYzfn6U2YF9bqvu+FGTVV+7Ra+2CcBms55
knBUYnhilorwq+kAPUbfZx+dbq1377zPCZs3U+CvPXtdmqg1XaIT2W1GhzFBp16tLqzXqMraY+oH
z/1Id8IHl3cJeDl9yvWAMTysvyQoOiBUdiepS+dIFylceeCPcIvxOX59I99515hpU4KSZUVz8XxD
LHz+BhA49QGW/lc5W93OlIgpowL9yvT662u9czvIHuTFBkZPg/i8jLEtrI9E7VLaR9ZXk4bDpnTN
V8gB1QHS+kJ887oPKox3XjrLYmJHRcOO9VNbn2i3aWzAEh105r4kaWysbVQ7zDGaeQWkQH1SjVYb
1BjD4fc/q2XRxaQjRYF4vlI6kAvTJmjrA2e1awWdk650cUc3HhhtHj9NgRv/ft3GBZc2AN7kkKXs
x2WMd0V3LdTyg2HGao1FDVVCJbo7TWjOofQ4SP/6E76z53A9aijBxkaxePYGllHjJGnNrR0HUDqF
Q74IrBq1EShi/yeXgpQhAo+CMTjfRKXvpF1ZcUSzwrq6xYs4rxq/8y7S3rI+WL7ee0bFEoeED2Hp
9Ns/3sUBSVw10xk4tGX/2Cf1N9dVj5A1mlUaq7ugBwf4+7dRYLqwSb1kfHL+Alojsza7navDvEBJ
TF/fN32zIU3mn36af9vwe2dhpqVuukLQecbGsXyff9tV5axRgEUcAYvYfYbptA9m9fjBZxH8jrNV
+YdrnD0ToQE+2HG4BoJ+a4WxSZ5at3Xv7d6LVtDlWu6iqVeQa+SmJdTyU60BJUJzBnCOs4nmX29s
G8Ku1zXRO1tDWNZWB1NxSEXXnMCsJXd2CIG4muDGRNKs9mWLOIvT7bRGBhsdExee1WyOoH+sBq0u
Zi/rfg4Bw5gVsT27umybvTkQKcUBaoxv8DNRHdbQ4SrssjfJ6Cd7q2kn6DpINAeRlFeD0QyHIA8f
0zpv19zhfFfSK4Jjh1DwgDixXNV6llsS6l3Ewrm+rB3Q/jrN+t2vb+97zya7uG/xnAjmFGfPJkQm
6JcezyYy4Vc1dq8BsaeOMHZkpG9J8a7/B68dNTfFHu17BkJn13OTqVIinqoDjtal53St7fyou+qD
4vXnsRqRg0wNafzRI/DCs8s4Y56IZgzhA5v5nQTTg2YweFP5J4bQVwhS1r1rf4mb6oMj0zldfDma
cV26tNxRDtfn54pQlgqHsEtPpJ7mlwRIMLHDjnGH0cUstmhmOOMot4y2HYyeTQGzgeF2xUKu7OHo
ovJ3M20chQneyuoIzo4QhvLAyT3zTibYYfaHa+HT1SNSwNyf403YEaSbYibfxFb0YOdOuw5mF0Jw
lzmkBcDa3mb8PZuukN/wfFi34MbxeI5a7XB08b+Xs7uGlphtfcO3n5Qgi/3XT9h7a7oHlhQwFW0G
YS1f1d/WiNRs3ZL08+pgknPCuHcFNGifW93wwZP13lr0t+ucF0aDHGDahLo6BO5iKKTfsIZ4sf31
h3mvtPGEz2nVZt7mnachmgqCoHKa6sDQCRoOrC0O4891jjEdXNEHprN3L0a/kjMLMc4/lb1ew2JU
kYaD/s6DsVHP+8GROxSgaKm7j9L63lsIPNr+7BZY9n4qfotpEl6GiupAlPGd3foeqRPTc10034AG
3ZWJ98GdtN57LpaZNwdYJAT+uUdsbmXB/aVOy8YiweVlW6dgbvTRphe/qYVBfK5U3RpOnLhPzSg5
TDGmhrhOIRPHQb4La2f65GMJwp4Rxc78weP07p/Hgkgbif4tRMEfH1s9Rq2RJ5Q5WslvIoyfEnt4
KAQ6kl8/Ue9ex4cHRUVJ1s95cdAOxpRI9HgHTqKSbk73Wk2G3tR988FG+l7ZSnMK0Ya5/Jd/9h4K
HeLgQHtJ+M+BJB4krrq6a2oXv7R1U9TqsSzCDxoV7z3Af7vkecGazU6BRs8sD+B09tAMvoVOgbjd
OzX18MGZQ7z3/HIiZUhG+chZ+Oxc1C2e/3n0S5YZe/rSJfK7TkOA8AR9rWnfxmtDGimsHLPapmrx
GhjWosxsEP2FQ/tMjlHyHKmgPfQ2jgVcbfiMkq55IHSg3gRVUcBkaYPd6OvgKXBZNclfaBFMGe0I
EWZpbdb2d1Pb2Flqgsyk+SWr+2ukOHKLCf5bGgx6VU4i3fblZBODY7ls9rb7wdP03l0IF6cuLQ6e
2/PpfEFAIFEBkspPzkfiWiwCY5xnV/4ZwUsmxPRRuPp7X/HizPqTVYwP/uy2y8yKJ0UxdEhVCMpc
9oBjSRkINiKOimjVLpr0X78wf2onzgpCFDPAPm1eF46ZZ5eMjalgSlqUB6+cw3Wie+/BSaxhXYnJ
vUjqoniSNlizzEE5+add4E+ubdlDdeyQ9O0NTQrF7993io3FAh1iDPzpyBt6UwDBXRSHHJbcNmkm
76pKKBunrG6fs8aaoUclf3xwI95pYqJKoOuzrNpEmdg/LlHx6M4yGnij2zlCyipiZ4cgVezaqGn3
oe8Bo/SgBhdusQ0BB60nZjI4Lxxr8+s/RLyzhi2+cOQYZL4waDv7Q0ykEV7ZpSW+5UwwGll8Dako
5ju01ZV7wZ3xj12GGhmLVQuZhiayRTog1H6y4m610OZumiLzJXEovIERmi+UxcB3NY8UjinCHMbQ
3SPJ/zYhxmbJHraOlyVbtMLOpjGq7pB4yt+OSe9vgvjCrnPxkItqvOG1xYQGwXl+ToI+PBWm/9ns
p/yDg/l7n58JGB50f5nQnzeOaLdlpLkJPn+Rjw8JsrTD6I3pc2oZye7X9/q9SyG8RmuwQFZ/OrYy
dFIK2E15CGtyFqQKFjcf+OxTmBTx86+v9ef3dv6mLd1fwemVbfD8+F8ZXtHrMuVwMLhRsILORKrh
PDvWPpL1sKn8wrqwiPa77UZbX9u2Ed+RzAlol+DXvazANf/5B/2HyvchvsHhOfgXSeCnOKb/gm9W
V3TOgPMBg1iC6Qms5kf+ws2b4T9MuuyCgYeAwLfwYf/CzVuQ6C3nzzWEMpN+1r/4DYJc+uWneLAZ
NPH/8Av/yW8Q1j/oxgY874z0XDoMv4NvoCXx4xEfaZ7L38U2ghyEP+/8/SnxV4Hq9PSllUoM2mAj
dVcWHJ1cD+MZQpcAqXGmyIrt97nNwmE+d1Sw1pa8zLJ9BArbwYC3eEHtbUH9KnWGub1SMngACCpb
r1v3WZVa/VpqCKQ7DlXEKFaYG8gF1Npg9sPWVg7HBrx1O4Ce6mjKyCuK76zaDEPKOCjEg3PpRtl4
qo1yMI8ZsKyrifjIx0woeeJdeTFA9OA6HbC2mWO4Cd0MvFBJPluZjeT8uWDOHhNkH4hcSEU0CDpa
EnqDBvKU5rXWwMvmGPxA4Y33c05ILVBZXCoVzssrkHaLRzbpNOsryR/zihgeswCwOhT7kZ5ksHHD
Oj16Zaz86zDsBhzTk8lo3DBwo3h4VvcdnJd+ZRQ4+pOSuZ6MGr3LZug9KzKR+cUV9hVQpUM03Nhu
VH3u9GTday+phn2NkGUDHBxHTCwRbK7bmMFZm5PWC7RpeOmgMz9FS59+3cQK6tNYB5hKo8blgzqR
2dsvCGTUpXatYt/acAgdK4fGG0tlUSU0l+BGLYmT2NdggAQ5sdhJ3SMpUf5TmE3jpY0hvt2naI27
XdLiIF4NPOobAyOkeae8fMvKU5V70RXR2qvdEc5U1kHIb7PMoI9TDj68DqepN2aPtVB6Q3lQdQTd
h4l7sKPm01vdZfUarO8Q7yYbJy1pQFK6EJYK/d2PUvN1duH35S5v4y6P0mZrVs70WsIMsXdhU7p7
rH7ywaqa5CL3uuIFZT6wO3MgjRUUY3cohiQ2N3bj35Tl1Gx6O4m2DalPai2h9fLQWKM1bLH1qB2w
xXGb+A0udFfJvYrwpeGSj08EMI8Y3USZP4B2AxHkJn3x1cwMLFFRZh+70seK5frRF96GBl9bhsse
AQxpXFOLPHsfd8p+JEG6P2pQeTu7GBbDRhW1D4EzvJnaNTbDFMybKCCfDJ/IlAKEltgtp3jEURt7
mGhKr3BOOX2xzwHCyf0AeCsCh4YVE1QYqQ6tXRpi00bqEQdbc00A9PwHLvNo06t4eiIEujxEc8Qr
aBhmmK2kMQtKR6O9mfBKXis3yzTCvSwDUj2kEfiJPNhYSVR/8mLVrbQRVscqTOPnThULu6qLivvc
kfa6ncHEDSAxujrgOfQRcGKJyc07N1H9eupGEe7qyrE1K0tkRRcS+BC2oE7eNCUJTa1nkqJm5dNR
hW29JlKQSeE4hasq6t4yE1acwKewdoPUOWTw92go2q+jnp7donHXhDWH4yZECdWAixekxxG2JRX2
Ju9WExAbc9nc9fq/BCr/2RU/2BWZOy4JKP9+W7yqK07LP2yL//yZf+2Lzj9ITPEopzgqWeEP+6LH
lhkuPFr6eKgH/9++6LCZkslhMneFsk1bhpP2X1wjh7BCh0kJkyGUQtTDv7Mx4k872xhdD2HE0pYV
qCOYyS09r7/1zpaYAECjU3LjSxla68IoDZSDie2uXZa86eBT6WIuzuOEdyUV8iq2C4P4lTj52kY4
QFc+JAO5DsxEjcdkVqSl1rR23giJCLdlhZdx5ZRyuqwVIVvPKUMKgqVn82tGJF8IcBZh8mqRRk2b
0hgGscdDVX9COenbR9gWw3AaRdroq0Z61RY1BcnDk11gGJy8/EpSoqytPupWxKxcUnVLSKAywPad
VTOGsqn5MvSw0WwYr0dnGIE6TLQivqE579HkL6eZMIgSEPG6cpO14yXpFe0EDT6g9w8GE43jUJeZ
XDVpNeIPNfZkptmb2g6fdTUyloW6WbKcs6QQDDhnz6PbyrXocW717CdJaKW4AmarYdXSOTTgTV8X
QPJXIApc7I8VCxmpxU27no0o5yTNN89dNufeggyZuidQCe1tS63hXWhIqG/ckekib8MsgtHpcf5m
TwRrc+E38ZhvOQSSea+9Ue6bgPV+a1MzX9W4CVOn4OBAyLxZ7bwZv7cFYA5WL8FrKQl/ir02l0Pv
X8x4yppwZkNiQkgGVZL3GVnbnO1GusdWmVvhAOCDKSEQvtFCbJMfkaISCr+RzLw/D+hJ7tsWTknB
YX38igFNZt+XIInvnL5sLa7timat9UAen7XzutQny1mSW/hCxmrvrFSJO40oQVAUVS+5UU0OXG8q
ACWlDmBBZLz5nWXVbIwp/AjscvqGSexARmHKJlyMeb2ZJFHDBqL7U5DlNZudCYw4xcyZ18kN5d94
33m9k24io7A3adgkML9VF5+CoPMdDhbc7bWNgfxgVuaAwJYz/5GmTrObEY++1mT0vNmYTARe69Zz
V42ak1UXABldxZxACfgFE3FqRUfyt4iLU0aoinVwqv5LkjlQaufacW+XOauLmVzGjAgc8yLOHMLM
R9fYD4TjbXwud1Ug5dxbszXeVXVncVTNYY5Bw/NXpQoopbDv5Be2FZP+jfpx2AQwXo+DNt3rdNmn
V5CinEsvyOZTFc3mCn3KtIH1/srfmO0Cs7R2fRFfewkE+E3veJe4alrmCXn0hXhndjEYPXsJCGqb
wwo49ZYvP2XtfA1fyb1bnuybyGrNjW8KrOLKuiJLeFolqexgseD9W8gKEEmENL/XTNBvajePX2KZ
zheNchg2DXlxaAtPrqbUi8E8UjdEacu4Tcn2K1TUdi+9JnyIHXKRPRHYl0HuP82wpCuRKaw1kXeZ
z4N7KVNl4Dpt9bOraqy0GTZf4pSF/RmjIX6RHtZ8jPzKFPd0e3pMsa34bvhBgu2eu7HLZ3ATfVe8
0SkO101KB25j9JMKV/ngOQ8SqH4CsWao35xgih/dzMF5WeeN+0dXLukDYdvyO6RxLILCXgtQIivV
D8VRm159ykf4s0GWZdtoyMadqOLgMLpUMvB1h2DVe2O269wYqojfd+mFRQT1Y5cwUSy4P4/tqO54
rOt7kFuXoQZh6uZReIAkJoHOCOXDwzbScEXLM/iKmz25DYsghR9XV1/91AxhEUyYhGWJemg71Q45
EqZ1jLzsviub4DiRAbfJebofoPGSLmnpyT6EvYjWups/BSYgkWl0Y3/l+yq9zoqBlb03xReIBvQZ
k94A+4hRZTMiU/rsBjrcCEvO9/UILsXxG/2cJ3QvXZGRZlBIBJ+DP74ZYzVsB1t03+OcGRk0aPA6
RdLuR5JTXuyKBNnZguE4QBe4nTBR7iygsLd208gLZoXmghAgybpViB93dd3GW4yX5mtAV3DjIPu+
z4BedetJJ2KdZD0HA6uLv4OfMg8VobyfBb0fA+FrEyIk1pxSumngMBgnmhRcVn7MJcbKDwbvylZz
DIDKEDsntsgIVaHE/eompxp6163C3bvplEl23hQm0zcc/90Ds1yVrZVNzd/iKVTY9Bf/9HLctKzB
Ps4QnPq1Y6tvZQld2hrrkCmyXV8hqMnWhlDN5VzV+q4AsEELKbxSA7oPOLUAr46kqeZXiWmpjWWr
7EvRDvZjRkP/ypfB9GBqCwiY4SXhvROO3WEIuvFYj1HqrOrIWQgFqXnTDDJ/LsNaPcdB1dxWQEuf
JMeMi37Es5voYP4EoGHaIkvK9sB+JphXePVN2tDJxuHTUrF2ttkdSQMH2xH7/SeHyfIEea2tNkbq
Vmv6xvVWmYl5q1o/Fls/iOpThT+rW5e5nuA8TWW+ThvL3uIhF9zHTr84o++u3CHxIPOVQ8I5PJpP
Vmp5b0hGTYJuoyq9jbtEr73MDJ9JQ28PpjOz0QeVCQasjdt05yFgvvRTKR8jnzC1leE2Hv7liFIa
AsZ42SuM4a1kzP9/pRD/KY4/KI4pZikm/31t/F9NDs/3tf2xZ7T8zF8xDiFp3Uv9CYGOqQr9n3/1
jELnH1A2QwReDvpZshQoS6EAd8n/+d+kNbj8CN4H5CfIXRYn2189I5ifaHvcJcyB+RP17O/UxtS/
P9bGiwQLMMbS+0b7xV96VhuDxLM58/XO0S2CgHm+MVw3VUfwXZSMpyJWLmLzGqdlrfX01aXsvXRz
R9FvsSx9j9Iei34rjdcC0v1VjpHjeq4i8ehx6gT6QUELF8Pxr8mLbu8nzPePxCQU+5xk2GMZe9aX
WkbBllCg7ISkcNtN5JsN9BoITA0aavEMZcyq7eX8ZsrcIKYt9mwWm9x+aNqUbm1VVBeRL4o9eQUr
MXbVFZThdB0WUYl/okxO1tDqYwUVjBrW8MSG5qp/AqcPxDcqxptaBsVeFkF4ObXxAIveG+270ejD
a5/4vytrSs2rSUzGsBpqoXa2T9vFqu34BSxYeG0Z+a01ev1VZFuPsznVG8sj0qVSDskAppLiuyBL
e6VL6IABMcsYecqmuyXK2VlZmS+2wgFtjwci7fdM2+VX8lDVTjQwvVXa0JXq6/yTcjKy58bCyfay
HLND2HbdBixfuTH9iUBIy+6f6yCNbkC+6buuTue3cNLTS9X04i5GfnOAKtFceyIb7xBCpmsET+lO
ReT/giYjOkL042aoYn8H3mTYQ3TiYyBCWjk5auKh0jYcJacnb0cwaHCntWCTsKv46ADo2vZpYa5y
AOSb1o2uylyWR1KpjkUO2ClW9fzsDI3aKzW438GhMCXMqAE6z9F7j7zbo10m5a01+zOtHxRKJ4If
INmJOesvpDNlT/GUhp99hbGKalyeIunpBzlo9RhGTno1oxy50q05LowSkT6TON9eZkhECD505L4k
KwQxkarNg0tofIb7W4i7GSL4FcDDeTf5PlkYhgz8+yqVcA+BtgSbtBUDoWOpeQuIyj/VcQedZJnB
vi0B1deR5xWHaezFhdfJYl9KL/3cB376omRiXVexdO9KtCGHkcy/a9MYxIWt3frQEL9+0zl1+5jN
IlyPZVscS6MnJjwihJbxTnBtK2l/rpBLXKnYyY+pVUiKvgIRU5m3SKGcxL0ppL6wE+3wOIKFNcBO
9UncvSZ9wA41jbm1Bdvlvyqhv7lqLI/xBEebcBD3WAOx3vmBJKjIr+wn4eRvkxaEFxmxY3/2g+qx
HsT81EL52s+cCu7qhLDq1QhZ8OQaLfgRNIDmdTKgSVprw1OvzMeyW2joRO45QpDSHAXJvhr4IaLk
i09BCnZvEAbHmIEMcWBHJf1ZQW+1Bx+JZKF88EXb/SGCED1khyi+qyuCQbV3IkoASh29p9nzOWun
RZbfoTcr7t2oOHgT2fAeyJKjg3Vp05IftepZLD93xMuTh11GuykVaoOHmwT4aszuZWtCOR1VvRY5
iRUzXLVVJt38xTeN8ZNfSeOOUWe95gv1TbioOcdqz5K3xErtdOGpCyiRQbYO4auQEL+PWm1eBUFY
7FVxBzJ3eDEiXUP1EdZdZsbiUKHOb9cEnQ/XnK6aN6jK/CWOudEm6J3a0uOWeTpyOsDzwUvnT0qu
pDmTvKD9qd5W8xTfzG2d74kNQK40Ta6/bgaIlOtgUZLF0bTtQbPQX697Eiqho3yK58khWgDbDN3v
WLHMtcS3hrLh2CWVvJqqyNxalvGS2XlDKlVMqzAtQmLZPWWuw6by6Iqkz1jRzGNhtuaWpqta2Zwt
/yi8ZL6I6iS8c0tSddrWHUsgN0Z3ly6hBj5xUi7DgVcv88d9xhzk1oTw1a1lKczrIajNdYBPpFjZ
QeFtSwI2ngC2m9czZ/NnaBDpJWewL+HceQd2xJnmRTtAbHE4dgw6u2whZa6hUoeXZe80tx05A1eZ
qdWTEaXFNY1zua2tNt4hP403s50Qjtsq8Zzr0j54HZ+yiYJ6l4yZ/Q2fZH+lXZxFDlUom0s/Oy9J
WaSfOtuC7ERxRRIerN89UQr5tp7wVhpWlNxaVsoizqRoRe07PpjA7Rc45LyZpk5u29EOLjhXAZEb
QYreCD/TPGh0qyH2ISGTZH3tp1j0e3JzumMezvITvOZ9aslsm0/RfJtzHt7KYQC9NXXmnK17o3JQ
wY87T6HwsIbYJj8mzr9oZecbTT9tNVhstymv+EUb2fLAYHusoS434eccl+qmrLT5UkRNdGBlSsgP
AFGLrOx27jPjTTq+eZJdYOzK2G/pFlTF0XWMaIcQub0rJh18QuUX7SxTmQ/JkJpczo+M9TQZ3o6w
hOa6mdQfVTtPJMX3LP99081w9UYn3o9CW5sZU/nKbo0LtzLJrFlVTTri4qq1Wxo0hHozZUVLzbul
tc7en2XxY+8ubN6M+M4JAULY3akYYw74xJDUH+kD5pzbRlcrPwrUd84m+XEoEnhVozaIFCi3U1CV
twMR8IfO7T+7DRJu1lpS5PEg9H/knffZTRMyJrFEFfPnoB7vcXzQOJ+15HqqPDaVP20blT7CzZQn
mfj+IwcJ+ynPdPUGLn18biJ+cKg8g0c9nRgCnQg2Ts3+JBF/Dt2ecZOavStKrSr2VjM4SHeb2nXn
bL06TciCJ6Ki12Mf3KpOTd5LS9Ql7lIRMNDQfHEImGy5MwZm9wT67fuJqmdfJrK+SqUy6s+SBZTa
Kxw21hjlO5VPMVkARt5sWp3ZG4q8nIymiS5Gk/qfwVOpL6YfxdlthM/pwk9Q3aKaJsp9X0CMY3o2
tnqmMxV3bvY1SMbW+OSqaHS3nPoijsFGmpO9CH1jUxnmtG/Qd+8Gr33myKNXzRgXG5PBGAFazjPu
M33wUklQInHy1/zLcRcWPuVkkZzSxoHjbQcoqI0azljMLmP4g3GgFvlUzbTwEtwBJ3YQ4wECZXw5
Mg9fx5U1XTPoUdcN3+ZpptPUJal+dXIgmU3oEXPgGP3eqsZpVfVLuSVmmIz0ppuLND3m0S73vWkz
EJpxCAoyLXIVpHt6WSawMueunJN2kykjPhK9S28kiqJTU9rpqTPjS89CpkS8sryEedoBd/bVl17g
OA9GdyLcbEh3WdeGWyM2mTxBENzqyJHjqk5yNrJItmuXr/nQM3ckF8TGEU+46Xdo05TRJDWlIxJU
pPtfyT31gufW7OFZvvXg4HL3U6QcKg7s+yguitV/5v7/P7ENeEuWY82/P8XdJ/XXb//r2Bav1de/
n+T++YP/PMr51j8sG9ctwhREUz8c5fi/FgchoAzQSsHfwxtsJiMM45HSYfP6Yfjv8Osc989xiYUm
4DeCGwAT/HiIQy+9yGZwdQGuCZfY3R8HHKqJ+6YMQwwmYGEROif1QwgPP93GQQiTwHZfdDkMV+QJ
pCyy8gWfgXE0tX9t132Rr3kb8o1snfIuHMrqFpH1kxuZMUHohcp2tYMObe4NcWwsvyBRx/AJKAI0
GLT+tSxgVQGxus1G3bzCk73ydHElDL2PALdvusYN14hfXLCrPftIk37vzT69LrmPa+XLatVXNd0X
IyDU1GW0l5rzRR2at54Fcjhs9Gs9amD0cEwnh7Kt6dLvoBrzTYn6fZEIXvti3OsU6IKMq+9hXl1p
a7hnGUvwOPQ7x86v6I7eEtByYcb8qyYzqGnT10l2NeEt85tLqmcxWEu6wouCaFuTqcoxLRHIGJ0D
RiFvpU1e9rqN5hWO6GurEy/5ULz65myhItb3hFQTZWrddiXFmJMX3zNZGQz2u2wnCs6EAn0CMAvm
w4MeHoF03gfVyIHQ9oDrFeGbjvJwb0EcBO92kfd2fZzRW60N3XJjCEh03PRkY39ej/n46CXTvZbU
LSI/xWPx2qjstZ7dax+hvrcCrLx1+EDaSb8Di7p1Cr6rSXTE2wGfNRZYM8sQXXMiWxnMQICtuVF2
QhAizFaws7aJnSAPEXoYQ33RyXTaxsZyL5PytbeQPZrkX686Da12uZZ0+AeGmpnMmredrfdsMBdW
QKC6MZgX0q+NNf7N76Lgn7lWepXn44XNl3MIQF6uMsitzAempznqYHZ1XsGoQhibvOVCqEWyTRI6
82XjZidsAE+No8h9dsfH0oTPDkEAdTq8V8AFr5SKIZSQ8S2o5wtG5+k6S5r0Olf+S0qcfaDETahT
aw3HYdEkHGa3bw5qHB5n+htYYToeVHGIS74jw4SgkneULX0/X3gg97da832GcM5Ooc+TMAKgXim7
FCsOFk9VbL2FQhPXQAo3uyGYKn94VE3/6IzF9xIs35ouOVOxcnwUkZWA2u3krrBJMpo9JDMUl/Qr
lvtuVRCtQ+elVlVGLeZeA671d8RKPRJq1SFP83kUhfeS+s10WKCNK4NwbWnDvcwi5GJ+lkzI+KLh
Tng8dsUYR+tJOe56QsZyUP40YKp2h2NbesFxHAzjJk+mYqtmWd5UkAt2Jl2aU5modk2qm3gjofAL
aYNA+ImNi3lq6lShE8wTmW3CUomNn8/6NfJrusmxJBNgj6qkesqr/2bvvJbjRrKu+0TogDeXf3nD
KlpRUt8gSKoFmzAJkwCe/lsojWakUo8YHf/t9IWiQxKFKpjEyXP2Xjt8FoPmdqsJzDelHi0HdpFn
u8j+lOCDlxkBBEPsgjOyklUFIXk9R2IYK4mvOV0kmAKJQmrThevV51yL74qSdivd1edSQ93RdI6z
7jvnhawP+VYUvPQLbRYx0iTxPUDU1RS4G5GIbkWEeHhntEwhI6zRDIfMt9Ioq0WDuWQR9wSpD6ax
sbyS6zbyCCBtBVkbGoQngcu6tXWv2w4mN92YeZ88zT13Zq32YS+/akqCKMreAc/8KgKm4wePi7aE
i/nl2raXpK7dwVcrd3avwT3tkO2H/nCmzAccY7jfqoH/ajqjhXhlCAtmJiCUBxhk2Iiu9L+BrbrC
pRewi3jUV+g1DiZAeeZQ78IHf5XM4yhFZsnBZhfAtZpaed5gpUgdd2abvQQhq+G8HKfMYpZ07YiK
4//0dwSeV1o43ogccwa3oKyDxn0Nd4isgvzGJix2Y+vE7An7p3LgwdYse6c0J1/O3xfQz1E2rG4/
1A5334SdP4YcWb9a7Tg2VnyGiTRDfrF7Mpol74AdCUZFaa1ScuHvxtCN5+XimJZptoOZ+aYaEnew
FfeHtG94bhn80noY32YNUFRMRxAmvHVhIweB0JZpx4TfV0flsnz7LmKEzOZeLdNTQRKicPqHQUTP
OgkJK3ewz52PfmEo0ec7Tll9jhBZLG2f5eH33/RvbiEcSTr+SBe0yy+qdTNPAlGadrGLzWZjl/od
QOU7MZFR/85x/u6MXszknuPb3ErzHfaDgIOwUX+g7uJeDXJ73+AhHI3EXpN/wSjaDVJ4pNmpjQxx
n/fjndfq4j6OeIfaU/S17lmX51IlzSggmPgfI40ZbKC6Jy1wz5bssZ6z3DtVIoBBM6CpoXJ+ihxz
3KJiq9ZDMjI90mXzUGQD6GFe+52Z2Ic28elouW15tIvka5g4Lk7FnKs4+OV20NKvYTk9+1G3mdqG
l3dl7eLR2cVxkSwjAcfWqoZj5qEiNLvpjiYQe2aTfzvwtT+lk41Lz6DG+v2J/JsVBhMydGMD84rp
XDtJJo/wPluz8DUoUgcoJwZWNgffzEJT1jtq7nlw8LPqObAYYoCKwqs7kw5/vmbSHBMvt7FdOVn/
YDfJAe7VOwvmRTl9dQxMZAzI5l/ZQ14dI4nrrM11vdiVQV9tmgQEvh1Ob/NKn0wWgGBJOIZp7wLN
PKswiNdekQP5CD8yYnj1Xaa9yFXlws9Ta9envMTjgNWpGsXJMKKvk6sY7kFR3uWWOy1SBxMhGbnN
TZ64696vPvgtv+02Pr3wkZz43KFugerXLgkErTamNGE2B7W57YaqXehm8tUpuAVhbp/6ITtkTjQS
Pp9SoBqK6tegFVHEybLX24eyMOO1bU3vOIlm8fL1ReFaIEFHc4zX+No3WphVO5SjKHZGzkahjwUZ
Pi0NVFPL+M4xZ4AWf7rKR/8sHFKZQiSiMIkF4R3cy4RRrjVEKxsVTuzHXaNcdbH+SaWVtfJ19K/I
Cc5hh3i1C51zHJjpypGsRFVJfxRc5zPqmLep0RfkBj0OFtUh4WHA1rVhm8X680ghtqjCuNpaudqS
e/QQIfRbpJL70wbMvCCGTC3oqpGvFeYkhDjTMy3O/vSPHxLeGfN/4CHYvZk/37gqqr28VTgtlV+s
KHHIQFN8HBsla1i9BxrDl//rJUGwzZAP24uJ7erqPVzb1gidE2O2NJtibbgNPqkwPYS8qQKD6zOV
3JITWtIF0Z3tIk2pAKOcTBoKwK4M3UVZBNWSiM96HbgTZhA8FAviHV6bzLjRev82D0SzjAOq/aEo
rZVVNW8inR6GfDwKb34Zc5tFVvYSqrlKVcSsTfqp7opVOpQmQVSE9rSpv2m5pJft5WQP1ipx+IsB
TTBXa/mJSvWbKuzaRT618X7wh7vLJoj2e7lSEL0PRaeeEtxlKHggL041Wz1nUk+yRWky2ug7rP7J
zIy7WktoBVGtGV63Ig14XM3/owl+J+znG7LqCKqzZbOeH6NmcM6lp57caN5AOEwIfbdCIlVTLelh
ehpqJK9exd+WmvOpJuNlWbRhfRM4w5ucx2gdJzjNk1NisWcJADUt7dz+hBzsQVm2u7RKhwmYOGh9
ephEXSNl5gEmj+7ApngLZ4HhRNRzY/J0uKo95YbzZ9yo4pAZzrlHr2TBy1vOG6NhkglhHSTiYQE7
5639yZTJe+9j928eb2qdmcXkuNxR+tV7Mic2mHGug5XJG9+Kpn9odN57PduskHjr1Vx/XbbaZRsY
mzag0rs880XcbkbVqEWd8mO1IKKgBfoRZAG5KNLyIKbDrcBhCwZs6MZdbjQaG7RMAKy2E2CkefRW
a3lwqsDRr6aI92I7xcFNwVoOnhBBnMYak7bjc29RbunSIthOT8AcRi3ZfD6VdcTGkPdhbIHkTJF7
7b0UmVDPCgoI9UESLrGEeX7qu+7BdrpkS0brsCZF21rVaiK3Wj2lIW41YWjTwinHN7eZqo2s2geS
RtJdlrjnnpcIm8zuySLHaK7mW+/7+/V/Mol3ZBLcU+5vdRK38q+oLH7qrX37ke8SYsP9w0YjYeAR
BjWAK+bfMgle739wN9PhQj0AHtGl1P+XTMJ2/7g4GOc0UTR4cxvtu0yC7hoLOM7GGUyCvVEP/lGH
zbyqnMAjQgkCKAh2j/pTvzZoZk0HPqILkjvYm8yIlrjnmGlIMudvCSKxbXKQa+yCZa4XchOG2MGc
heoTd5mFiG2Hc408uVp4yAwXTZtkrfUQU6Pnw0fHZ7PHVjSTBILNAwwC4nV11xKf84UwFgWTg54e
DEhpxL6+MDujjGJazWbmYycJyE5mx54eRFoYX62oiMlDbmr/VTMztt0uEYsecg24Y9GErsljhApt
chtN5bSygly/zbKknD2fbtfR05CCV01eSWcxWbaGLVx7pfCOgQEhmGYu4yGlRLmREN5wM5Dzsvd6
p/tTIRhe23pFS4dBYvwgPT9DHVYO411PYEOAbFYJubbQWmgMZKbWXzd1Xq3ItIiPNbOMiMz6ZQvE
8DVRffuh6d04PTvmoJGnUnm3idRthYaSvt0yJxCTEOY4JgA7ADy7aHTsuI+eQ4rZiisxfgpH9vMY
IvDokFodPQLmAynSlGOYYd2M+33ihvGR1/rwCQqK4Wxde9AvkZW8P/FL4h9J0Y16cFtJx0YN/nGU
A+ALZG9AITwiG7SmIPZDcxDk4Wae/Fs/U15HXJ3NLZGSvoSOZIibCUtP08iVm3vj5xa5pXvHN5kD
zrNeYHHI42HF/MhaNzqtOyTp8VdP5theSQTaNYlNmRVZRHLXRDx0Zezd17x5IyaPWURroy3vM1fI
A5rHcEEuo3GvOYFaF71wD6FNvPWCAB/3i0LwviKOvTvDJppoe4yliJGMEWFlkF1Bcjtaz3Q86Yzl
vOoA+UL5FamihJj7a04ECfCo1Yrqzs7qmM4k9i97oVvJGBE54yeuXHSisW/oYRZ4Y2JG3yRDVYZt
2Ssxcfbuu4ZsDkrI3nsUVUGmhqcNQfWcy94D01GiriWCiD2v1ONSLK1hmJNkzKgpDynJtMGNW6HC
x9o2EhGae5nH62IU2k3vJFEzt0fKc6P5yU1ftPHRDQv1gqQExW3WKCKAqkKM+yEiWZI8GxNAiJa7
OgiElP7bLtBtUq1aY2wRNMwD7Z0+W3mKKEnu4G4Z0zKue4gUpQxJhSxD35v3bGPSrsDddpiRQma2
N9OUdPO83baWZczVXAHQQHquFxocq1QrguiOrMekoafcCe9E5Jk6541DnklGYRNH9LG542wCrlJE
jisatskZq1lOJkwY5vFihj7Klch99clMmpJww6GODrbePEwDRfl90Glv2hQUPFO4CkgiQX3onNvS
aqYNcBjRbqJuLD8NzBQJwBo7Aisn3yy3dljJYstvphElddG2O1ai8dGug6Hcm47b1sskz013m+ux
Ob+OQ2tvlZX8Sifug9O5/o2V4FV67DOzr3YqI61pL8NxWPmVZhytptFpWqXmvV0onsfQDlI0PBfC
UAfNhTjMdDsNln9IAe5niBe1YbgZDFUeEYUU04ojZVvfD0kaNiKGz6j7jZKw0IkqZrKte/qVer+x
ujhfsf83j6VbBGvLT7VgrWGMQsoZD8ZTNaGB163c5DpndpS+ytpLX1K91T5YMu8/z9IhuZalbfOs
2QNhQahz1sKgqN1LNELL3OpIKUI/HskjfwEjlAEAIV84JlZABG7+hMYMe4KDs3K0PacibnLM7X41
dGCfTaxQ0cJxZUSbArIKkRTSggfUChW1i9JB0oD5pmIw4hdh/mSgEnjuFZopbmF2Ypg5uTbM0Heu
r7x710mMFYXuuGrNuN7DZfN0xCItZk3Ngao/T0oecKDZ51yYHbIf6QnjpGRJfGE7uenWr0vrU93S
2xjwoLF/Ix5zZSRh7i8RH7TNokPA3Z1EJYzzNBrNg6BbJZdIhofo3hj6UJpzbNM4jSTsECjjpEtk
A1F4qBtWjbPtZ8a3Lt7/6ql36ikmjCZMiv8+sfzIMp0U0Y8F1b9+5ntBpePJcqBnIz2d7cDzSPDf
XmVjjo1nxDxTIC/a0u/1lIO2lALne8lkUYV9t2Tpcz1F30hn0Agxl13xP5hYXvWGSC9h8Mm4ErAa
wDP6RD9vscNOGYkT1urciS9RQ7p3/vrD2fibHuwVwOOXA8zl3A8NQzmAl68GDuDjHYUsueiCl6Q/
J4AuxJffH+rSM/mhCaX7vNMcik/s/eSg/BLlwYNiwIawjVPq5ARbV7zKTbDUI0N+M6udP5t0iPy3
mBdIq2/1CmHMtCzpFSXFAWFuHYkvZV36XnQbdXZM32Ybykjf0j/uwJ3ofiJuOskSYx/12Q2Vf3NG
+Thdji4+gPBpxMqbzk4q8FPMYWkKoxlDJwUPz5zdV/7FiGX2LhNFalLUNaTOCTKvHsG5R71kklf0
XrniQwhWHXc0kTd15kEaVfJhHPLumId15y2nOVtjI/okt8TRQzWycoi2PfuEC6k/tVJ3F5kWCZI8
W1Min6CivrU1r5qOaRvE2qPStcQu1oQBhoFWYUxJyW3derlM/kVV/d+q8c6qwb7/t0bO5UvO2BdG
38uP68a3n/q+bMAxAInJXeyCPZxF6f9ZNtiHgTHAR0PEihvAO//PPgyVAy5Sl93Z7NK+kBK/y9XN
P6CVkUvBnXoBIPwjK+d1s0yHz2ugwAB6Z9EyY9v583ONoK+sahLSz4WyiItVNAtxcadeBsZN9fcu
sYaHdGAbtQYG2CIJtfsPwNyoy5ugqN8De1yvMnwaNB/mJXRqHtrNrb0fVhm7wIaHnalHulsY5yhD
+r7oCICOl0OPGpV5v9199rBkY9kUPhUV6Zu80sOpwYRHl774ErQtezCw2Uwr89z4MDmab2xH1wn/
MkbGu9/ep/915ndpuv+4Vs2fmLwfnLoBuTL0Ha8+ceLFXNuxPVu4nsjwG6b8Q8+229ogQ0Wd1Y+D
ka4SZHaLCf0UC0mmW1t65CPzWeIKv6ATawjY1CpnxT6WzIpWxHqPhxHr2zoq0/guAxAjmgB9FZPA
4LmJ62OWK4duDQXqaUbVvBfZ9utlYA8HYJuX3azOuZ40sNeJlFblzZneXvBcRry8EK+jBV1URTfc
YSEIHqvQyD+9s/Bzrn48l97MewQYBNiFcApy3H4+l44+RDahBsW58CfjbGRxdy4auUxw2z7//khz
2+76SHSi8U/7rhHw8v35SCQMjFMN4uDsV7r9UqsSb0BIHKO5yKp4rdddDt1dJ21mmVqOEu/dNFfq
IpRu3CgmExxanpiorw9PjyWJo0Ik51mh9iJShu9ZPn8GZxIUxxSYmO649FuV1xe3QOn91eZBs1fB
aN8MriX1JY7TMmOLUwgq78q0VrE/jn9VWl+tdG0S3hLshi13DoOW7p2hl3HVFZ0//zwfMuYKaWZd
zbPiHx5T3e2cwnFC7YSNWrwksm0iynhanDapzGMRHVScZK9IpaqbYarjjQvhNFmiCfa+tt40QYWO
ycSwy7T/K6Eb+qV30Ie+N8pyfrnINGy5iWiCsbbydM4z0B8+Jcl4iS6xK59QUVQhCTu8NaftcKEt
tH3XLeVQ6/dE1DrdgvYHknCj2DamrLY5Bp4lqUZkzOQOJAcvV9FHlYpyD6uCiQroiw8wq/wVNUEI
dnsmQiStBR0iTJvirGZkRD3DI6LIgCOhXZgSJsOhHdvA/MFMozt0pSRM4Rivz/TPn9oLmcKdIRVG
MpqsDXY3TQtd+elNHgO0gFRiH+IZcjFdeBdKJ6mRqgcMBsYeiBhqhmMYMyYDDv9bBT71sdNxfWKW
IXM6bOoOf4lpPtWxoXDNehrdBVRq4Wtw4XEkRa39yX5arAgMMPcZu6i9UQf5l6Sv2P0D2sgekwvj
o59xH3IGf6CIxWtsm8FtrcSwtpWsN8aFFZIjxoiWvSL8bEnLmVz1xgIsUgW3uB9gjWDGbne8akwk
RzOMBBN1/mkQenw0ZVA9OlYLtCRINRP2hZhefBfvNlvLdCLX1Y82bG31F3PGnzQXEgpRSMySigsh
hT08toQZmzJGKOQ2coap5DMEqwCasmA5h7UCZaX3FumFwUKuD27VC5nFniEt1oXXgg1wHdkzw0VZ
4FwSxnY5oyKb0hCTNsSXwfKGGzebpjy871TdCnheCVBM+SUGDmBOn6G5Dp7A5UHbKCvfyLROW4vu
Ttt1lX5us1ZkwyFIauiZxEmHeyHRTZF9nZePuoc2MB0ta4arYL1ajDUKBy6X8Ik+DpE+LNs8U/Xa
zYibW8q8NcLbuNZdsqSykRxDPLjEIN+4TWtxR6kQRb9adrwLNyik0vAWfbzlRssa9wo3HLkqYlPk
iQwWec3LK1wPc6NV+9Z0xYJf2EvUekIw9OpUuFF408S6CakKNmizxTSjXVkxC5pdM9xUsp9HghE1
d02iCbEuo8T/qnU99uKVXprtNrH9zj/PAbnhofjXxrcYmpp9cANkR8ZrelTkTIdNP8GDlbRrN2Pu
inGnN42oligJ0CJ4iIfzrUzqhLGna5sftUqw/7YsN0O0kQldu81TXWMX3hbFx1SIQOwtGbT5Ootb
92HqWsvaAKgxjWOs4sZDDB8DMmK30FfFIy9j65BGyM43HfOuYl0SnzutfWMA7kecT6VOwh+5tTUe
FbkKDaM7SMtxciLVrahbeUXP5Uy8hvqkmFJr+isnWAyfDh9ArKyRJvPegN2yixIvgx2QZQjAkjIJ
UYaGmYN+QFbBXRqq1F5aSZ0Sc0WIgXbUw9zeGFUYOXzcwKvWxhhP5T5ODBWts8COgbvw94jJToKC
2yey6uWgEqY47ZAghCjGklZmwnNkEmxfJBP7ix4JwxN7EbM7u1WA1K0I6vbkAADOt1EDXW1mQlmc
rTCJjeLzZORFfKhHkQ+bRjkTHvQ2ap/s1HRenCEUCGoMbt5NVwxY8hp3ggolOnqfKzilcKVpmK8T
I6k/50pRWaRktD42jqteKxkjG/BUFK59AlbNRUEOn7Vx8hIffCF7uiioPux7wiSNJ6PV+BsK+4CP
Z28kUbY3RZrsgE7QXiu8qDFvE80Lngu9nm/ONK0bdkdN3NwNo936S72eMVexKvhgZcOie+QNFjxj
yuLuFqyScsVYm+Yd0vSQBGhJnsoDI7uA5Cw7Vd2pHdq5+MSXdseklPFZiUlG7ctymvrFYIp22uqZ
N3/5+aMr1ic+19wLsp2Cb9HVWKsg5JeERwdZz6NT5Rgg7gvp8cjLjqog4s9YU822iG9rwx4Zj1rk
onK5lZwbS1oM7oKWdz1shnmgsx772pwXDR6mJd+IBWQIjLlObgvxHMIOPvh9ktAei52M+2KM3BdV
WHyMQabjg9UOenOMKHNT6GZFlj76vC22dOeNcx1E9Wcb9gwGdWD45qH0o6A7hnEZ9atRegAlJm+0
thWSvozdaj2+ZXnm3A1do5e7Wh/77KOCAtbsRKiJr+MUzGsIsvx4xT7Axz1ljnGzqVwRfNT0ELCF
qqJ64dksc6NU8UNSts0xEFnqrByUIBHLHnJOJBdm8IwIuY/QqxY8JlBRrGBvF6WBY54FeTz4BrfU
Ws0r9jp1NM7ogClkzUtG1UdDdqa7DIO87XnTWr1O6Y1TXgZ98KSNlOmHKWil8aVtirFZCBpDDDyU
yT81CCOelraKkB1XXBbMTRlKSRLb+/Y0jF7+eBkU+16zs8XQ4/tVLheH0PUG0nWe0UYs0JbdaKBQ
y3VcEzp+jEZVxbScGxE/UYk0X/QAJ+WCpbPpF6ARaDgEqvdr3gJj/Yib2Eg+ERpv+T0TAS0bP1St
RccWySlUttjTsuighZV6BfBFQzz3GhcfJMjfe9wp4bSVXd0k62SauW0JmYDW3YCTxTkLt8LIWVe9
7p6IyLIHKJ6pakC7VFw1ZBx4keXkzb0J8MAwCaxBrvrc9OV28mvu/ozBircawxHfHv4Nt/6oHNKn
EBFzr/GmC56510VzVwToBlF/VQF0EZq0yHa6zyYeI99YZFnvfXDMAgCdcqLWPtk0VvuHOmwCxOsR
d/S6SiyuJhsHwDmJhSzixpNVbN2Zg567+xBUAt9rGLTolEmtUivRwJPBwyg6pAVYmtlGBgQONvE8
X1ODru/R9/Lcj67rJeDhYu+bFOZ/nZR3Oim0OSm//3v79f/lL68v4qc2yrcf+VcbxYcGSW8VICRW
/Yvx499tFN//w0YJa82bKtfgV/YB313/tF/pi9GZpbfBJQvYUX5vo+h/mOy/ggAaFsJSoOn/H+1X
dhcusa6zHpc0oF8xu6lRmXZj2Rq6OMRUuOzJVO4Cu3n64Zz8TRP2at91OYw3Uwo4GovwPNP/cUcz
GY0cWbk0wLq28ZSVYlxZne7fCtVr4p1N3tzQ/WGLPB+LQBdasLwUAOjOCLIfj8W1SAFQW+FuNMrg
lpFZfyJYyjrYJE7csUrj4Pz9l7Out5WXPRrtqLmTTVa0p1/tyoescWrDw2MJFyXkxVqX7U0pO9CT
oC1LhwaPCp5ppVnmRkfNa9F1zdNx65bKLLa1gwzK6XsG291QJECIwGgF5UCraAyk/loMibyBnxcA
LYyCrZrlQ4LW7LIIh+IwylnqmqGByzXZfjBatzjgosY+yCJxBmiSnJl2kVcwKwK2lONiz7h0XNdt
I+6ZVU5/wWaanuPMls9eFZ3AiiVr5eVUYFWuk3diZSeCSlwfvozV3ZtNJ75O1lTeTuzjP5h6ghqA
ym7j1IClDLRn7CoLtdPLkDbyhOLR75mQy3pUuAmHCtmN1Rw9oy3PsvJRDlJbvuh5pO1yl4yfSWpq
V4OjxrQ5BDCYfc0s3xpfiBsEbQNxR1MMQK1WVP84hjc6u97PSaah1VwNsfSQN3mjilTzGRmqMzY3
zKvTjVcwIVsqdHTaktky5lrdEsVrJ73qc0q27McUi9RDEOlBvJwdPl9Sv6lSClFJaS3wDhCjBzls
g/ebIR5jkfg1i3PfWSYEPt7qOQJQOucRa3inuiMBnurZHye8IyAtVyZa+plsFjXYkFLnNrGMh3hI
dNgVFC5xHbjrxtDlZ+GV/aYc9HYDjgcK1FC64osUIt7GRfw2SoKwIlKGj1Hgd9XCmBB4rxtOTsy8
8AS2kVmhZWr3FoXxjT6Fc97eYGR7l3hofDRJGuoEHmiPtps4exzo9q5XRbO2xiS70dOoY/jitq+Z
wUB8PUUT+DmtTYIDp6BZ4X18q9t8qQwlz0VOkw9j5hfdQjTlZjagIuz1WRZ9CBoNPGoICwGSApN+
TUBaGxQ5MaaNtTxM3IVXtcdUk7aF84hxt6v76Qsim5C/7P1phQzN49Id1xhc6odQ5eYNA9c7Z6Dc
XiAutrm1eXqwh/UnK7PNdWr0fw3C0zaO1NpTBlDpdVa1QqqsnNdqyEhxDAoT6WbbPtROq6H58x/q
OgAa70yfNFARZ3OCiGeOU4OkcZrWKoArAci2W9IB6TejsO8LJT56FgFAuwRXfG9j7emR5xe4xHkl
049hWw7YL80Xo1+h+JiatF9lkcicNWXTiNYkr93pxlfEXO3zQI9G9qNRreuLUNOi6RmBgg0FdjC7
RkWcCOKZuhH0yZMtUz9qcwAhg9+rJ29s43Vg4LpdOWMMNguKHlg1h+3zImj9otiqHkzCp0GzI3/j
jZkJyc3Hj7VKcm30N01K1WovItG6G3BUU/TQIzz2N1aV9NEZ0VKHmkjIQt1FrhZh3K7cuomPQYgr
JCESQjmfzSruZLrQi1DDDEUejPmcdrgoNjU8ce8LWhcuVNzGrXYgChkr4mNG8rGot0bQZJ81p8oe
8RUmW6kXLMOl8BBV6m3+7IWjJpehZYZk23audXCGvtQXauohvzlajHuBPe9BmSg2jQHXGF0nHWQB
+GxIilNgPJmU8yl+nvm3vdANH2FPqTfXLOhfF0ZRbezMsvZlPnDcjnY9bDj8A/gwikMyYBnDsocR
WtQhfGDNR3xQ2zZbEa/3jM1Fict0qlg7FepDYit94FMjTDUNfdefg+T/apovjwiaw3ThFFpXATlW
4n6w7OovG5vPDR8kAXVr2uWxGgMxrTo3yuO1HFW5Z98W3OZO4r4wjOPzWbgQaXx54l5T0FOWmS/4
bJpb8WeO1oqvlKv5s6W3cAez1J1WaA/Kx0iAo1s0lBEGi0eG6yoO89XlVfe/KvC9KhBHwW/LwJuy
SxrchT8Xgt9+6nsl6MMFJ2WByEWGYMTkmf+uBOE/6fNczGFyRmLUPFL/dyUI5Im8Gp3KCe87w5r/
VIIm/+A3/T4AcMrUf1YJWleTeOToc8l0SVsy0Kdcz04oXVRXJobcO0XokfaQasYDmNPpxMa72pR1
6s/OGE9/bTQvfKKFI/fYB8KDBkXw0EizX3q5Z9ww/S222SV3ADSFYNnOtCcfqvgKkJ+TgBNpg6UR
p8OtwXPyVypN42bAovMMKK5dV8LHExOL8IQeCVVcYXr9StaWXBqRLtW2Fdq0K2vhPnYMdN6JPLmq
HDkDtu0ySbxUjog75z//oe+OUYvBVl9V+0Eawx2kbEJNxi5Ymm07fy8+9+8Lx6uq+HI8mtQWdnEs
Sxhxfj6eqaEcBf5Z7ZUGSBOOwms0KYIegLi9c6Srudh8JAi6DGZnXBhbjqtvNnWuQYK9C6cxrJuV
maZIEkbwm74VJo+9mdvbke7qwz/+ekxYqIZdbiZf168mtATENkoU0I0QQKGV523LAq0jWl91g0OI
+T8/GjGjcCsNAk0Jyfn5ZFIWqaQQaU5vUjnZqZBi2gyuNNRtlwfvbGeMqznYfD5JOp6TeIiomDM6
fj4Yaqw8Fpme7Ot4yK2lFYdIV8iRwLBBNAnSyni47WRn3Kgm63dT7kGHSRr3vRTwX28gBxUOcyxG
nvx6bW1EfO+NorPSfU12O+T1ZkQxGUHQD9yK1+fvT/Cv9xD7G2K6ZmcKMRnXA2NJP99qpZvuK2Oa
7ktfNqtW4wmu4iqLmS8lyEC8Isj8d477d1+SoR0pna7Lhk6f160fnsosSlUSuaTuFqoGw9hzNZXV
ESlUJF36z4417x1hVAfs4Lm8Braon49lJ5oy+hh4VGLU0aqmF4aEVZfj3N6yPvz+fF6tt5djoXri
VPoYsDBO/nyslDJMkxr30DTiwVuVoScOeWL174XJzDPNq/0w8i8G/S6LDLer+fNxOjdvJHLQZB/q
Tg+ZSKGRWODGm2tXy3mMkwStzyDBxS0mWaXhWhdR/I6R6uremb8r3lsWOoMwYPcXzXw/GllC/c1n
6JtoBWCtNkGD0d0KmScAVvPRELjW+M56fjmFV199Bie6eAZwABOp9PNX7yO3L6fQS/Yx7fiPMnXF
AbPMeK5S9sJYT4pm0WozznqOmfSWoaLu3iu3GL4Ybl7Lt6oPxCELi3BHF1IcwiTklynV7n9/J/zd
53S4MKjqqA4AQ15pMTLHChWOTG0H0MN9pXK15bKv84BLxLbY3WFcqTyUXJCnmdqo7KT3DJIWFhO1
fZeV9jFoIegNiW+dA81tvI3bx2W6gtTl9dvff9Zf71paUnMTx6BzRAfq6qPS1W1L5pcwGwOdrU0W
EUpBRdy0698f5+qp545BQsQlI78NvRAClZ8vXaKZnBTQZXsMg0ibk4l2SJGVzjFvbOfx98e6Xs4v
B/M8H7kSEijadVdfavQbp7GJWN4DTQVW6If9Ss+R9EOjzDZQtaIl+Y7j0egG77MmCuBWpdO+c2Jn
m/QvTypCTKYdoIm40DPP86eVLpeVZvJkhDv6CHLceznOjgUqb6vaRyCg7jXL1V+dOMSpmXTwwMcq
JoYN1jccNxcUxhFwZXgIum68a/sAHEJTp5Vc1lidEDFkYjqBHg4PMaDPhym3wq/90OW0KvLpNOWS
3XxQS/fRq3GkmoJWQy91FtwGI+CD02XuoxtX+q6lzUlbxR67lV4l2pPmKWKpGB12C4Zr/a2QxFLm
9M9f2f+HpwZ5NtEqQxF+FT4bwAO7QQE+pa/C3dQYdrNJvZiNp+XNSbBamdk61EzTfiGXw3grOmF9
ABWI528Ie9zvzRDaX/O+tWmJo4eI142fxifMEeJgOywthuyT147AKAZjEaDJUvNplAnKRtplOghd
MuzwYeuxa2+VrVMMFd7QfPE9fCsFgTif/VpJ/4F8O+43nv4o22TlTEypKqnd+yYzxYXedN7nyQ5B
jxBOdvLmn22cko8xOuDb6mT2z3nsuZ+IlBpPvGfy55oG2O3l9Ia4A9dmEev3lYXy8lBOXg6XzYjY
9Zq6iE+kXogOFkecVmvvslp1xngErMYKxRBX+7MogXAsS30w9CVKMRq2ScW5G4nRwFug6zG8kcT+
2DH4J0k70os7KzM9TJw2/w4Cl/jktlW0aiB6vUqdgE9CZeQYbQMmW9OChur/sXdmS24rZ5d9lX4B
nMCUGG4JzizWLKmqbhAlHQkzkEhkYnr6f1H26bAd7fjb975USGIVSSDxDXuvLV7KzPO+RO2IzNty
+Wwbzy2+s/dw9w4S+U8CatiUc9PUapMWzfokkAxohJxqfrTHfn4oFn/Mt6SMFx91gERgZvP6FS66
X++823XYTF16jkBcZChqIl1s19mhgHGabt23I1L7TcgS8ppNCwvFlNZr2WhW6k+4j8DgrA11jskH
uSQlb4DlVjmtaTJwge3sIZefOeKCI5QHrl4QtfOjgmDbHU1OxxCIzgKdcwMA2Jm/XDOrLs9VRKDb
CsJwVj4kWIu8GF2GzhF6A3jnIQWcYnXqCSZzcbIj1V4YMfoYbesCgwr2Bsdr17NhDnNEY52+Zjrc
db6pPvugra44jaokTUX4gA3mUBWrTBDfzAdGp957FHHbSb852N2iN1bFAAwS5QqC3XUTJ8BBxh63
SQhIBc7Ep+p+jYvxochYDpJDs8/z3tsTvtedY26STc7gYVM1U0yyAG+rriKV5FVVb5dRm4074A/S
wn9npudd0ec+qFlDYho9qK9LhMUBaRuD3OJLkELoXAbpXpAzJ7apRCJ1Ox2quLETkhvyTQ5wdRtL
QkKLOH8e8uV7LN1PaaxhV1q4RheUxBt3hQIOReetD+BvEC8k62SZI55qRrofjeef2f85mJmLe1Kc
pm3lB6/jmF46duBvWrrrLveX+ZzXDQewf6uRGMbeB4XnXfU69E8OBmcMuaLarit8fDa3kSR+owyH
mJCnHuvQz96u5G0RUKKySce032CsKM8OHBmH6VsW3hlgx+6mq5EVInl01y8CT8l+nurU7DCdxhft
OD2yE+GzZ2Metq1Cu/6isHx8Ma49vSCVpH7ohpseRY7rciVE2NulTRAycdLRn+QhqNOMRfXEqLfh
h1JFX1F1P0dimp7DaVlg3Bqzuz1/bkNfCRC8kH3zOCA4A+QjerI8LJ9SwK26NFELtUjF+Kmt2mBg
fhoWHEXthPs25YkQZnF4lCWtj+H62zaUeft4tf2DYW4J8kq6zQM2ua+gDwGrT+jg/X4FaJrVHYwl
zTS33IvSbS6WJIe7LVmD22Ye9kFosm+6zKaLByJYF+l0Rkdg6w0kkvgDnjAYDdG6A8gCzkmyhFR+
9nrq9o07RcNxHRsuzJLagRahtiBLqnBHYtNb20Vibzd6fGcmF/3SxEwvxIA67qvbiPDbPBFCcbAF
OhmmeZBTO0M91s79Ua5rfD9bffCk6gF4TNfJxNJ9iGdyio/xjPIA75lRPyWpazsiRZZzj6AubHz7
GqcKFL4fO3e+YC9QZW14MGEdPyFuTzETeqlH81/mhK3kynm1CkaTDirGM19q/DILs255CNdY663R
/zGv9vAUaoupQd8O26jr3S2bnh3BAy0UT+Quhym06n0Q6ZEFdOF/qZahg+8O1YxUkPKUlr175RMs
wIONST+mzmEUggs7bq8B44MkbWL3EQimOIo+9O7ijFWCkqt4Sdk6bZnwdjiz8DjX6xB9Gs1b4qBB
vjZMhZdEugNwWqUiOuRgp+tNO5G/kBHwi7xk9u7ZwnUP7Aso+2OvCzZysMp2t1RW57MNJAqtrsgR
EFXAEKfrs8uM2bHbpqlfn0CxLj817fid9ibzpH1rjlB5xOOAnqDlme7Hk0rabhT3dOzyUDVhSAPg
dOcapx13l5ZXtIk1SzmhHyJYLkePgXOcFHF0bLDJn9jX4y530uhCaEt6LU0bHfxsbL5XbR8Gu0rG
/Tc/E/0eXFT1KxYN2VYylN2JCHBmSWXNTmuQHw0vDdGz82vsjKtbJwDcxk9booXhEBisUyZvY/rI
seF15K3Ysq4xF9KaIWR35Y5vvNhVjfuDnCy5LYxkRCxib9i1YNquYWy676HTjud1Li1UUjwD+9wD
9CqWdIsTSj869jh8R+/Nmf03mGMKLgG0Iz70G+gRCWAL9hEhGOlBtt/O+a/cWvpEFwOuv8zXLW2S
tn715MZdZxgt98UkzBcrS8fvviqi98zE6GtYWlj1drbXSPDYQ+MUNiyoAHxYgb+cXRec7a4Jxm+Y
HIt7G8f+1oqAD2/KHhh3QWBPQhWV3S/uEhJu3jPVAHh1EozMPX4rPRPqUtpXfyrqLRI+nhmdu7DJ
qI0JbiqwjsWcU/bz0YEecXZUI81W+27Hcbas2Uvkle6SsLkxJxEjmEwcpkNcl3XM6TOs1isMYpuM
mY7vjYfCwbOlPksclT8kvREdBva+lrSmXz3q2I8UOwu8bkqcax5KFwGcq+ZjYHvp14Wg8U/LldYv
NzDTXfo7xgQdW+J0vOzMWvGL0xYj9mmhPvBrF5STdpwgJ/lCYUyOfBrYaJv658D7ChyZqKOV45Xo
XS6qBq5Sa7MBtJ5DuC0bRMwriqFo76/WzfGsl4RwtAYpyE3zjjUZxi3ZDBE9Np5pv7txJb5Xtcuq
1KJP3pgc9OASZEcMzu7eBNNPbA3xgV7eT3oSpfYVeuakwsfrDg25ecXobBph9giYsgTAv7UNUy5n
u5ydyyIaaMXO5yp54bwz0cG9JXkTjFcffF3ML33g4kM0UXYt2/GXJW1v068wtYNxdM+Yq22s2ID+
C7XUGGIZD7jzuHA/K3OQubZB5zoxDiKfpw6F0Nk3nb+D6tajd9LDHcuI8q5ywLcEmNI9Cq6EpjrY
6ml+mEgEQ3s1B0eh+jyxG8Jghh4+tWFL6FIKPs4OKBhdl3If6eGnVla3k7d4dicoOvJ/4g+1WM1e
LTKARMjsgICTE7KeJ+NZn0Xg75HK4p2F1d82w7mx+vepWR9MlZ51F3yRKr1y5DIwqgt9CdT6q+yz
r9hXnkPW75JqGo1d/RnbxXRYK4aUoY6/s+wnpwqa5ja2HPGlQ2S6QwL6HVUahZWVccjn7qkOwA6C
7NuXRl7mPGSFnwU/mjGW4ISYarOuoSPIJmO+sTT/gTr1FGCR38OVKSZofEv2zcY4sOLQjqqzr+QI
45uAka7wyELajX3xNo/zcDQ6vxP9FzsazWsf9eikhuIl9LL8GE5xlah+NG+Wq6LdjGv+ONLD3Bmj
LCSF5e02X+yz8IrwLRj89lA0fRBtB4R4p6IPGI8C7aGdCON8PnSTQwkNTMNHlcXOUo/CUvu8mZ+x
ucZ/otNdrDMGCwY6myoeIvvgju7kXXTUDEO56fORlRTyL17P7avyc2HojF+/JAzsxN6RKxrMjFTA
LCO/BIRU1mzXsIVDrKYeOoaeCa17bXRYbAeyJgBVxgxNg2Gi5awI2kHylr5HWZX+GtKAG5CfyoqB
KF0aETeikdq6UUdblHHZm23H8cKc6bbTWDqTvrPqt3YpkMp927nigu4BGgPPuK9Rny5XEN10yQVh
NBqDvn1fWqIYdzpeaDtMyLE0DaWXtM6tO3GKefxZru70UAaLc2c71bp3Mhg4eTWl71ljMeTOkN08
O4PQu0AgzGXeNdrfcdAG4qrz8dbyxppVdS7k8K1vR0qH2grsg3Q8daK256UBLEGG72jQWfhm6x4b
Cv3VFOiPAF/vtlCUf/A45aNQa1I5IyGOMiuTlUf+ySU3LSHAID17uWAoMNDkRyZkRnDb1Pz+eaP0
LYKSAkVIksfOpiLzAeNJ8/b7n8RR4z7bAW1/F5LxHQqxHhGDyM+h0fRgs3KZEkTe9DCtlD0WzSa7
nrUNwM3yYWLuERs716QW3QbFhNCyRpnJcTcVf6ybAnt0UbDXJUsihTQ5gQ9adXsIGjF86wrNGyhK
XpFzZH0aGLw8iqJ23hpj8623FUHIKWaekxLt/FjN1LurlaNWqcx6neWy6ISYJnXyG2bhUtD2Yd+X
XSKWsj9QqtHbG1OHKP+qG4OwWJmKMLzkMDDIelNbxVvsYqIHHm03Dde/vVp3YOXlJ8O/Am1syUQx
Wi8o5Ad346BYZyTTpzpHyr92e11Nk39X99q+FxgbLl25siFbBcOrdK3Ov687q2jxBJR8A97KArxW
hHvneiAyYZyt2++Xy/SX1d4iXy3arKfa3D6T2rBlc/gj39UM72jkY2NImfhEUV1d9tyH7jaKGwgF
uIZLOj38To7vSAIBI8oVoH2sl5t4vL1gXQYvmUsgeJzDF5R1xzw/hDswYyZ/a+xbJGvrqxNycP62
03xaTnDTViCAWq4jL7RbVhULqDsWQeOOgMVV6So+FAPXfW5RXjshc9bt78GTY7npr9XxGSqVXE3e
youWs9V9MkpsyWJp3RH2/uzcxc6UnkeiST/THL3WkubcOlbOLex7BBSKSadkfzjdZ0WqwynuZ8sj
h3W8iVJUnTrPNAe8wxZYDIyuLKuogIk7PCBGde/oW9Q3jdINFKldV2eUSut1BAfxPFVQRn/fsO5Q
AZlYG/kJJZwfjQp4PNd6SU+akSvu4QjqO7EMSWYzkdM9/y9WRYX9I/pugEsmuVPQemj5o7WjOIlZ
5h2GEficrfl2tE652QkXTFKzxEws2hgyHbF7GaqXq8cI/CpJC35XiE4FmRerc6kz1yEFLkjPovb4
zTWdj9iC/ogPticYfrAWJar4dhVMktGckMhlCGn1watGJJ8RV2C4SsLV/g7eQ36yirS6hF0s93Sn
RLrt6E73xuZ8BATaHhAFW4Ah0pSEXjSzN2UJ16BCBp0ANUjPRebedPIeQkErBHMcIhMugG3l408w
eh6xrZMzvw1dMX/Mt8yHzUBBrhilyoykLbBzG1eWqDiGsb2HMmdeC7xCf8rRT38VhKmdR5ETeAkB
Znrwi4ngXhGCV0BtSzpl3KfvZSBEuxmUp9Jt2DHg3tay6Ja/jZ//K3T4X4QOHogAxs7/Xu/67eeg
/8/XQmXFv5iH//4//y52CMM/KGBZ2BHGQsGN5OH/ih0i9w8WwmhiWQk5bL5dRv9/UQfsPwLvlg4b
oRSFPXBDFfwlew3/YIMUoIoNoLG4Meyn/4A6QK7sv8zaIy9AcesLjJvscr3fK5l/2Cpmiz/VbZnl
MJBDc+miVgDmcOVwYSHlb2ufLceGaZzzPDjWZmmymszNuSBj0JmOFUYhMg7BG+6VjtULAB18Jl4d
fy0iXR/y2Mo2XmHi7tLNNKeGDJQKxmYuTjSeodqb0qRrIizCSyEDiFrgURXBdozBnwiSnY4E9Jzb
iGisDXNZhWIrymhaMHNsRqFSPEPlWzxNX8nRBvrnp8PyZdXjTdFfL/titGwar9I8ZVPnUADflFZz
O0x0NlY9JrgM+mex9AXF3erIrbLZEcnOeipSWaL1m8vpqLweUsi0EPozePa3VanxUmIrfYWq5O0X
NeSPbow2fhOj3d/EdVsNO7chbaRwSiYdoQCnmU9L85LlQuxdb4bYM/DXod07F8I0v3RscjYZE5Fr
5C8IHmudWOTtbTP0F6RdF75+qWQZPuL/8p5SZnNEKgTKd/bdYnjHdWSt29gAc4LC5O9cSV8ULH29
5Xeutt6gCTbt4mbjsjDbpLP3DQOMPJLdchf6i3twTP6QReuot+5tJL0NsWIkviBLCXzd6t9pS91I
fi3klYiqZJM2+siYXH/xh6UEK12szs4aQRsAL/aaDR4rwfchzB04naMu7fcCQ9HW8F52Vaq/pi31
N6OQL0u1+Em82O2Hug2knJylXrNE+RbG6y5ztNjWZZY9U6R77RYOQ32NygbydZuD18N1koekW3YB
dIgheKw8K91aeTi+E+7iPi3AHnYiC+a7ZZU/tQtMCPTjGuzSvsge16kcznNcb9iB0tizRrirwUZu
alLKtqa10ifH02+glkjw0WF1ygN0zJdJo219muOs6z9h4Awf9tSbX0yFnKegkRTQWe+9VIT4bi3R
mjsQV32Q6LHhI5tko64MSD8mSDn3FmjynTvZP/22+QCh2Q1JI9r+RP3D1qjw7Ackv86wbdRCAnpG
LOhqGSzMY1oTtprWYCIbY5qj7RtR7tOga+ukbqfpI6fcwpS5sAEBetSTCVmVytmsfMs7EWoCD0Af
YpXtbmpcO7fvZA90LpmdJX0apfs4Ced9HeJ3W5FNj8Jqp0K7kceYBBOKqjDv1QE/oHuwMzf4Rpvx
mqXyp+0aZIplWMudQvdyFPUIWzPHe7tpY6Q7JSkm4Ik5O3gFwGHekN8PfXHBbj+dZocWlYsZcVNi
smFyr0M8rNkhSqGdJ0bJ9wZLvXlWegn5lViPWSZ9HMlGQERdEd80euMWLNrMIzs+LL6XnyqSYfsn
d3Wj5mhSp8HlZ5byUnl2WaE6kW29me1OXAc2qmyUuvyEvsrZ9VKj32XrvHUk4SO+wk9MdXFpMXEe
GU/mB9YiiNkDF3ltuhCLbC/Tvr1FNhM3UL3NwkN7WfbTJSoYdrcaal26OAZnjV9t6KPFExyvaieD
atwEExrJaKx80i6b/lxWHmAn/KSH0b8NjZ0mu06jYB1kynV97WtbnISO1BU9tPV1yra5qQEvgztr
6oHAviLr6HUtr9mX8hIs8xtRAsG2oxpn1ZSuO8G/Yndhd1fatb6gHLJID+yZzdpbYYQXnqpgjDip
VP/kxcp7RfOSJ0FA+Us6DoaoRa7LIbXSLiRBsKre1zI2SNLD6YIGCWO0Gj/YrpSbWyNHKEUYqz2k
LISX63hfr9nyi/iDkb8Nw30uMr9mHyhByKfDDz8N+m2AfK7a5Ey6maLZ5pQypYGulKq7ojYfPFiC
/aTr8diuPZlwddrdXJBymoKEKFX9w2152uxCPxzuaHHi/Zg5Lxmsh6NnNfalsG/pFm1UHuoQd0W+
qiPrCXuDxCbateGthGdyfXRVa5/sJXTwkCHgCSZ/3qGrskmzm9jBdgrFsLTdOxM68YWmoNjNbv2c
Bis86iELD5NkAMDqsLhlFxmM/yHjy0Zy9qKhqbcx48NTD7cW9llW9VuGzY/K6RL0FgwC2bIs11xm
xX1hzxGWdVit5EnEOOQK50wMK2Zd01/mpul39sqGVnRqpq2X066sa8nE2UMqDSXnpNb4O9ZUAu6E
+hOvn9mZavreNIQf287i7IzhceOo/EQfmh3NVHsgg6N7psrPOOO8e69hfBiZUTwRlcGMyRrus6V8
NvZgPU15+YgUPToTVOFyN9b3WfhbVlbFPBqLTNhMz4ZgL1bgfuQRQcITo9EJW8Tli18xyUHMPPnP
vUHBdCZ6eTFMouys27k8ORlZFOz2N9r2FmZmPlEa9i4AIWHv8jSW60tT2LH1Ng3uvADiCLHJw1lz
E0L0WgjLc0U4kb8LWVAtR5SVLyJEnbVdx5VSZqhq/36sHMVlhfmF/LaSKa/NWPbn0jkzvblZ+we3
c618K0u1fvOkmb81LJXPIeygi2GXcegXa2JK3YRklDhLNZ4ZB0wc/TWt6zzm+rjQGO+chhMTkWfw
Sdo8/PXOlGcmqsbbCDdsniM8eufGRv/peWIXhvG0X4iA+hO7p3UY9CQehyXq91PUE8CgdInjAosg
CWYeHxBr2nmf21n21V9SCTgaqRKRXzBnsfXeMllWAGs2GR6bCdnztOHptk4bEh+9i5KmyXcAiCT7
DhcZZ3TbZ9h7MfBsA3+Xs/YaQoPoqSKaahmcltS4aBjNyc4XQEd5ZZ2svg8o/EAYsC2G+fTgCCvQ
SafXvthXgjlcF8Wr2uaeCVD89/b7IEryK+bSLp+iXPXPZcyYEu8+q4QOEOhhKFJ8JBGbYraohFX2
1Yxx02Yfdkt/X/S3GijEFuWpc9eU0S0shy//bfUKfx8M4uDp1PTMK7RZAMVNTHArVh5D5424sa1p
3FgFGdHebDX3/hLA86MC6uukIcTo5Be+/S1Nc+bt0iZmPjNeVO3lAvKJy0XbxBRr/cbhve48PiSy
d5zv/i1vbQkFM22+UdandWWTYMj6Avm/NshIlRFuoqGfy8QPcuJD+iEiXQUEyk6L/CrFJPfx1Oi7
ieHTKcgjlvYtPpYntAOmQjfRMp4muWAX86UhCRh6GjrUJX/OZEh+xNTcX9wlCC+pn5NMWCxjeDfY
lGbbNHOy+IrqxUvYWLzpxhu+AfaExJcJf19bxFm7s7BPCm+HSgAmBO+e9McpGSKpjoUXcg7UbnzF
iLX8dHH0J7ovnE/O0+JcTJazw1AZvI0jETQJRNYw3Vto82Fx2CszRRrr/dJq7xkIq7cTASKKDrHg
DhJqfGC/YXY4GMbLGo7TPXmy0zPCEbUp22lOSoFthKFz/rn0Ezgit+vwxWMSZvnmSCJQYHsnDYI9
pui63xFyHezd0Q7/ZEgy38mhALTVr/JFTk5Itx12JQE/zvAKHrB+yxCb3OwhZUxQDpACwPv22ZZp
vw+5Xi8wxoInBk4TPifWZO5q8wOgK8DY9uVuadE8KIBlOxgphpGwRrlQ1U27nwIpDmVttSespvNG
xvX0CvbF21vk9jGRL5EkKNLoy2a8L5F0XTgkRhDiOTdLOLoULJx8XqWKJLd6yTKtJEjcR+6RVOPS
YwQZuNeVX17wxaa7urF7CihS6vMqYOzIXHfaFb0JfsFSmv4MmKxHiazj+Tq67owAQvnd/ndT+9/+
/3/p/11iSmi6/33/fy1uDhJV/CM37O//6S+fQ/wHCjaAy8RI/m7u/w4bjMUfnO507v+UikbHj5oa
SWgY3Qyotx/+V8cf4IFFAnjT/uKpY2Dwn3T81HD/3PHbKKRd5g2gzCJubvGvikLlBGUPVSI/r9iu
Oclq1KGa/JnUXXA6+eO7TerTvUVMyjN6qvYeIYG16aPGdhLsYOXOgQLyUupqJR3SnasHdEtltQms
lglgqA5zDHZDt5hv4OLJfiuiGQtVlwK22KTVRPhWLvLLWE/dnZ1Bv950bn0nsXE9hp0XHRrMh8Bt
0vDg8+jWlDq0dwOqu8Na5OpUgT25moGN8oqQ30o8Q+7kppki9xLO3fTBjpDOdyblETG6GQ8QaNgD
tV36TMwHzlIeDvPJsMSr1u4zrOroulboHDYklOgd/wDKwK2nqCijH6Z0jrKdEwCFThjE2ie6Jf9Y
Kdf6AW+q/xXKIn7wyjY6dWhOfmYzrixgitJ5LHKKXEoz9ewPPhIRtDJMZ6uSNTHr35+lTQRsKUAd
yBrxGxaqLLhHn5ZdBrlaGOoywq0c2bn3oA7a01L0b2M88xCdgM9WeTR+yaXWL3Gs52bDCa+++ylK
IWVVFdFywkc6EmQofdYW97yJ2lN9o1hsMKmqUy7iKkxc11GfPYl1JnH96VvAmJgPua2/sxmkx18L
TaJAUfxYbVPfFbZ64DEizpXSEnDQul5kygSlFeGwD+docLeK/E8o9otxFd9nVr3BLiFqlE/J8GqN
NezdwasvixMi3emagDc6w1UanNTcwb20jqWw88NMi/vatX7+rdIFR+7USs8FWd11LOxF6WytVGBa
zVm/AM3g2jv1UJauxo/XAbutTUj44ozpPr+JZOvshi6YBibv9eo5rCDjeaJpd41CxYo9lCHHDeNQ
5u1jEYh54/dLeJcpMOBiXVCJqai5Sm2Vd67lOTz7msm3KKmWcAHSLLOvKRHdzK1M5n/v54mmt5Ii
gE9C9lcn7ea4SpSKjC98NJgRMLy1EfETScV4a1m/yRyRS76M20CJe3b+44829KqTrTDbTaVFOToO
ZqEkyOfLuuqABjjW7Ze4K9M3q2E2fU57tyeRgGfVnz1uXRBY9mSex5U98m5cKuddAx5qiQ3tzZNj
2p7dsU1ABY/Lz4qp8ZiMi16eBzzO0dH3KsozMgW6IxQPCrXGm/0Ni5ycDUzqeF/BagAmB1n13QQ9
tGLH56JNQrXWR1IGo48ytEPC7ufFPs2EJLyuY0WWyVKGacNmrqYPkkxV9lHeNp8iy+MvqvC/W/Yk
t4FUHhiyYPkpJCm6XBNO1+7SKG3fsONC1qtVqUO+rFa96xABIHVYKU9RSoJcY42mQcon4rvcnfVW
avXkDKgGSJThfla2AKISKX8X1XJNGmh5m3U0w3b2ZQEOOTa7ddL9ueqc8MyeG6Cnl5cRn4NfHujK
OdGUt4QJchf7MNZ+8eyOljh0hV3NWyvWqb/zQ2W/u1VOdN0NdT66NnVdDBmuPOB1qUkb9/p7gqkM
0dOdp58Rbfh8sGFTfsOL3C+b3kE0xGGW0vxmcxslBFrLjxG4tzr6FpoxwFEkzQl7GR78QVk/OhGy
zBiccnxcaEw4XMiV2HRWGasNYZjj3ory/iOYluknaJbpnbrWuXrU2yRQTEOEkkFgzseF7PUP+RKn
kKZdCW4pn9JT7lpkmDi2fMmqQW6jKp4uKqBaaWo616ANz75c9HZs2/oJnGG9HbMiPZUwrIic9vvD
bDevWSvMYVC06wUmO0pqVagQRefSJoTuBbventc/V2+cm93oMALoPNOgKMhHd1Pjgn6YbYdgzIuP
Vxhcq68mWXzDIVG3xyUkMM9+A44dUDnmynOo0xF5D+VDOqfWxo3L4MEp4VuhslXPlF72M7yJ7JFj
cT5A4F9PYzZ9FX7bPvdxFFGzEhXNPLtMv04qaN9IZo/QR4btdM6XrPoatYHLITVxW0WFbG8SwOYR
o1e/HzJkKIQW+PcxEJSkG1c82EKBsHZ42iVzsxRE48Vm30dhXzKJbZr7Mrb5dYPKYtNf53wwZI9y
q8euv3HUENz1Dr8+BHP3ymKHJBtF9t6LH6ngVBbV9JoZK4LcM6b5T2+1FvIJM9OwxO27u8VeUiKG
pXxZucYRGNT2DwmX7DQtSsDL681+Tvv1A1Xj3CUrYLtj5jAiLxkPbmZHo7Kmn9pVWnAemcJZL65e
Q4hUeZc0U/nY10Zhr3a9h7TDdsAhW6XPKI1PXVC6VzV3WZe0q0/WcWRQ9AG5P9w+z1fV3RaZJXMX
jovwUPaKgMUKne3OdSfxVMdr/meq/eJYzNYEnb+fkUQIWy/nZQ2XJ7fC6BgvcXwaHTN8VWlHoLUj
xiP3Eyzh1nQKWU7IfBu/+EgDuyxM/Fm1QkojZOpp8uwGv3bpMQiE47zLRWEfUZ75KGJQ5K9hPJ8G
HoyEurrTPSPLH3ZXxD+IWXW7jQBl8VaYOmfYm1anobPkofVyi+555Kjh8rslUPo1i74bHZp1Q1k9
pjEliAxDJLzaCd7droge3AXMjc5vh+YU125xWCeIWzulXLd7aZf4rXBbcFljHuXyQm62uZHyIyRK
I/rl9wJv+4vANd4/BmooBoTVcW9t1iBAi9yUTm/fuYEueI7FDpgs0tIxPyc8+PnkO3ddXhQWgDn2
omXv5WhxSaQIk7xtg5RMmelpddyuvGi0o4xMtZW/CemJ4tMNuMXBT90CuxWgjQyQcfA7yxs6ICDX
Q/e3nG8uWRexRzj+zgDviQOn7J2/VZXV/ijHGZG2NuErFjJ57gkS72+J4s0tWzzsB5mEZmySkODx
gAByDsBfPoHkpQ7eQzOZ7153Cyv3b7nlg4AZGxNaw1iufuydejf5BB7w5bib6JZ83la6/+Wtt3UL
TRit+tR70S3OvqiPCkH5EwxQ4uMMczIcDArl6GsUkB/YrC5qA7S1rJO76ZbF/t/u6f8nXprOAvTL
v2+etj/rz+lT/fzH5ulv/+evtSncHx+DOPKnEKvcbcv5F6s9pH0CXirYEvzL1tSL/2Cb6TJk9thn
/nMPBWLIZwNrgwpCjEOD9Z/0UE6M5/2fvYQ2Q2zWpraDS+r/YVQrScFw1rg/LsGSv+lSt7dCBvUv
g2+a+TlUpEzIfnmsuQmnhOM+4ZCIb94buS/HgsoCHZzzluJfQizTwg8E6jX9nPFCEjDFbAqjHjlQ
mX5sI4uj0dQfPk8naEF40NsMfOXi2dlOzYzUNnyIxTFtBH4VPbV386zX+7oUrDUiwvmO3Gypn6Ql
0SiEVlYkp6RgGxgmkB9PMCVMQ3WZe/R+QeMhJp1FeZj45dyNpwJ5Clce8R1MnWeCO/wzhxDFXm+9
FXVjvWZ9yxqyn9sDefYZ0EcJLSMaJM+xgeipeXgaGXEKq+JNprxTJ3effHep9jGj9i02IYuheKvZ
K1W/qAML0pQRg21be9U70ifXvdsTDdyv/HQKhKfAm29JefqqO7Ihjes+FU70Cnrk6qRMovO5fZn6
FR/9BLYGwTbq1ohhIAuhOyL+7vxIvrHDdJPV0TNgjuyDmJVT0MNsrj3viSHrR481FJZo94KGeX2v
6tbeSi/Pt1UkDZsmxB9FwW4wjF9nBjRpCPq0SoP/Ye/MeuNG0qz9VwZzzwKDwXWAuck9U1Jqlyzf
EPLGfQmuQf7676Fc1WOrql1f3TfQja4u2GIqkxl8l3Oes7wEtUK9TX2ttNx7s2dey8wwdh118H3U
BvkTG1v7SdB47GWZY33BKbYDm4eDoet4rpvFN/K5bkzXng+hbZw6e1KvlS2aB1AbbFAS2H9rjCNI
5636Bnr0IfRnMIBOp66nIW4+2Jn/4LZJta80YCQBvfPSDTNvy2NOHAKkjtsm9x/zuTbUypbjI0aJ
6GQXFVUvpEUYSEHYfzZM1ZRrT5nytoPXcy4SaLOb0YpRtFcwELZ5XN5LKNxb2ZQNmqZK3rV5F+xa
6nUG2zEgvmX9kyZDQoSBQZNRaBXsIRdwTEe1EMgQp2qVCgdHnz+41dkSur+IyJoh3IdIukcPZfWF
XbjmR5tffNNCblpTTlvJxuG9rHbCB127knQaF+OEl/ZYpSbwF4elAjoxZ8bMD345/DYF3niFBpMA
36i0s21O9E6DRg0LDc/N787J/4zJ/m5MZnEM/+qkP3/91Ly22U84EOv7X/r9qGccBn+X4E3cpy6h
Yj8c9eItsQMmOrQ0jATeDwIZaCAmbGjfZZTm+W+m8d/HZbb5T452kCI/H+08cRzTEYDleIK4yMPe
eaVRtRqU0/FwKeHpDDHzISo1l/BpmyjA8hKQoz3VwMOWQjx+q8mzpTx3lkK9XUr2vPCp3kte/lWz
lPTWUtzrtzq/W0p+sMdU/5ZsjF2Jrv+DvTQHzVufgM+q3yE0S87W0kZkbx0FbiprW4u4RbbpyHO3
tB7h0oSYg1/Q2+Br7JYWJXjrVpKlcYGmM56W5wXPo6WxMdmePvVmbFgM8qrgLif/466xuid3aYpY
VNAeLY2Sq5z5jv6rudORDHdyaahIotdbsnC7EzYTEtNGma0HlxPAjtm7rpJM5Q99kupXzyvUgTwm
wG/2TKCgUnV7A3k/flZF1iNLr0B3yWiwdkHsiXsPUtodcRnpdjAX7JNhlvqyiUbr0lftI5bCDrCx
sLxmZQ+SZZ+s54ey6yGTCv0p07ppV+RytwfTGJJLxRMVPWzttB/Rk47xClxp+AgUqDjzAIh3RhfP
p6aweajFk4w2oMq8dVpmvr8iKD5ZVDzpwcij6zFL4aSlGitdTJhPC5v8YI7VCJoFZUcJc/scC9Li
gfyP0z372X6XMfBYYxmzrv0GifpE8sEVJ+h4aQMcPYDCka+pLQnvguN67/pWrtdFZmRbVFZEPTYx
K6miZow1U8zvwOcZoEHz8haoqLzvJrt7gbSffyOCxHywhh6nZabL66J1jDNS9h271+4D7xVjBx7D
wQ1rp+KDbBIiQf263JSdZW7HMpv3o+kYW0M2mmlR216Lrq4uU93pdSCHhJA2bpwl9ioIPkuZMiNT
jaD+hoGOxkSzBdzabhnfLjIShr3QhbdTyEq7MKG1+W08r5i6vA7W4F+U/ZDsyQ6sz3YDQ7wvTfhQ
1tyviYyCciuMQG8HI0gviaKyD3lU+wdzcPOvaRmlN2bNczzJovk6c9IarxyQ+s8+g2Ek0FGL8UKN
bq6ROzn9RZm4HudXHJ9wfkMBKMJ0kxq58yERhfmM5B+8d5CxRLbb/iqBhIZ4qlbDbQNs7EXltQWj
OSdhk51x9BAgPbv2wYI1fh3th8FjKmi2HRMfsGiZI7tp1Q9zVnBPlh4DQNWDN+m0swHRjReahFOD
6bJPPSHTNDySM49Id0rbfMVC155RXyndr1i5Fk8cI/XNVObzoWRVumWE5WzRuphXHmzmcd8PNb0R
A6xtE0/quoiK6LqJbWvjKld+zJkVgq0wGv3cQjcFl4bI5Z52UPJgK3NjO6ciPjguhIZ+potbocEf
w/VgUNnsSiLCroktE2KNUikrzgYw9idMW4ogRrcK2V0qFXKSJPW8oZD9kkMI8VcI9/SVhBaLIyNz
kmyTToPxFA1tG0Cec4JwjRFEbySqN8YLKY7TnaZbRAfj1/rWQiv43GB8BSVXs4ZWu9ytWD1cUQP4
OuGDi4peWzu8ARGanWicXMbu2uxb8x5JH1vPR9QG5JZ2y0R/gR7xbT9h71lSgzqUYbre2IOVjfdN
usQK2dgiMBbFbPxG57EgxFp5W7+mCN0Zfd+lXyavrgVRanxEDQ8u2pj/1AF/VwfAU2HP9O87vvPX
8b8Or0XdxsnPbR9JIcvf/KPve1uDfefDLnrY31dmHpE5jkfd8Htijgkj5g+pLOWD6XKToVejjCB1
6l+LMxuBLbQ9P5DS4176h03fe+AHBA5+EFgln1seYcI7KIUNHjximjcfstKJ13ImoNFyo6cf3pT/
Dz7s20WQ9wYOezv+ZylOflDjdtVg1EHggzLILFAPHomZKBu9dZ3ZfwcWeY/DWS5l87Z4DtSkJRft
50tVBScSeIP5gBmLjKt80e5bMlyJqmapFCXdoRCNQUqzYyPOnartr3/TP72dPtm09jJ3oy2HJPuO
+mPl2DNH11IHtACYnL1noA2bX19i+RE/Um/85RIOGTgBlRxo4Xc0k6Yxpt4MhTo4YnxApfeEmqRa
9+DBVuasGE7863b+i09O+u/2qjaXY0tLJK8Lwg56DTfij5+djNBJ6KBtD/Yo1SnKCtLrqwBcTuZw
GOeD/WiHo2IdEmGIWTmySosVbJuZ9SW6igbBUJjg34x4yLGEyI79yGhzjXg2gPPOlraCaRggC7KU
qMdVwdC/oag8WmkhP1npuOc87r6Vts/uq+lM62lqCUE3pqAvNszj5DlWfbCRMfnQ9LH6iTw0VHZu
BGqTzDx6ORtf/oPr5NFzMnlk5hYNkuOocq6drszu3CXvdkAcibOvi879UNLKFQG2CZ/Wl5Ja7Ui2
nY88UK761CCIsii+2V5+VyX2Z3f2bzv2fuvR9otTbeqP0cAyNljkD4bDzyxkOm+yelZ74uGwt6EH
dNp0/NrEAbGOaXxdTwxGkoAUEdtCVEJF5p61phSF8xOerEg+kYcSntI4wbqM04Ip7fBVugZ9eomj
fBJpemZeEz10+H/WvU8ZGQwRxgl2K3oMYZMlebhNTR1fla2z7mMSZLHMInOMEHuB+DTwtPJoioIj
j5xe7xKMgg/Kw74T056sLbSfl7WZpuZFWYtQ7ErdNO6jXXrGc5wNzTU0e36Or7X1UIlsuACj2YM5
cqigmwbJqKXYioeFaq4ITHYAo6gMQymzbR53TOAr1IrpWAo2e9gmCZwzn+yK/BriAvTaiBOrf+kT
U1FvmfjwjNmLHpKlXy+TBfDgIuWPgU8wGE1EcJyNJrxEAdXc1nPZ3BRNexkGk3wBgUAIRC+zg8Jp
dMWwwj0UCGvwx7rJru9KvS8L+RJnjYMwLekjmDUSP3SbBLcmG+e9gUv2itzY6qbPpw2MZLgimpqL
rWNu7hB7q5fKJWWLSL2a6l47EFADu7+Ao5CRARYTB8xKOQxlRbnXeWIViOhj2qPK5K8962EZWIRq
o+vxFtLLY4plckUQvbG3i3K4wDWGhy0e2tXQM9s2wlHsLcnMn4VWjkavs49O3aqLqQLUDPXEqa6R
+kK96FE1+yukT+atDNX0iuUSogxfmsshSo2LLnKtvdTkuLvEisKPKYhNyULlbZSpuBrmKvKesFOR
d2vpcBfW8XTSho9DM+tKEnmhVQOjGy804kMG3v24dgMjxg4F77fImDqDBaZpCns6AycLVtLNx9Ns
xQyymNzvwtQlw6uqUvqGpNygmX1FsvAcCBQYEWlpd0TzmgdrkB9Bb18aiJXvM6iRaJl4p2UyM0uq
+vUQIryabaPbhOOQbZQvEPrO6ZWBA/k2ZfO+KdX8JYl8xKyxCX7CD6PhCBuk3wrDvNVTvwMpHB3Q
YRMAzBoZjzA/NkLG+9gIw2ML047GplZNteuZC71iRssYGtVwnfVO1ZF8cBzU5MQFNBg0vaG96Y1a
smsw/WNSjHJviphWY6m3CX/jE3Lsej6HedYxicRwgXrVzy85kOaj0AG0GMt5aSrW1nhsjNXIQnid
1yE6BjO+jPxyH/MAQINiIm6JIqxaeSHKM2ycYz5Yj2ACSQ4PBftxv8Fw7JO6hCNkE2aGfxWF2dcQ
fQKrsnYL1ch+7U27/pT2criuadeDlYPoecOR4EL4oc2AiZ4f3cJqDqwdsk01zuOHik6Zsd0Sl2AG
aOvI6eYLtDJKnX4LaFOexajMB0QENkK01N1gmxFrQKEpqngcbggJYhyz+GH5nrj6C0ZelmcKDXtL
IHfWeOmTEzssRYOkymnW8AYIWyMrR/mzzX2VY4L3MF8yU2XEW88AqVrfOAgqm7VS3mdPSLaVQ8Dn
rkInPfqp7z3krRb70kkKlD028uZhSg5EAlmLCCYGr1QtTp4e/gYr92s3EdkhNqLoo+9sC8Z6+3yK
F4lbrB8FJ9fGIkWPznvKH6QfibVjChTrRpdZ97Zyt+5YFM/dlNnY49z47Dbu/IwOGbNyMiYreF3N
uRd1t0Mjx53Hzv+AIKhZwYEzNjw8v+G1waKqmmwH6bE98nwc8VFIzgylK8+96EQxWTkZgm3/va74
T5H/t0W+WPIc/1UVbV671//6+rYPOr8WX//3v5ci/wUy3I9rHQtLGX/pj/pe/MbT0PIpkMQSgrCM
9P6o8YPfPORvgGcRkjvf54D/V+ObVKowPvGq/WyHs83f4FQyHRTsir7PCP+BHY6r/1wxOmAPPQcB
NrGaUP3eVYxicNVgIks/Dr6RJeusjJxriQLh/GYf/uGt+YuC8U/VKdeixYTpx2SEXdK7fmJoCfnj
EC6PnhwRB0ESOHPABE8T78ClUnPwNwX38vN+qoYdF5q9ZSHEwTZIBtLP5WljUOXhfuB6hUAdjO6V
kykFSHbutC2PBEUC65HaFw+jm1gPv/5l/1QbO0R0EEKBqoId7Z84sdDIW121nPtscrovRV60Lp6r
wb8kU17f6XAOyDYy/+5X/ou3GE0/KA6XHRb9zrsWpyP9txl9rzg2BRxj5O3dlwFpDhi+BDhNZE7/
+II0omg1uYkwZxIV9q6pIatMM5ZoAo7FkNh2wtk2U9wF28KXBlT/wX359dsq/vS+IjlfehvaX95c
uDg/f6io9c05CvVw6CsN5KSH1Wxdz7PCBe6PmMzARSXi7CMkP8LBF3dqcMonYvS8cR0TfVeuIq/1
7rrJwiXeDE4/rOo6bkHLB/oD7oS/uQswlb6/CaHJCovvPp0S8Z3vh+tlEfgR3oX+4ADtsB+MwnJC
aI0502zMdWwMVSRGsGTxhOOq7RwyUspoujOCvDlYwArdU9L68lhMNdFasm0gvIB1dYHyW9VFMfvi
DNee/PnBtIg5egscKyyT9wG+EMlyvdUCxwfUTewYjDN/x0xQnI3GM5pt75kg6Y1J34mO6XVIVmIO
CHaonE8+xLYJod6sB2LNFNla5MQBxuaUcDcJbq7gkJqD8ZzmwBrvVGM13HLgrCQ8npYo1goCXCzE
V+5SzDJAMxiXgyAAP3Cry2m8LM2YNDwUjiMPZNsmUG05CMiE5Huqh1bfYD/RN0EG8meNkKd+6VOr
fpkbUx7dAekDRdNQv/iFHG6I16PNCtTM8aXNdJnPNc6r35j6Dp06429c9fWLZHJ5ZyhDPDgd1nUi
5Mh9IymEumwK9ItbdcRcubbA+wv0T9/1dsNvyhCCvjNvuSATwvDJSjOSlnp/dF7znvcRJynvG+7U
hz7gQ5vhszyxjnVeXWYnd6StBFslRwfjLGALHwYQ4Werdgj13fd7FYgncWcxFQvj2gyvU55WNLO2
wy9rTUPd7ttxIAjOgJAZnwIP4uIxU4bCC+NSA2K0sK34OR7G4MmvOU83XdaT8lVMNvcJEhX7tcLz
8BJHNV9+VQSXwdQExFgV+ENsArFSrETYr2xalouG/QGTybrSN30/ETw1uBZvKd/u+kVrogjX35Pd
hn6JLw5iIY99nJI7MNbL7zraeEz9qGoOb++/rTtkQr1vb+PM8zbUq2xzVBmY57c/04XoNAuC0jk3
5vhg8Lvexh7LzzEKgl2vWm7gePl6uBA16gOEmTC8ELQP9QI36zeZ0n5wB1FVgE/vgNb2MIR8Mz13
9Hy1s/KLzNL3tVuaQJjCCoLojlzFCcKbwV+ABiTM4yg6UE609AbJgC3ZicZ+MgFTblRkTOFdXZdO
Dk6JEn5Vxn0XXlpzML0wwRq/DJOhBpRs7ZzcjJNhjc8tbz/9TVkO+xbIE8FyZlYRJzEY4DqzZGU4
g8P73D7UAJK2etEOh2Uw7XDzAR5T+sgExd7VfirPUNboXYbxQIeqacUq/eAWeGLBgiR87MZEFh/q
iZbZ+Qeg6mpD8+WuukmLaxwj3d0YK5rELhycjx3ONJv7qx3lOsJRczF42P9sv4oYaphWRU9Y4Slp
ekxZLccmEUneCde4e67NEs95j1fvkgl9wQeujbZazWmU7Mt67r4ENNsjqJ4+Sjbc3MHJZmtWbgJ7
aAP6MC98kmXblRth2I9dHBl4jNRrKbz0nNLt2weFVm3gD0puOmCz3FJT5rRfwH3wrzmX9R2POe5l
Kyzj5OAaIU/pJf+INNv6xRFd8FRMMX2ZFy1eKUKU9N2s4/BpySE517aoX6Y204R6ZuMr9JnoKXVc
DszKyh5Sw0yfcb7xxQKFL6Fjt8k+8QgJ8evAJP00YLPPY7RiNlRs5yQtN6AA7GgnJGxcYByzGTzP
bS0+Fo1hzMc5tnv/KIuGYKS1qOn9ZCMQibmWlJ/maHDcbVNmpzyow8vRqKObpk3jY+QHD3DC1FPe
Na9ToZfTPxFP9Fr9Ju15n2jHOOedWiQnlI7Wx94I6aMRuJpXdTB693TwmbdJhvHosMEdNnJUYs33
0ruww8XCSfxNea17S/e72baeCgxYED8wea0GqDsblJAKlWpuOwPDqJAEa8+wP+VC8ufhSHbNoxMH
Flm70PUx0BJHXO1mv2J7gdq9t9dZmxmXLC173roirFdz50QfcIKipwboeO3F0tyk/ErsWWsSayYr
bF8As1KL1J3jX0ryPRdyER+rCgjHA+hpc1jYedSwGm6nI+l9/tnQE4+FgsHhxshdogXzNLh0Qofj
LXNnbhrVc6e0xD9uIm0st1JP2NUGrJQ4Swg3yQr2GWd6iqjyabB4NW4XB5eYr6WEoBtwDhY9VJ6V
x+RrlcAFJF0zK7kFtYyCSxfASLGJLBKv82ZoDlM8cA4OTtS2e3b7/iVTHmOd+hVXTnmYYHbwfKLG
JJd3nZGW1Jt4jlcNF5bhbL/OE1Fa67cjEPYxeYeeES23/mjmMTvt0i9XfQ1BaOx7k37YwUncdEb7
pZQZTw4hWazzZFXOq5fzfAS8vwQEwkci/k9VMLDyzvGoGCZalP33lyVKh0RUFadUEoQO8fjykK9e
qLxpDkzW9E03UPuCkgy2Ys6By1pYLqCj98AwWFi5ESIcswmql9FSdXxtOQOvOilqflcyh7hk2TA8
vbMV2es8LVwmLwzTCTnKciYUJjbodaRt99RnbapAJTnTfWhUzosLNwhIJjiNy7FusLxleZ+2PDJE
9DB6M8O/ijzES3uWPgmbvifu88owT3UfG986Egn2cT+SL8xrpsp5y0y1NBLcFTwwnuQq6MSDbBSP
p6jRDK8azyayNNLJ8o4qqEir3GGXTdSZTyo988CuBKrJJ5qmko+pL5bk15aP0RCKrqHDL9dgIG8B
SDFrcELzSRgTCg/eJ0rLe1cmRn+PjyZ363UyxlHs3zEwCYjiWTQEWH39SE0kAmeJEYnH1KdahiU+
diTiCsqNHJf+NjHtEF4wiKxNB4V2NbrwBwojoAbxrNg8EdQWY1ruUGQZ8bTlvwwGAZme8nSuGaLG
6g6WK1SAITaIggqSk9Ex7B3amEfPBCKAoZ/AXEJoVt6PbzMTF+EZ4FOEehf21IZrVcjbyOdIl/Dv
dsKMSPWeBaALtpvHakCgQCoVqCWbI4Y5LUakdAAyKjIqks4tsm9GYjtQPaoQE0yFFrlTQ4Vmiihn
ToVvJR4iI5+uA22PR+5rCoNemddBV5vXToEUe2Bz7rZTcWDmorbUxuG9dnt02zxEN6nCDKht+9o2
SdYkNKu85dPmuVzq/MSTr2Aomhkrgqi7tV+42yjIr/rMRjXBW3Vtkkr1WBtuzwjNkudqKJbQ7cik
gNRqn4MyIWL7Rhbijsqv3OILML+xVHZOUg4Yg0iDC1IUzaU32qF/MNL5q6NcPhC75yu8Y7tFhDWQ
sryi0DaGhUlL4sFqQhrACRIv81eeV5yGZH3jsbaMoysnVV9h1+YmLWJOm8RtuCNn0BeQrxEgtDdT
NqYwEii7vw90Puv/ib5Wf9GKL13ST60x+SU0HA6cHcEI4n3bD505DXji1YeaXTZF/6DJGG2WwvfX
7dqfuh+fHRGDCryFyIxo3H7u1oIwxipcdfUhRy+NsQYmz4Nql7BtW4vqAhYGrcvbcfjr6/6p9ee6
qKgcOETQ2+gUf74uLXku00rXB7LZ3NfOKJoDKFiyn0cv5vyqinK6c13M21B3lyr311f/06KRq4N+
tKF1gi16k2r9uBfDnsH0RLjVYXRCGpDZb6wHlDLVRfoWrY10hTPfrCF+yKXyJkKHw/3tJfxnYvd3
EzvGEQw9/v3EbnGxLv+p6+Snod33v/f70I58VpR4AnGUhHnPqpYf+YeXVfzmvi3dLUZpv0/rJP/4
h3XV/I0xH1wMTCyB5XqO/0+0eeRqvPuishYnlIYsaVfKgEE2L+THWynxeGJmELmPnFaA/SJok4bV
8oSDU+dvnA70YaccvH6W6GjnhGK8vBoqq7wEdA4cCmiAWlVRa0UYz100Q4GYYLJloaVvMKRlG7Ce
NNZ11uBtb9Okny/CxJv6bQkDfovfaL4KPJD6vEpOpQmUa3Ye4nL46qX+8u1JUCyTgA6MDsWXe6cM
zGNNCuPeH0d9M3u8XtTE096D8naqnCXalJCV8pKXCcsNPl/9KgOgEr4ZZJuyN+RxgmAD0ym2jZJj
43uUoAjn3jj5bxmDE1h578sQyQhSSuAZ1pM5hFGyLfqIQHACpw3nJTZJhId2OAZdfFF1MsOPOxaq
Hm+U5cHfpGkYI7ajRuzvqmwS0R2xAe4OMmCBHiqJCtPHvjl0Jpglpl5HzDz8yUiQqvJBN1kNrVIR
vRgxMnVW6OGpb0OxpDOK0adgWYvMFRGVcuGGzAhXqow+FZADrzG5VcSgzTkmHY/TfyUQWHyYe90Z
21KMGt2agkhOrl/H/1tV5tB8dlI1nD0/xdqZmZE85K4Ut3NiVZsxDIcPDb40P8j3RVOQRtD6OSqf
Xd0MMC6G3FUXTTHuFNUZZOrM4oapPXC77DWWPTkkJAg6j7g4sw/mEtRF+CtCD4dmE6eX83XZ3Nz5
LRmfCjPuBso0uQOlSFgIB/IldZbtahxXEEqYcxK32dEE5gdLiPwuztPsdtAdcixKXA80oNobYnRP
gKbwS04PHqOqBshr0H5yKogsRRZ7Gy1lcswiF3vc2BUX8PbbbUtGwjpmWf1YDTAyGeHEe07N4LML
W4aCP2zSm8Fw1Ws08BRawwA1z8Hkz2j9U2GcSkZoGCjN0rxt2nrajwyan6SV0wXW1ovrRhBrLTv7
nFAbIQ7lS4WYwd7xDLaPKBrgFynNbEuOX8MQyPoMe2UbELE1keIeda/NTOzBTGwv6CAbP+x4Mdix
c51nbb6TwwwjjF1NdWgiOzuC1XCv4AqJF2oX/yxw3aGoGWFZpll+hHyBldmu2oe2r6JrxkbVIZOF
JLdj0ufcRzxXRLVzy7hSIEao0w+qjNMXPtF8r3UvL3pQV4e+LOtzNtv55zrqsDyFTeQBdpbzDcLx
4bLolpFjUothFVJU301pV7ChMiTHitTJlT8hgSA2wE1X45KkkesGm2HtJ8kJj7a87v2+vRwamTzr
1gRiIulcrupsSADbZuqhz/rxPmHVfZKw9beGToKXyp7Sp2Zwu4vOQRyy1fS2J3P2ZhJFiri4cUwC
jOpZk/A3m9GGCZ6/a5jafnOGRu1tz52edWqRzROQLpChQ+6c8Ip6udyEPRvNMaB+h+CC/rCGhG1O
MI1wZGR2/4U0XvaoWZkfzEjjOnDqaiMYIu3J8/R2VNSa8BFXfapDpJUIhpNdbkNrcUt7vE0rR53j
zJ9o3npUIdM4fSAjcf7ME3245Q0Jr1nzw3b2JgHNfSw2fE+6TVXo9DDmmGlpJaHkMbfJHuuEDoyP
nW+LAdYy8LL6i4Qms599/CLE25hyy8ITC2/RdDceNF8LE8HkrlOkmDC1HOsbq3GQBKYb9tzKU7UJ
LPFAyO1wFYfFTT10wdnChP6BxIN8PzuB2mlJEboyp8S8IqzWvArgs54NUjRuJz0wNsEtEVxWlcj3
Qa6vc9WzqBR8UU897u7NbAf0udDc9THJRHSqK2Ygke8uGGZZXvWqA3wgOWrwKF8YjHFPlrLFvTsV
IGHMzgBMo9zpc5yOsLdGw6dF6OGwHEipU58y10PrmAK91lkApK6yEDyAx85bh0aVUvtBNGl7F3md
d7YYawF7V3NOo5Wpx7aE9K0db4G31sZrXfUmTzQx3uUJEQUrvj3eJXS46QupLSkO9kg5h7J0xpMR
FcM+bMVwHrqGuJ3cKnd+otTT6DjtjV6A/QTXzHuZ6PiWJ1vNoA+6v9+V3rcpyYjidTumakEQfRkJ
/N3ayRwg2Kh3I2qgi0m3zsZbQgSMaskTCJZoAV9kjLfNNh9eybYU+XqAl52jQDDAiMe2egqXqIIK
RurRf8svcJYog9IWmG2DQT37Uem6W5tZ3ScZRf6+VAQh9EskwrCEI+SamISYvAQgrxDxJ4vn2wp+
RH7ubDO4BiHUXhHq3G17v61OqiIlOeyYaafIfs9j7kEMGsr+GXMAI4W36IYWVBp4djxdt1jX/ct5
SXkwZZ/3eP4THtfBEgORj53xEMeO+6LYw+/1W15E9ZYdwaFd4zdfIiU6k3AJL0OElZhhybE0kLvr
58DD0yWQwgNUvdwTS04FYxq1LgTOW7bY/mu2BFqYiXy1+7a6MjBX3/tL7oUAI3Y5doHNMThZOMFn
YN9hebV8gCeVS7GHjYTDv0w2QUquRg+k4xghy0BwXtIzMch49HySOOh/851SlbM33oI64JFufcTs
ZBsgyDMqWR+n2WxvPehtn/GLEfeBdJzY3nEI7gUa7R2kI+Lcl4QQ5y0spDBq+wZ5DJ20NWjSRJZc
EeKWKlg78tJ/Cx1BkGReKVOwBXH1KegsfysSQ2GoSAgsMSayS2D+eAfPSOt1uySbwMJqb+o5r28I
VEY1GFvWQUunXM8Oo7PxLSAlFI33TC1gYc5CcrHqEVl+8wujfymWfJUwqz8QI0N0XBrcSou5I7+f
2VF3jH57sN5iWtIujU+MYGhI32JcPHuhZHmw0j8ndQN+EiP9eLIIf4EBMV5MyN24NUnvKlIyYkJq
UxBGPKzxeRMhM/roNDbyLVpGcwifZdSrTasaMkea4noYlzCacMml4XlX7oYlqybvjGlnJMI7MJFm
cihgnbNbJd5mibRbGymWMUX6TU9EIQmxWWAxNGlIOEe5J9bc2fnN+Jae09hLkg5bLcpX4I1bPAfj
nduAJxoZzR5dcyqvu0yNfE8kjHAQ2N4XCt8YDEpm7TOTY8WnYWYFRaWKsXZJ+RmgKj0yy88fWbUQ
90Bihb12QqWu66wLLubMpVqJnPBoejVkBkDL0lxlYEDYRw7hMemHZt7gLUlPaRcEELwGkfSUmHAn
irecIvl7alHWTfgXVlL5l4zuIbp0yHQchjq3rtHKK9tupjMxYmITZAnEqkgRj1SO80IPjT7Mrn+R
2u5DtIQp9aQqlYkj+C3tU5F54mPCdhKgbM6uIXSxG3iF+0EsEU2TQc79MMZyo5YAp1rOr0jwP4HC
v/Vhj7PmGVxgIsQ+tYrg+mqJgjKlwfSXdCi9xETBZi+2wEsf+Vjkrl/CpIKWEbbMKW6MPLlmeCIB
UNovYgmhwkrdIx8jmCpbIqrqJawqRfWHVmliSCaZlFVAD07REm9V9v4uXgKv4HFDbmCIjQePNCxf
s/Ezl4gsgYQari2xWWFGgBZjww5gSQH6ABI2k3v5wnZG75nw1ms2sftgCePSSywXuyGiYrn9XhlD
ba0lvKtATneojXA6OVhPrmKG2xvwCfaaBp7HHELvI2EZ/o4VxLyuWROuJ7tHlVWhDi2X5LAA3s21
Y/LLpcSKwWor6BPqplu7Nb6hH7rWv5jgvJ9wMF62kG3Yvk0wJE7id5OVOLQnZu9+ckwhaC0eVi88
NSiM4RCCDrq3zVJ9rqmlSh7ZzM5+ffH3qpHl4oyN0Jf75IuK4N3F56RsXGCzCbK0qvk8p015WSd5
fO1nQXb360u9n1RxKSlITRJL98vQ6t2lEpWkro4LLlVjM9ryHZlIMpqi6uuvr7Pgpn4aiS0Xsj0s
2AJJs3Dfq92zamJrmnnRkZSfaRfDUDm6mDS2eZl0N4iusuByCGIz4UMvXmsvoqMe5yi+NsJ4aa7D
mFf365f054/YQ7aCdABcNT3tezFHb3Z+3NFlHLE5zVdm0Ux7mY500HYesOs1o7j5rPuBz1lAmX+7
9n/mR38zP2LeswwL//386C8B6N//0h+KL+c3NF38q0Xt71tI8v81PPLlb64HnHWJkEbdhSbp/2ZI
wW82GjDcRUxJXUuYDBX/mCm5v/HT0C95KIksy3LdfzJTQj/27k5Hqu9Jz+NH8iqwdrwfjuJBRlwd
iYPv48lCgVH56wawGxCNSV0mI91IGX6cSvjksLSi+NHsaZKZ7lYXSRzxSK9cZivNQGKgF4oQcrLj
34CPqS9wXi44q6nEVGH7R3Ix8InDFEOUo17xM4IB3ADHiR4ZAZdP1qI6qYuRAfRgGc0XJyxRWy6T
cLL/nFfgHmxotdU6r7J2+UMWgqCnzq2Mr5n2GFugmdZfA4J1aSgTqGPnuPK2DXAaP9LpBR1G7e/d
ISwfaOijJeXB6O1z3zGf2FgxWZDEvtTdamaatWXxDq6Zb/mqxQBubzxL6rNodL75f+ydyZLkRpqk
X2VeACUAzLBdHb7GlrFnRl4guZDYAYMZ9qfvD55SU0WypTgtc+1LCcnKjHCHww1m+qt+Cu8yBPhL
VeCt6ceQy9KyD3PmKb0rlDPELLaEBm1XtBCc4JwcyTSCOzLld1mvzW06oe574Sr3npblFw42zcFz
Erm3AD7EVSKmd9ctlucaVmt6kYYJAWkUBVdltQOowZm8cM62PnrDw2igzewtsw3hfCpSOC9Cfw7e
lcnBRgY+E5/Dym6G5ooiwV6URCkeG9y2vfupy8XaHS2C6q+6C3H3KkmAEdO1+pCpDEkNOs4r9t3t
KpfONgRFrHiNSsRWThaT80o6hjFqpTx+fC+unRugJx+MEGiRQW8UUxbCePUh9EYk7zCDCBVbumP0
NoGtuQVHyyDx+o8VpHie1wr/K+Pbhj+3ZDV/B6h0SaKgmfG+QFCr4ZHXyXshQ/R5b2A014+SxY/Z
IhO/dPbwvLQlGiQ+vujdGZh1kWQkPMKtiSEHciFvo+ZgeZowoK9AgSJxwQbkfVNz1RmasbZjKflV
ylyahd+/1EwkCKMwJyzkyhsCI8DPAbgGL6Zk1HlDnRIvYHK6OT0EacHVvXqLKny9yY5OtrLeewgo
xT6cg0ruw6D13YcE8F9yNH1ip5dejUwe07bofwLlxRNRrvw7yGB+LHYXZIKqKJgBtRb7V6Qna+ts
kWHDj5/97c2Haw9Db3VLrqCeNjV1pRjwIjldXOY5Y269bv4IH3RSLC3Fm0hAsT+yf/KZbPIb/WCA
q4teJi5T5XBv/pp/UMe6EaFKTEqQRoC4ycnlNKy1I7/Zy2JCvCtMKnybmUXnsnXcdd6sIc8WnnwC
vBcdStFl7SUXuTYUIA6M1zs35+engoKb01KH4R3Nif5n2ReL9X59lUhaQ4rEK+FLkJfixXrK5y6z
cNg+RJpuAYgWBkuZ8Sc+Z8S4bn3pp7Itj221faSuvV2fsFhs89AvlC5EvmlvF93y79Gy2ZvCKGVi
Tp9YfoLOxg0REaU8BRRAcMSBznSWte3QnMD0+vd13WwFhW9t95TjMshLPSusT+0wTlgbnXrGqqXK
GdZJ2U/7PnLXs1n96dmemPmPxcI4hzuNcTlA4pD7tKH0M5IRyOoQpKryIJF5LsahnXExhg20SYuY
RoXgwbeD5PZqUeDD9DOoEoHzXGRLz5Qa0fKj5yickNHG0oTUI07FFNbHFaJmbI+p9zTkvflRWALY
M6Pp6J1Z5vwS+haoIVdzY7t60rwZLsCdb0uLd1eXHIvX1mtM3E8aLjZtmFD4uGQj6TgShufJiYIf
HUUMAnGtDcWBJBdTO9eUyKJpIS/gBLm+y2a50UHACjIAFeEX1tOniUaggxzZIR2sXkwEfRISXrWW
6oLGKE4c8rIs5pyRPjWOap6rsUWiHUvMb7ugzFyQf2twtCa9/CaDWtwk2CfOxRg6PyuUn/cwHebg
iKmquOugMP4mYBG+Dp63XFQNeGopqiRuc+tNF5Z+z1xJ0XNX9u2ugtB/WhxCXXTuVTg+cWlBkm2O
dlgvNDra628bSoBvwFSZW7J6AfGvIlhAm68JB4myMLf9lNCvSQDPuQyrLu/Ru7y9N02bywyOGUwb
aj7uvLR70D7AbYY7mTxwfBgB8S/dctP0c/hQTdazU3MuOTA7FAxjwtE4d9WV5b9KsP4wtE+A4+bj
Om7I/w3+P201AOVWCEA1M6sJFQHNtS3AaaC4pRMxqP7aJkBeXtwpLCzuW4IP5X3KKv1STfIx88bu
GcAV29bUOM+J4wQvDZzfHU7GPvzUkQI9wwxWB/aV9pfUnWZ8ROHrimngM/hRF8oKJPaTNzXtFmmB
43kegfHwxZ/OsyK3Nyj30RisnzREZLgLttIFGtwp/k2I/z2ZDKjl7FI2WG1FDUDK9Azcrc/UoZqQ
5/dZkk3UMs51Ra5ja3uwr80PlHuQ9LAcCqRH0bUc/uz+1QVk8JG7kU0r71YiMWx1ErVtqcvo4zuL
J1F8xRqhbidKKh84yH+ddNjdK7NyQGS0ovw4aJL+zpAH2o9M8l6WyJLoeIXzVDp+//soZ/11ufZf
zNcuDIbz9GL0egXqAmcnJvXzBb508pRlTrKHz4eUD1XibuwdnEWE4MfA1zeDEdYn0m4kgq69HEtQ
/1b103zXcTg9JN7iPhV5P36EOW0caU0cLFKRh2trSoNdeW3/sL1APQRA0e5t+JcNfQi29SRpUdkH
nD4PXK6AlCKakqJT6ms+QOFHqHmjaBnHiK3fex6Jh2yrJTH0kzhueikwLt5Ziye/oPEzoQjKhZpb
xFEa8rIMc7Jk/IAJ8X4I9Dkcpn5XBmhUme0MrJqtmvEnZT1jRnzvsZtJUe1T5Q49Dz/rgcZRSjPo
W6kx0J3dyvmcFDLYpZWPi8RtJZOgvtxjlKn2jhq5D1yF7Wv2I54UUbLSndf5O6jgNL5stKx557pK
PCE4+Y8UrPYvrZYDD/oGWwkuup5O6vlo4Ry9J6Xh7dSQvvl259w22sr3eNkUNNDFgzBS1y950YJL
K7aiGgrT8v3sVgWahz1bu6H3PVByJsse61mLYymovLE15TeLEfZnSh9YoPy0vWcFGoH3MWLe9zWa
Wm9ToUPjLf/qSnULQaV7zjwQ2PGyFe/QM0YHT7bV8QyyGJ6Yjdh7nfgXxMnwri3T5Q2BmCofrx7e
syH7UiR1EnueE7KhIP33NlJ0i6V6BojUGXHjKzqCZjpJdjJCjfIH/Fa7XheTT92nDayEOnsfPvnW
ODRey4fU1kMkr5VEeLUxzAV1dcJiFr4rLJ27Uc36JSna4IgLJikOPA6nc1gQICWoW5KII8s1a1rd
ks0UpouM4cCSmlumOpJy2I2XP28M7sl1wXHzd2aaljdId8B68xPssv97eGV4X3He2Ub2hhbYnSMd
Qfu+cr/RL3bUSnZE9TYsOOZkHzgErHDKSqkXY+R0PynH3ScLXUGkP0eKuOGMQzoZH1bszeKN51t5
3zeVADpWg2B/LHp0ZVPCcx4wVvrPVcSEK/YsgKFjT48PAH35vUQISI+R30C3GG32ggxty08pD9l0
rOY70lbmsAyANGkwCpMnwzbg3q1IEiA/iPRLUANZ3q+C9FoiI5p4nfZ5TWjU3NVpduzgv1CL43kP
TOk6OKVdZ4Eh84Yb0Vb97cygnulJPj86Xm9es6m+6abuVoXrvO8iFwaGaekFZrU8jX2nb5zRS046
Dd/ZqE3HgM6JMdDyqRjR9DC/lmV5LGaqqm7gkkzOMY/WlQYKqVURt1XTFriX/PV5ELb6Ppc1SQOW
vIroQ8P0TzQUtzTYE+9KikPrHwu1o49I/+sniwKR/JCq3BuYhKhXNSxNSTdNPshkc6axuF3ARuMu
FMEzs6TPSlRzdttUXZDcicb+1k+RoreYjVweci9cyimnSWAtFnLBZZEFz7goPPtzXvNPetrpskke
W2W6I5bGHS6hGH/jZ+y1bSyFDtPgMXVV98jT79LXPEGn87+d5P8bTe0vZgtbeODGHdyRmD+w7/zR
bJFG07C4uAjOgUb9mTYHqJdn7uu6BOZnpJ389J9/n/cXHc2WiFuei4ZnY+r/s7sDKtJCisi056bW
0V2fsXU3LMzfSquvN9TY8COrbCkf0jEcxIV4tUiWGC9yVt8D08bOZPHFPvhdI/WnWo/OQ235K8Bq
18HtmhHDgR/GBlCuzTbNrjcDbWqLiAO97NcXF1c1pQNzSSkChTwfvSq8b603Tv0L3BnPHNee0ZqJ
GUMJ+ZUgrcLmEM4c2NIE23QuUs4iJSvGa42V7IMKMvOTW6b5nVgEzLQoZUffX638VM+pDxtD6UxO
lfnLtnbaHLAc6qdWywzmGBUcHE5XJ9jCH9SfZKvwsOrM8eeDccL243oWrv3OefjPH8JfBEYbUVGi
1MAxsBFn/vShl+yQE9/Y7ZmiVU50HnZvjO9OxXHtP/+i7Qf9u+cu2n4RVjS2ARIg45/vrlBzgqPe
qD1XWcVHrMIaSmrT8flcrcEm31xguP05hKw8ZT/+p789RK0lNIUNLxKInX+8t4n5OAEQBKwIhXJf
/YnmSLTV5dlpNoPybPFb/T7gEGBN+AP+Rqx2NhLEH997aBOAwhXnBMCb/vzep8LD8Jro9mwcxU8f
p3SQ9wHBotemMBybpePz5ke5tAQeru443Qwc/Jo0qM4pXsHX69X4X3nzb+RNF7X+Pwda8aJn/yf+
pqm1br79wSH366/+S+RkwfL5uvgbpoa+h3+JnPIfAleptG1H+tt8gi/CP41yKJkYQpkacDP+UjL/
r8gp/sEfBS7qcnPaLC//I14pOJc/33GgSbDM8ZXj+2aLYBNB/40rE5QzbooKxhmHG24tB/pmsF9N
SmjFHTVArn5UdrtDdM38S+IuqbyQl4hC5vPUAsTu5BfkONaZGrPWa9MOVlrrTHqnyFNS20Om5med
k2MAnCcvjICcBzLs8sJRnS/04sJ9qBQiy5g7aGoTBSoVDneGUiD2iA1QrvDRbNEsZa+swSMbLoJU
jRPewQuV337F+CKSSXHbpD518a0bqpNbBZk+kLvY/opIkMhKIGaPEEOj9wHEFRk/tSkivQnn56tC
VufO/KwLl5BLuYlUQgFqZY/TlC1uPN2GN37Es406b+e1QhYgqpc1Fi1h21KokGEfl2retJdhswmr
SLJMuG6qzzYP0VcslCQR3Hl+bFtrOIsxE2/rJoY0ghwYG2fEHL82zkPqdrx/hiboeX7Fj4aNzMMh
IOFi4Div5mehN7GokUyyc1OhpCRbonMWmj92tQojkHrflnRz9A8pL8Bzpu0oW/HbbJG6r0VC5RwU
bH/TNaOZdy1LfmdY8mQi+sV7j65xioGRPIeUvL5tsgA7fUkAgUGts9NTPt8XST5eRBsBWN5SLYzB
t+vpz8mmJc48Xffc1/yXXx8ozwjyFADho3d32D7ha6CCj9SYL/7SLjPRBnrx9nMJsmbPRr/MnwiA
8hbahTZp7qWM/w1NhZrnVQPXhR6ErTwOfQL7/yItLw6sgMhV19dQwNXGcPis6XIXx6perZaFdP09
S4bNTjw20ftSTc/9ajwKijJfIi+TWVxdUzxhv6QioJo7K1ZOzaqLf//jGpVqvZobvZzlkBwxW/KT
1mQTCfBJ89qyTWbtbTE/ZlAIgPX0I3cDRgI+2Uj0qEPXBBXZd9bzKgjQLrGOcPNZLtGQZHT56gWT
6n8yEgGZj/XAofq340sIipwPuCWfjVp8VenKQjHqbQrm23EZVWjJJFG53xy+lnctGG95DiC5Xaxi
REpeOOLDpFkHBNSa8hLCgCkPbrJq3DGJM5ifMyGD9NBgt0l343afEPQkSLplXkLRE6n12POEDgfz
uO/snECPGx2YPSMSjWN0uGbI2EAn79db+BoxWUr0xXb7soO5Ux+JT+oMaZJLMrnp8jhjM3uEsN3e
ygzU4vE6sPgVQ+pbhSSqqnDLj26521+G+OtXYiBldKJOhIt3jQhgLWV35eTdx8pG9NxRDAuIZUC7
pyguebcKe8STx+kXqmyX1tRFBHw5/ZZw9wqV51RlHgjgKa95O3YuL7mZ+UC7a74T1Bc3mCX4kpuS
x/Dhml69JqMWeyMg8xQXlwD5H+2miu7Wbnsw9/nCT2BHxoavws4VxkNgMvGINRWt2NJmYT1N12hv
Vyo4+5628dJuSS1KusmlZZbGUlFy/wiqLqfjapYhO0R8KRBNdM0LwjQ7P9duO2XPi5nV/VVSzqmq
PYmF73IJh/kSNiUTjtqp+DlXwRuwPlXiPUuGDfTqtffUwBVkl/msuNFpf8GS+FGimpwjsDknuj3c
1yt6wC83ST7MyAC+mCgijTgPLJFi5Q3PZckdZUWg+PeVS144sVe21Gkb4DMUnJeyG6iL+amw0ZQH
6TItGCc+pSpP5DeTuyzNTrJwTyVsxMbd4q98rNqw47OB4RNRbhgqdMPivBYepsJ9qWsUbqCS3C+O
YcvebgOQKRrRra+73XybxNQQDDQYHrVx8yN/+yY6VbvcyGKLjLjgQH6i75JizDzu7m1uwZiT5Bwu
kOJWqkGfB7Z/3fF6z0tX8pfsnvccu1iZBJ+mj6c0H6N3pAdCl+IqrI9MOvqnEQP6jCHLsL4Rkwr3
VSa2+zHapgKqC6N3ztZ8kL+WtMI45F1UMHEr0Zqqh0sRGvD9HR5JfVCO5TxKn29XVZXQZoaJy8uZ
8Xj9xtVjKN8nJFJcvJ2ns+N1ZW1bzgC4qcLu3clF09AJmi7lZw8qax5XclulnHGCv7mNdqKKHFsx
dPWTkw0ug8DmJ3Uy0UUrtT0M8F/xcMYtrngawIGYVm+barF/IJTXhooWzwyDMzG3JVvOLD+invZO
OrCFYGcO0Cr22zW6rUm2YvUKEkKb0MGj6mktoHnaeRWEMW6m9J1HqT43PZmmG9nY2zFpi4u3fCep
DGSJIRo8udBWBQr2z7ap39vU0TdRMg/2tFvCiZGpL/QryRBcw9uDyGyTVeRpdcszJnyEyGkD495m
sLoTpBwdp3/wtgmtGeA9gyDP3vKgY4DLLPZr17sHy227O7NNeXUfxHaA5XjaDb9O0T0HapMN6jYo
Iug9j5TetDFdS58p0jkyRGJyCLH+UclxV3BUT66H9oVwJG3XAd1GycVxaKoIBQWxgCJ8VBF7cPcK
4Mbe9d0VvjZkA/r5OlnEqnXrs0NDQrbLpQpjS5bobY07RjSlrkd7mKcbqhTLMgbjSfes26hsOS4+
PcHniKexjlMzADZ1KVK97YVcP4VzH9wY+hafgnwGyDtbjHXryXmTzoiDEKPQp3wtw5vATbh7HQJh
fha2hzQsFJNbNUMfKGkC1/Qx3gNpoLjKWN78rZJt8YZg+yahv1d3zAzlU1dm2Jp7MzEQW3VE0k2M
v5tFR98z+r9houJNW7nJDp0X5PtQL2hxeO/O9iZbLTO1xHWo5iyWEnjvIExxH+qsWO65Xv7Pog+b
4zoALsbaYx/SfHqLIuyGJf76U5BMXxmlb+fT4DvmrwWZcSFeXYEeFSWjCrf39JNBvGf709DjN9fz
j2JwXy0aiZC8jbkP82x9Iofg0cw31BRqW/KURNQqqiiXh7Qzr100MB7RPjujg6lpAu/XhCWqrNmf
TAj1YMWTm6HWzg3MD+vsRa25lNEg71qBG5OL1qA4dB6ZPfBgc9eFBytaS9K3Pj2DNAI/QpSGQBfe
WGvpfOIhQKeJHJtjClbiUtE89JS2MN8pwT67ltGncHtCiEWNOOgiEBpUJ2JHXKwPA8pxXygd3a/F
NgCr3T1RA/u51JusilD45s6udbfUqqJsLAz4e6hh/vd+rICaJa4LImxuOoxhfful2BxcjIppb+P+
JiDuahJ+wSSsB5ucR8yTN8C8Ko/0WG5RxLK+TCgJ36yyJma5BV2doCIWrLVBiua2oa9psncLftST
nZRZ7IUlQ6Mqp2YUy+IpSbP+MjbeT5WlVJgT9YgdZVfbauVclkKLb4m26ZFLWjN/YUd8YHet2Qnm
drNfSrs89B1Wv6RjRWHl11Rdtw6EgdwNzmQZxanOQNEZFwCXx4x3uoPZDVhOiaGgydj4JNG6fe/Z
z+NUVg7exUrTfxV0K2GPPHFg9jpFLatzsJqRJoNyTo+MDzoqUumMTzANo6lnCRDHNhXJqfczi4VJ
5z5NsMP0bgGpCnnsJa6/ywcn22tFB1SRdQfmIS3pLL4Xueind+WH1WUlPMO8nnoEGr/WA4Z+/rUI
8qMPQ/dtSueQW1zULfUAOThGGpPKoaaxBkBSegfR4oEBkvls0Wt1W+vw3i+Z/fDwSl5qxt40sxtf
7wbOLqC8O/K3n42vBvtSl37U31ids7rDmVUrOopIDB0Fw87WpJpycEs+JX00sZvdDAVQ+9rwI+kq
FvWkKCa1sHwv5BZ2nkPo/xQwWl+92K2kZe9SQ8lXGkOpHsRHmFFoeXSpS/XjMA9FegRN7NW3na35
7zDrsDLYXs3YfdQuKXhvYA+a6YzdVjPR97nzR8mzaZtPLzf2Rg66ujGsIKLatZvYlpNh+ju15i9C
lUOZiAxdDtBuwDH6T4oYJEgiqX1enJM2Illet62YP69yHcwXuYDaOco6YjfSwsco/d2EqPs3uuhf
vXibQubIyIErKngVf3IoTZnvtKvbp2dvBp8DKcMQSR4iJ3EfHHyYKZvNRJ0wG2SM5FSyNgflm+Qh
bXrnNbQH5wFSJLvK/6GCxguCOeHZbNsBnv7ZjteIIWmzQqbnxmLrhxkfF8ict+xJN6YciSmXnc9Q
r2yOrDH9O/3O+Ys4ff31Pi8BtZSL8yeaVUPHLC76lWuyVByFCiYIZDYMNZUFH0i2UOWKyTkUr2WQ
WBdn2343kiQKgaROuZ+kv4zlurPLPs3O/XaCVl3aFL9faTdTA0r8by7Xf/MhQkNyvE3vo+kFJ+4f
FZgxopdYwGY8N8lIfxswk8FsDCY4mBr0Thc3zOsP/my6bzWN2c9dj1bRZZzlc0TQ57rp/iaW+xfj
G/kq9kAS45sMhMNj+I+vyPLoARvYN6CBWmwbr5CeHknq3SDxmF14ZTEwyTI/MWWKixo5XzQUX1Yn
B/N0HhujtjMYV/Y/31niz4687YX5JPVxnRLH/ktgOIBro2vdZWflp+xQAfu1W+gCX0EwsysSpnlR
WRXKy9JuuINZtKa8GaU7wikayV5mIwQg2144LcvrvtjpOcZehwOpXNm+5xuKaCuTZw+/aT2AePhm
W3WCWlIChKCcHGHw569DKWhKAEiYjFiEFjUz+9usHmOxzo/bPu5b3uCFbRi9UTvFcJoT0H++HO6f
U+NcjsANpE/dEBJi9GdJPnMslGlQNSeReayBbrtC6AmH7ajTzLz6K8oIWNdovTTuhnGZ64yXtZBe
faEeiKuVCqKQVM0zQsIoxz9ysfhfbFlLerjKQ8LdZOZJF6g0wwTF5tzSuFfHeaDG9JCOeIPWZSOn
eS6TRioIFtL8uKHrn/+rRP+/FGa5W7r63+6Lv6AV7/Om+c20/R9F6F9/658xbTyzRAJwsbIyb4rz
v0ToKPiHy7gDaLnPUO9XgvufbMXoHwKpmUech9ZMeRbPt382qYj/H7YiAuu2ovzb3MOOnAABKyA1
wgu0cfX+ccWBPR0B4W1AJNsWbUIbsRSq8+w0yTlnuaMPWwqsSYsYlT7Om4Xr4Kte/DbPFYmBGqM9
lobF3M/08EYQN4BGf57XSsp3J6pEuZ+M8z0N3fQNc1oQ56nvfR6l7Akapf3jSo1xAra54OjVZlZw
n078n+Ak5kidLI5YZ013IIe+mWjpTDuh7sV3C7zFcmsbAFuoLG5/NxaRbN5EmQz0r69b6mqASErU
RdZi+Fmsi96RG5rjxG/J4nFcWRdDvSfl6XuhbRFngRg+GABN2byj/s66L0XurbuOYnWONny2LynI
Ez8WbtOWB4Vm+eZANtml2dRgcsyL0cffCBoq0G334svBvRhsSyd3Ln5WXbQcyMizNNsEBXYjreAn
ipNel1KUjz4nn+LMHxH3wFSTet/PIj/3jQBboqUnDr1jfSOkRLmGTQblghXP2ooExYERPGP/McxG
SlE4Rh8YfppnCta9+/GaN+2HzQFGnod51RohstZh8KK2EIkGLRjCwuuFBf5IedUtYCPGaoCKiy8o
RRmNJG4QE4IMuAYKW8cwN6jwbcVOhuqXZqiBwbpsZ4gRLeC4+6FPOSWnKjsEOUN8wuQytzlEwLTA
qlRi/wBd5PbTeSmmtdlDMho5YCZdcQyXJDnD43G/qFUs9W6lP+I1qjii7Pp0okGN/WpY4XgPh+Yt
JYGAOWtoJPa4w9RXgN1P287VNpcs9RqQ5UXl5c43ElA65ZOrHDqoKhQ5I5GRlHxYvQQ/EnE/VlhO
Mvm4Pof4Rg544Kq4LNupiHMPp5xsOxLdbMF3emBUsatWCwmDmOt0qNZkjPUcMgqwgteSshEcdpd0
0PfeEtIgN0FqytsH2a2ge7zyJOc6uSFmeGz80rzRIfw0C2D3ml9zTFdKK+tx+XDsaT0GQQ6nelxe
ECYNLcpZdlj9DgthbdkX5cny2GOvuomsBruTccidWxm2CTnnN3KoMLiAvrqFXbNe7I6vputX+BQX
92vTk3iCQh7scCNhuu2L8djiq+tvSO8UF5NP3zU7iBudy/S2w34Ldbm2D5ooOlvH2CDOHXEbc32s
bp9vE5+0s8j6orVmnLOy37y1+xLMDlXjSauQUGxSWQRVwtiW4QQ/h9azhoP3di5Wp67AIZtbpCXb
3MFV7yWx1IXzyKsvbhEcEWLxKaqLI8TwGxa+ZR9mZL8DvmznjmN2GVBn16Rrf2677tJM3ksnqucy
zO9WJzlFRIkIJa+vOeFlTLbRTZBOzybKLw01rPvQhs5dcPVTP4tD6P+m607hwlTFteZd5MGQ16rq
D2OyghBP5LsvqKGcmtrsnbr6rZK2Ru2ZiKhW2fCSW809RTIgzaiC3nW9xyKYh/dSsZekAWXeMW12
8Ny58skeUGXwbaEzRePEvaWMg9Er80+uIQ6wHQ/Poa5+ENZGKoPTeeOzXN4MmvKHORHFA76k4jyE
ItvzrXCeCJ89MZI7WCFvam2bhzmUBQQwVrNySEDtY5CybpVy5XPudv5Nq/qMuUqhjwon5EfQZV9s
C/925c6/ZzhVzjBHh9jk4ArY83Ast5LoZlhycaCmMHrCI8vgf/WjS1mgrvn6aRp7+8gyEd62hTUF
SPV+/5l1ZWB2GST4dkQPR88dxrjrS7oE+aCONgU9D17qZc9inqN7PdvPKwz/vSzqD5MSk+P0/2mZ
a9KrBBbmAh/T2phnhEVWlwwc4WAXx0KUgpfXym+ZzB9KkfF06JIY6EF0youeGWHpH138sC8c++6V
1emYNt3ijdTqmwdhkOnA+M2s0Re4YRd3IFqsnEEd64oGo8ydjmbSW4XuCe0/4Sp2kjK8tDuRGv3R
0PV18PRqznbvvqokKLmByxZcAWXat1432fRQiecBP3VlsncCu+wMq5UiZdrfWWkPvhV9ZcqEACC9
uNzWUmWFj6ERJwN99Hnmo6OfZ0yhkPlr+LVMUudLRenmXouAr5pFOtENxvtgGQ9jR8Vr6PZHPLMu
qZYiRMCmXxi2QJvF5VKFp2oe1kvW9mdcMzdjnpSnviIcBqVga2Kg6Kwtq3hNomDD0lJq0MpB/sAA
QgFW31rhAxFj+ZTVFKwz5Onuq4FM7zKN7QETTvZdYfdnpjTczTnmsWaq3hw5cpBq76Nx5cFaRNHB
xQ05Luahy4P6xzg3ZzpLvhRBiU+W9+PP+ORjDvo5irG4OACBjzJLQhdlwlvJ0Ev8X+RY1X6A1Hrr
5V6KVCmWnRlS8ZG0g2Ki5pTNztJUfWLXYmUaGVU8ptYI96PVFB/2PNdUPoFkb71i7zgO0ehBDXcu
k7g4x7hJNt3ON+jmW2ZN2+N5ohkeq6cVEkG3A/fdAiDwyU7VOO/JM8o0RzUrhuemsMJLZMr1Zh7F
m5yxrWHBtFIqP5sB2BbaHHkTtC2q0mS7MBn1KveAN/4H/eiPThbkcS+n/tl4zSM1VRYwXOtp40V+
KmdEIC30cUCjvKHl4XNoZPU65+UNw57+4PD29i4Otq8srxIb/JJ8K1ZHH0A5aezrFq3X7Zid/IoM
VBjiiKrpZo5zM37QsWsOjR1a9ynKGvbKftoxxgl/9wcv3Q+eYiKSiepbGwbLSzBZIAyH8EOUHtHU
sA7eA3pH91bi2zFH1OK1SRt7N082pEHUxZ0QcwvtbfsS8YEVTNJESdc2oVxa1vQh1QZtufgJavH7
Ylv46aJm/CzMeLCjIXuo7NKjOYNHNk3yTo0WpWUWr0rLnbJ1dWvWtT0XwyDZIzTpPemHc18Co7M4
3x0Q0NrnsHYBLLhhNjxZnQjPa+B3n601Orf9Mr+OmIaPTpRHeYzgm9/R8PmzK8MfrM5k7SM/2g86
Gd7ywrn1GxEx89cLvnlgeuSAeEDkkY+BVoxx5gEvhqJQuA8NMBjqJbzurnAMc8feLHe1JCePm3be
B1n3o0prJx5maK6PCi/xCwukYXg1iCrEzITz/SSb1KCOyJKHl7Gaj47Go9vUxxGMrSF/tyc057gN
mQ7vLLmIlzoTzvem8vzvhFLo1Fv7FMwDFcqWU7FhoCjk6EYslis2FzbA400wrBY6p71vhPsp4aAi
+N42ekhusqja1+w84oz0TZrFdeLUU3arhymA8D+mL3hSew0PoIpiujzedbRefNiybeLjqFTBuq97
NR+GJMWfQuhstzKLB/Bgn/jUmJBIGBz5qPYVNRk7xvdfx172sbsq+txVQqSjahPoOB3Pv7I9M3SC
tpgwGFGgKM6idyWF3sV409gTcyTxUGSFeMvJ/p/wrYQE/WpwZX2GxSSIXpY1O1YciZ91NsqT7Xyn
iJoNU5G0BxT6Nyel0IZBBOqwFHsGxmpvPE3+vSCT7C/NgfnJeW2472oN8GRziW0RJ0iJctyHuBJY
TgAp4TUiG7MF59cy+wq7Cf5mFxHP4BLXkXqbmcAx0Y4I1GHfmJiY7wsnrPccVQpuD0tWwL0Vz8Sq
vbStfI6mWp6g1vyomuGtVYsHH3d96mvOKQxLluM8NTLWqt9jdMmwxnj63mIIdNQrUKlqom6xr+r6
be5NHRPS41HHxAT/OCUbmHjjIqNgbecWbXvHgOQN/MZ8bA17upxaI7gCzt6ZgxVUE3c5XEjALRIa
0Bwmb8xu77qMMKKm8DUeuuZ3Nr8GdJU5MGGH9GuVtNTL8dOcmey4VkP9hlM631dY34+dbCKABWx2
3C70doyXqvsyZXFZprI+RjbcGj9MvttGp6ACcOdmAEueugXqY2R8J2aOxq7HUdEnWxUPzbwMD65N
6/1/sXcmy3Ej25b9lbKaIw2NoxvUG0QgWjbBRiIpTWCkJKIHHIDD0Xx9rcjMmyVRemLdZ/YGZVYT
Wd6bKYKBANz9nLP32k07rpceB2QqzPkaPuDRwJa8XjwmMr7WGrWOP17C5P3aUG+UlvHJDpZneuUA
XvsBshDbMHzs7Vguhzgo9GYxDKQIr0bQMlFAYXlp9bnct0V3gxvxop5Slse0RUqgM5MpI+Wttjtn
5yi9s3FDrkgVvAgshw00N49mEXx0YcquSHd5nvzhSzwkL01T8Pw0zu2grvwmBhC1qBXlVPLZMGwN
TKk8EBQP9tPxL5FdPQUAgLowbHYFmyMY20Bex7ENHr02rUshCIUZOZ0Z+CTWalh6FOFBYl4XcTNy
PDNuBq/VAYLXaWFLyGM+LjtBu8J1km7nIOgPHU/w57lLvznFyDMSj/MqdZiUMXsqz4nGbvWpBGXb
bDLyGq/ZsiAsTI1TcsBrOh9TalffjspWe21MDOhzr2BAZSRgEuzOTNdNgT7YHi1EBKN2KXJk+3Ec
mKJoneoDp+riEPppvRNhDUp6XpKLkbHiFiXlh7lbUIA04QloeH6Dc8h6dbN+uFjSzDtKJ4A1X87F
kZzseesyKfsgaihDcAufqeHzq6IWFPiJCWg/IeC4b5JLZ/LRDRBHdmWZntgwPZp2DnzfKNdUS9oX
JEGHfoDdl/49Y/udrh1xhvRSVLW0E7NeJRG9DWNV499JICivPZk7Gzst45MHkH5Pr+4lqAacY7b/
7Ccld4xD7VU9lDUN3PngdnpBtaWvcQ1wrOhTn704/ByaJuaFwHeQS5A6a0iIKYJzZUTQKQfucFwP
vDsJmi4eV+BowoZtpCZ73UA536ZQZw+cGw9+VecQgiuyPukhbVjNCYCq3HqDiGuXp/JEMRXckfsl
dpTCdFycKf8EFz/kJC3M4oqtml0Iu5i8nvvwou7rACpVLiI79t3VUOCORcK3Qp7dXvhzb8IJK7M9
9jpr3aE6WhWqN7GdtgpimvPaLnRoGcYwpkuf7CW7Rv0Rb6YlwevQ8TXC9mPKWhBbU5YjEl4Dgh5U
7qhoA+NiFPlNZlfMzprqKvH8hyYI+x3nazD6kscfV/G2tsxdMtLvgCBMLeMych+IpVkbwWCvskx9
Wxp56zXqapYzE2JwSUtyNgW21Fm2A8vdqOrVqBCtxyXtGqdfm+nEquya8T5tym6zFGDZnWk+4saN
14QdYSwZFGskIzTsQ/pF+zncEfcQiPZmUg3kKUxnESXkBUv0g4wZE4th2lBq8SRbYAaV7scVb4N5
vViDvYP4QRtlYdMViLs6aQE3A8KUD5tFewWKQ6sOKXSW+rEVBm2TcRyB/JV0k6V9h/5z5hNptSm8
kcorGNdJRzmoGOgh/4FUZFGkxtl4TPH7r1xRv9SqCW/zBJclp9kd7g00MZOzfAwsceMvoSKzC9OK
05tb1bv+SnRd7q05KBtkavnzigIn/0D//Vtgtdf9gp8l8J6xdG5l+aysaofm5LXTs6TMzXAnWgvR
vFUYtXm9tnKZR0urX6UCPFgaxeeU9LJNK7BiQ8VaFzbTd9IG6ZUseZhEdU0vILUg4rFqfc6b/KZL
WaDX/dB501qawj/hk7aPBmd6zONJiY5UU5TrFl8YWouz6JUY2JCZNFjIqUbCovzV2HoXsrIuOtNd
o5VFezmBcN7SxUmObFnuqlgsnyG9NbfDJQ7cbid6u0Tk4YnukJVtfBOwqoFr6clrqDgat2mAZmDx
FMZ8JHfbKsALse1g+HTYg1NabR41wszyYQ/ZNmd62NorlLKzG0t6DoMxm5cDMTwvcN9x6F5iOu3p
WKz+W/r1u2/NOSGo/zNI9QuHC9a5VP2Vq/rP/+z/yVk9d79/+B+bP3vot8O3br77hmaHv/oX3Pf8
X/7f/su/o4re0YQzazVpgf/nyIsDity6yfrv1eB//6V/NeJ9+uYwEQLLpeONx4Cf9394qUQLeQHN
+PNCiSXwHzW4IOPUJDaGKc9ZSM5z9k8j3vH+CD1swwSCot+mjW//O8gLJgE/9uEFLyVzSGAX4Tns
iJPKj334zMtEXlp9epxay6fnJBsyAxjKX8jWp1tGdoKIBPqIe1m0dGlU7Gbx2tSBO0VJr5p231lV
HKMRK73jsvgC75pulnGlTHO6HRwqjJ2FVdi4RdXWPeLHAe6gJQYZzK8gwTnZ9PoSTkDQrsqYIT/K
K3MBE9EM3mWYewQO0hkhScBa8PPVeYOSs/QdVN5WjlrIQfZ57PuYbjFhl+0LpC//C7Y6HSmks5tk
MZEQprTW+vUcnB3JVjIK+zK0WY/7sPKuRpwvtEKHux5JI/YxktBWc6lNqgTPyu5lns+3U2qq6y6x
q7sqNxDy+FNjpLDtp8QFnWgmlFS5vCtdqXf8+BZafDPvk9ELj7bssgsrDXZTZnM2Tpus2bq1663t
PkUco0aQEtFEr2ErlG8/4itkS3G68t6ypz+7w2RjzmyoCFijenGcm4HD9kE3MxGOlo3yeOkjt4Ya
aMyZt5pQ8t04MNyunXq8c00aPm4JY2CFtD39gu5E7oTPmbXz6+LCqqoyyrypvdN0ebjtaZZc4TcS
12NaO/xuwzJcUgG1LJnXMUPYV8YN4VYXYt72bhawC/j9ne2FcB9j6JHgTtaewaHP6/kjdZfHULDX
dpwWEPe6R0gBuO5Bod7nXe/QiQunCwc15E3GgOJWFukLu2X67DYeI5JkuiAKgzp4gFvr2TFJ3J40
bnUzVfdlxwmhLsr+2gb9v1bn8iMOi9uuzBWpCAWaEN7Yj8W0xCvW1el6znp0l5PLEcDlNzUAlERn
MO6HJfANqrOAVZP89wajdp3n3caU0rpw0tY8zubwteS/P+HJKVGK1yi35ykO73ziBW6p4JHnMryI
VzJZlmtB1brOpTbgpU3NbjGG+s60eaJ9b1CXROfhomYDkR0QVYvH/qphU/ykYcRkCOdUimQ1tai4
CoRZjqNF1BYFCeB5nGyNdrjwQAkfiT260ronnmJB9si5FZhtkE/GnmR2DaKFZzCaTAYaQ2wA11rU
gwHSL+2ZN2SzuY39C6biE6Vk/TSPnHdTpzsZqnywEOpFYSnuYLSUmzqQX3rMqAfQyg+zk9b0a/vP
ld+VKO5swk+rzL5wxViu6/M3NX81EJ1wYAOftwzmoxjOIyIguns5auNqxHu1wXSdRLkpPrEY9icb
s+4WGRue1iJxDzMCwgfGf+N6yv0+qhB5IcS2ea2Mox+n7irO7E+0d1uCmSrKcL+1D3l/XFR2qSr0
pi04COiG13VMZcLYnM6cqCKAo9VmHGW2hRU/rQWUgrsgdkoYpW5CPCC3eV4K54AzbLqtpnLZ1eQR
RlLKjjjLybsSnT7OHXi8biZ+IBqtfrwdhXoYrNnYG+1Mp05gCuEFa2DsmPf05uBPRa3V2fnNHI9O
hVLcvUZ+9dIAVdx43hJ+yBHtcbLG+En3I76ZCYk8uWn/XAtJJCkBr8DZrGdPahdfOaeAzz36h51Z
pRK9WGlfnEfxW9N2eaTNBHImerQNWYvlzcyyiyuB9a5suqbBxT9/XgYazzpmfdYDz2A2T/Nn1CYU
HlVmtvdtN93XCPlWCSCVU1OlIlzpsBzkTQLM9eDIMcWEYgv6+qWrzVW/5M0Bpi0JB1mtyqiRdXin
cv8V6i/HQnuytqiR0We4ARr9FSBXTvZeXXGsxVYyTMm6gV4wrGTmGVtOXcCtbVVt5xTJEIu7HGkd
PyDR6y2xnzXQ5Io0rLP+2Gi/FEbeUDRiFTc3FMi2dyo6nPgrWPbBnnZhvlxO6BhvJzbse4fuDpQA
zrEInJV2n9Bed8d0qZDzqcVxXxRPf7a2BrS2a6yWvliNkOjuWiT89Gosszs2ePaOsBXPxVpe019t
1YG5RHJKsaPcB0ZO+U3j1d+lRcyDGy5j+kkGot9oW6Di5czzjLHSpEYLOpJek1mJy8TBKbvyhYR8
vYxDfNCSnujonHsIzrQYt2jqZsIsBVJnR9jjFQd5og4muzUjHx51t1qsGpFQ7g7OhPlnGR7N2Gmf
287MPrEnJxQa1XDVozo/QUoMX80pHUgNB6Z0Z+hCPxrQca4r0z/4lld+qyrH++rWoZuRlOvQixhc
XZINIbKD2+hDxWq77jk/zNFcdgHH3Ji7uMrzNHgYOFteEjtTfsVzQS8LUSFtGo+W922MBPOBfQSf
CFXYdphnm6Qn35cx8G8LZluXTdOXIstCwWKE7yksan0z+QzmVzSijRuwdr1c2aQGfcrnuLh2Skl2
rY6V8CGiVsshHNriK0L94k6O9T1EidFeZxh5DwVpG5FVpLysCFfb09I6jGj6sYcvYwPrBIECGONK
Yrv/5I4z4OogbT8HQuhtjRYZ6HYS0tWc2tk4dlaub2qX9WbloOj9QuunP81dnSC7NUCEDv4ssUMb
o/wcJhOTIogXw0FajKyiPMvbGQ5wlT/ShxZiRSdG3eWE+p5xhA5tKNDUuDaqLN+hxpQz5LypJSsk
DTeO35mf4lDFgrxms5giSxvubihFdheH0ty1DgVePQx1vgJXle9YnpnBuJYmYaew/ct5VO3RSpUX
eVKYdLaHHrcGDxwAE+RAwPs2LZ0wChNbbdy0xvxk9fIWW5CiNemGl8ypkDD4cUOdRkscSQEdNaLe
6u4TGmLKmyyh5qOm6ZunYrZlvVEiRJUg83b55nGAuorNUUaOTac4ScOP9F2qZzj7zdZhXFVGLPFM
m5DcwVwaw4IV0SWy+JD5pn8VLsL/rInl2ctUzuDHE5dcwtmZnRcfgcCFii3nAXJ9yoShcs5c6A7t
ES3gZo97mn8slqEI9rmTzncB2FkNJC21nnWo7TWhZfJzQhbXrRuqsF7nk21+GhYOkJvEHAeeJbM/
2/1962vY2i0MkspLQOs3efyUhar+iGrZ67cOromLoR/mHVnTRhotHaMeXN7FIU+KGxPXFfRx/zoh
sqVJK1pCAZKBYEjX9azCW6HIeRt8kQDtrtD7uiECRK/kbBgwKN+1HgeLFe0b8RKCAUez1kgsE2Km
LKYjw0jMQgkzr60enUNYJsl1T/7OZrSX+GDnpd4twlXRAmxgO5jmcIkffuMN4HaQKQ/dOhs8/5uH
nzxd6Z4wKGan3ccEVN2LJ5p4qxvTYQYncB2u6aQPV6k9wXThmIVvLHZNxncdgCN4SYJxCpnp9ao7
/yGNtGRpccarJm7Tx5KElg+Za6bATlyD+iAeLjtJZhcPOP3zoqvCdWJyRqyoh4MFWMKW9Bvm0FnI
+LUmQ+upD3yrW6WEU4MIyVwVbxgpe5s2XpaLwrDkcQRTcMknLC9tsNhf4iVT2ypTal/JVm+T0KkP
bZk4ESakRzlPI/Ii2+qIiWz9GwfgxDfLzLq/XOz/3zn9TpVsO6aDx/g/r5Kvv+nnrz+K1f76K3/X
yJYl/kB8KhwKXnB634vVAI18XxSjlgXP6OGisSzf+o4D6f5hnkvpM7LRtkkV/rc4kJb9RnVqYls4
XwZpGjGcEG7fIAFA+Ey67qRz5ce9/zCPgjOqYyERcZeSNTWtWvKlZHP0rLC1OPi2DBMXZpwjyn1W
9L4liQ2fz5ObLsV145csXS3zWtRAskW5M3RifuCEr59Uge1JJTMnNznb0zrUgU5WUuUsvh74xd0w
zhZ0kh5TtI71CWcNTpfAqMeBta7zUYvB0N5mzPH2fpfTauoKPax8OasdYk7ZrGSaT8U6SRoB4XrG
rirm2fe26UTOxx7k6zJgws3Nl3yArL2i1V18pfBvT1ni6opWYDWdqO8AvJM4xWevZEUaRs5U2D80
cyeWLS3GSe7oSPJvHQoQ+wgZcyZUw23nQ2LUzL/JK59YSfkF8X/GC0UXOqfKucW53dyGJMvdLXmh
Ty2+K7hqpYrGtAqSddw3GqJb5+8rMqha2IMNIu9sUgS0BENRR4bokOxcse99VFIqf5Ekf5js/PvY
confq2KbAccO9G+BvaDLzMVk+6m62iTOOZiuHX+pamutZm0AmLSaoaCSaxnf57j367rYZAHe5YkI
S5Syzp0uOLV3wACQudAF0dN1gXkPWg845C6EdsywbysJykgwMKG1TtCLpDl+CeqFLYdm6oe12ysH
KG47aB/GlmloIvlwtfoNBpXRii/sjtNa1Ipenx8cf9njPXGJoJjysaDL7o2lPioFk8S8tuYqVw6C
vb7H7Fxx3LURPT4lUHft5dOUlXPdfVVjqyp6iMWylPHtf0vD7yr70jV986redvxo2/3T8PuP/5fa
grgefyvQ3VJhZT+ueNZff+dfXUGTBc9Gzs6CJ/5u/f3dFQz8PzzORqQGsSPBI/FZWv/FiLBY5aA9
hwhmHbSzDuaPv+W5tvgDya5HpDbPikfXxf13uoJnG8t32lxSwZzzON4imo1/NN+6AZJxMhdezWFv
20OiqNHPmRdA3sHPDudAI98Fa114Q0aqafpuAtsbPoVr2jhsGF9SYJ0ZFW9NNm2LXVqjUNyNg603
/kxenZXZZTT7WbX/bh+6+esj/Q90oTcN9Wj/v/7nLy8VBnQ/fTg3SKJ/bH4CJNWWVblqJywCVEvb
ou7qcfPRzm2jf/9S3MrQIbaeL/0tlXyxyBOeESAjj5qyHZ2fNuqUKtaKke07OB32we+/vj9vIGYc
U7AvE9P1Nk1+0mooSpcbGMJfgLxg3yK78F4ngPXIj/I1PUBsxzEiFiYczTsWhbMB6btn5++LYyM5
P8XASt5snQrsZexIpXZI5SAU0KRlRCPad3whP39xrs1zSRtceDTX/TdX6ZMAAU8bD7suRJjBs4nv
eOVOra83+Zl1+c6HemO74EO5tsW7BV7V5jF5G1XugoJ1UgvTYjJ7tGWK7pvv2K8wmaqVVVYXXgzb
7PePy8+30YUCw1iABr1gTvxGHh+nJKQETjPgpnddAi9wtXHibja/v8r5Nv34ZXEVYYchkYAhuu7z
bf4OBQPZwqoLgGyEu+iZuta4TAyqXNT8BIYTHvz7q/3qLn5/tTdfGrOJpMVTOewC/PN0+LNVoknH
lOCoVw2maihnxcvvL2kzQ/npEwZ+4LmYw6ArvV3K5pSSY6Rpt7NSj3jMRpQPiUnnBbd6sCdNqoiG
9s7Xc4A2RvRfPUXXR7rOfki6ZqeHUG+GyR4ZpvvyyzRBdZuhB6xsAknul47zkp8mtDXa5Z2FyfrF
9+8w9jGxP2GR+OmJC/qEdF7Fa5SNgyhWwhjBy02TqzdEUploBBhRy6AZETwWcmOXk/hMchQB5RbS
DZ8e15r4rvBkYax8511wf/mrsT6f33CSAd5aEPOw9ArcugpudEoIdepGFJTTug08tenbpP8IyTZf
m8w/6BCWS32c6ry77ONKF/RkUXtowkIJH6WBMSPkcywZR3EdmOfSb75IBru7BslnHJZibKJWkx01
+igBW9XB8iEbGW5nEK9DB9FpJwx/6zg2TU4oeDAlp6MqUCeNBmBURlX0ckr3IhXFx4FYl2tmFw7d
hIXQW2fIotFQJxgCyx6dKA1kUTponsv4EnbjGWzZcvgErLGGRfpazM6dClCoEvlX7HH2qhM/ud7+
/mn9+QUJXJeDAW89e/BPPsqpT9zBHc9fep9eGwVNgywwD1Y2fRiW+Kw2BJv8X7iiy2LNJBJYVWj/
uACEiLoCZIlq18WgCnqxKa3kCyKZy85BAVaE3tPvr/fzuh24PquNFZIDydHnzbLWJ/QL+G7ULp9L
enygLw5Y+kgZslE9/v5SPz+msLRgKJheGJqO8zboNKGZmaMaZhcMtHtBC9k6NOPgv3MDf3kVeIgc
UxwH59SbG1iZsVEB3ma78zpE+qgojT1d5eDm9x/G+nkd49MQGBtwWrR8tqMfvyjCkRfLk4hTJtJh
I0qJfOuBtYyw9DUrQZXKkYIHn/o5OXbBY2cnu0YU2XvL0pvCmI0wIJvBs2jgu2Cz/pwmf7dhkA0l
lkz7MOKxYW3IJy+3gD3VFkkxI0GQE+Jg1aCPO7P5Vjajf1eofNzh+NZX1bI4R7dAevn7W/O2WP/r
dyK0gckRhEr37YkjEYZB0ojT7+pkqA9m525Ck/CZpVbtddxL0OT+AOnK5VUuSeE8DTKb115m2hEZ
ME3k1xgsrElfFwGpd8v4GeWSTXynkvdzPYCiUpm7d7GBHOu5vDZM9d7h4tcfAPIMfj0E+DiYf/xu
SaoKK8gm3FTaloxV5XYYRfIxZRVbM4XPo7i3THqMnmLH6qrjnC7PQeZ/6DuMEWSy4EKAo71JTWQ3
8MGbD4FYvmE5qo8OaQPbUaLgQeIFbyhX5bbDMv/OlvCnWe/HcwSPxXef4M3TOSow2kkz9zs0l8kx
XsL6qHDeRLlhRirrWOQHjw5mbkIQm5HXSPSev38KnF8+mSEdINpAtuW/fd2xdolxdod+lxspc8gB
3vsLx6obX/RMxELza1Pq6dG3rfRL3yFi1Mk6b2x6oOfxpkYLbZs9Gkjs7fChrJEOuD1IFMqmuZtc
Bjh0KaxvM4gilkr/nn7vxjXzJsJa8SiDnJRL7ZqXhouCeGmaZ3zLZP5xoQT+11qOYe++c89/Prrh
34QjiELE9WDKvbnlrh34RZyzILR5+VjHO5+BZmQsUCIALjjvnBN/sWwTanT2kgqfH3wWxXx/TgTP
RqQUi85OJvVrmIFgdiydnydQ4TtXOv+kN08SV0IPE0KZpeX/5ozYxskg/djlSeqSDwVqjEciMWB4
VTPVhDsXQH1NzwiOsUfy1u8foV/svh4oTs93mK2ZHLx//JAqyVo7znEVMNr5FKvgPJO6I3j+tfTV
CyWv984G9efZ86fP6tohIzQKbu/tmh5qo5+yjEeWMrymyce5Z0aeDqFOr0lI/WbG1YcmKxHazJLD
jQgIPO+TLiKN7Z2P/suHyaVnjlLJF+bbbRk0unZTHDM73HAqMs/zSRwxKeSUhiZWmr/+/k7/YtP0
ILXxNYP4PbNff7zTHqmuCeNgvuS5m3aJRDqyDEH6To34y/tr0cngSeL2Ykr58TJ5byWNJWS/o0bu
1oGe0kgD0Vt7cWAcxp58gUSLga5oW25GXKNrugHlZtLGxbJ4762RPxflAV1lTst0un3c8G/e13Ee
3CXtC34ZHGybNPGTbd8tV7NmzIVZA/ogkPpd6iubOGpm3L+/49av3mBOQ9xszu0kV765vEp0jBjV
7HazJTBR+Z3hrshmUKc+s9AYjl7jeUzn+QEkLoYgILTXli6ZsxJJUtX65MKNRDFeAbJkAmrTgrTW
WOr6r7//PX/xa5IM73msMRAymEL/+JWlBjIVBE3tDhEyTiSx6I3o23Bzlp29c0t+camQ9dMHPkwb
Lnjb+8Fw08u281vCdePqVTBWvQWmwLjX8Mz/wsfiDApF2Tu31H5a1WQtF4U4oN25dtbdhswvYEyd
k026s8n/n8nKzV+rx/cdrV8sYlyJtghHRJDNbzsVDAKTvBm4EtkPSRRjULuvktbesLuBOJkqwUgR
ttTvL/rLW0l9DZfCg5DzNvQuScxahfT7d7NtwZl3gblm4KKizkQU8PtLnWm3P+0QnDRMsqsQyWNZ
fvMkB4VoBnKOeETEmRTkzbNispmKcYncKq6Jke16O/I4k5Pp6OjR2FI5Io9ekOVXt1Xg8nKh41jC
Q9zP5YMtNaqujtSMIZLl2buG2zl9bkb37McPYH0naYkqvycXgekkHwnTh9cEQRRqF6D8yKhrvqDR
jw10ZiCzaQTcMmakqfXBG2yYJKVAe7bNrQpJnxPK1Ia+BAqQQSzNEoY9VDDpxZRiucUSUHTpxx6e
7nwoa7pruxQ/hNgYprSOFUYCY9cPhe6vXdx+OH7VMMe3zNxLbN5DYIzbauzQ+K4GgagiqgstEnI7
UTFgsnOafDsQeXqvjdDDfVQbzd46c+VXc9LZUGjS7KHqAcSsJrK28wMG5kQSMoCVhNQEAHubSjJR
uMw15SRZ0CFynV3fM8KPJu3OU9ToOTYvGOfGJn2HSiKlqhAYrHRGFtyz38f0S/xYTeslEE13L8lq
9XeN6vP5BjOAvq8z0anNbLShf2c2DIA2w6yT4cAhdsLPN4XZFtMaklFxltuBnMnD3TnMogHfcm7/
mYZNLkPbu8FHoFqEcJYVYsdepGRp5FK6+yoYbunzbgftysdY2uUTch/zTtXeuIphve4NEnI2Thue
hnI+R9lup9Sv72KfJqoArVQsoGNIRB8jwhyrbTLoo6PnkaFe/5wXnlghX42jISfuoXKcr8Ixxo2u
557fofN3Xj+aG7Q1Hi6UBRX6iMUlr8PkAqP79OIryK9iwEFQ+/oZtqi710iCVnoiGikrH0zTw8br
tTduWMHRNOvshoH7ssZFal0EsDevnJHvg2oBXgBs2wmV0841LHI1oGCRkx4f4lAUCOyKgUNF76+B
5hB80uPDgr58aLHIrTIIePxRnP40QIyiOxbTZEeLWbSbSaFzy1MgBIVf4DHDApDxzd4A87yrjJSk
8THAkUXM2no21ABJbrYJ3PbMuzgp5ec6wOYEVziIgLl6aBRV9+oZLYZGaNMR07xy5zeNe+jKEHF+
HU8Hx8zgWcx+sKFJcbQtUD2utLaFOz9V5tA+1Vm8911xnw3zkzuBVhjNkEbdED9VHs4g3sAqOOjB
J0rXaDFluMaHIgxQC8dOFhFYEmzMHEFFObbkjOUhMinqhruswybbJl1w1w8T+6LTX6o59s+Z0jhw
DbgshORCRiN3CVlpta+rQL+KXpE+no0LHS4S39Uyr4emRbBLaW6bHWTSBgXJByzbQIVsHp7HyjYd
nJotdQSbKYtEngzjJ8m9v25HnjKETzWEZutgDsm8MRrVbD1rwfSuzlFBvBAk5Nju3F8G85iM/ac5
RY2LnhGp7FhES293nwzL2Zp5wjDSsPmddz6cyy/Y7gq5d4rSHiKEaT4Y1sbyg0sDrR7OGj8AQlHO
2jWOtGdNZB9Nm+07jE5wMYiLh3RX6Q8pXf0bEmLsD5iOi+ww5h58tjBrr63RDrZNxjgSERXNuBRx
74tnxpwn6e/Kjb+Y5YVkk/0C3SLxEC4mzTofXYKZpqn37oUu4teQ5v6w5hRQUXzH2oyWOSDcTwfV
ayfJUSSOrrc+15PfRZRo7imsbfkJYfEY9Wk/7xQnlg/BLPAc9fycmQHuplF2e1xgPK2zqRYHWzj9
I104xiA5sSBbpQeehNQJ26c0CVrSvYBeFAAMn1CaErAFs6TE4ayKLSLa/tFtWhS2fjOOkQeyTuET
73k5EJDjrjdFEcEld9c5B67DACI28mkhb6hKw470HIRaiFTgXoAOTvRDG4/JQjRgRi5amIwxvl5T
tPheGQ0eZJ3ib4a2OB6TME/vUYGiNfW7wSYHXUnjAfUWHxHQVJheJJif9hjj9IO2SUm6SuI4OWVB
G0SNKZerRpEzJ1LBT3WAKgsz8+61suHNcBJpic9J01M+9vIzrTt7Q+PMPSVgpbxN3VQM+bGwbMdm
OgcI+35yKkup/TVmKPfES9TyUvHt0oRvj0UVipOfpvKl00l3K5bO+tDD6XrM8mLeLXNNukvKTUWi
O19gRkT77XbyxT1XmORpLGfURgtFmDub7d2pOtML4FJbnWiPgCTgLuteot+U3ZNOua8LmTlfGny2
CGcHIslXLZmAR/QO824IFeEkY++exNIaI2meYXKaMhfG7eihSfi65KQIT+zAo4ND1mH+Pl9abMvI
CMI8wRIVtGhja4jVrFBDDGujMa0P0sIvm7m4KqWXJteeOzSfvcQrIjWkOIlsY4GZrgMOkcg07U2i
ghYZsUmKlTHoiw7K+R7LyPQRDSnrYhJne0fyt6VpJKchbD20IIHLCRzDPBMLpy0PXUH20UqFNHGi
rBhxUFeK/yDWYbBKkhHBRL5ItLAL7zltrLp/nGea1oGvYQMlMB9iEoIAHajzUz6k+KAlqVf3GS7A
B9FA7FmPDb8klrTiLlCdfHYghNwDKMXwIesxPc0eOolVL+ruqcTPeBN4/fBgyqm4A6UtTmcq6KWb
W/FdKzQXKnAnhSBzMCHBdjqJnrsWkNp3YybG/Gou4JgNMsjqFU37+M6uCM1rzbS+9JyRn9gsxR1H
9uljaDKRWUYN4nLpaIlvDGB+r76kzbeOYTGCCnatHggEyvEa80FDYrfIEZStM8OL70RKybWSQ48O
pdLaQ0o28CQtoDlYej3Bk8aalZ7KIgdfXOHauDGcnCaunku+a7MHcnTwnIag6LBXr01gUDNps8rX
bTW2rzjxrQeRyDHSyC6+eTofhjWvXnvLarG8NnYuu7Vn13Ox7hDsfsOCv6Bk18CFiJ/ktnjs5P3O
HAukbn+mjC52adyFymQ18z39bZJBe6tiEBNDa8trhRPkE/ml7a2lguQUeyDAVTgQVtIHDnL4FEgm
GePOoTYS9dhmWW3edihVWePhsrqoddAWc6L2r6iJ460c4KNiTbB9+qbKGRgIO8Fn0HXqOgamvdNl
qfd/wsRbts1Lh9AAdN0Q92880cutrEX/sZMaI/2Svqqk4f/qkc5DtpfOixsm7lZI+HOS4JLIdqZ6
7WrHwx8jxxUTTREVquM9VE41k/jXTTccQkaQt0Dl7TIB0G809yoUV6j+MfWejaux6rpoHML8uqX/
A9hGE48OG0yCgDmZYwU+369YNyDn7CYzM64mz5AnIs7ie6wvzSGcMuLRVFYtK/yOatVarnlwM3XU
84wThnfzykzG7pJglXPIej2vOOpzBAwZ/9FCfQ7x4R0Kv4a53mjnqy7FkeB3iyUt4A+nxwGIMmg9
KXGBXVY8ct6GdIsT5CUc/zd759FdOZKk2V+EPA4NbAE8ST7qoNrgkMEgNOCAQ//6uYjKrMnqme46
va9diRNUD8Lc7LN7tzlT0wOL1QzUv43LtCylIB2JtL+wnZk8iDpFXjXLo9OUbeSDf0iCrG2O3rR+
0P+r3orKXV3eOfyRDA3SZu5wwgldzNxsIhUFsGFNmISkNXFbVJbcq2Fg8AVhJqJCne5QxQoU2bl6
HFrwGubkJw+D4psMduzeDcJHjs45BjwvrHZgFc6zo/rymGXu84wi4kC7lKiroJRjc2Bpgiab0kvm
0bhhTfcUm6v+mYp42pN2FQc8wmvkZVjnWZaEpi/THhYqrcJkYa+M4sJ6yS37AJupwWSY8wBuck6n
idP6hFp9/3ssBuNlRjNw41f+Smqhsp4kS7MhuzfW3ubZdVXFiq0V23Xvl5FPyR6RtO1d6sKg6zsW
v+ZZ/loZNZH7Tfrsps25DLK6BKPCBhd0UCkBG1hVrlj0ZYGIAULgr70RDq5DQW8l+Qf4w+KcgHBh
1bjMA9vSwCfn8/0qjBdAUtWeW3GfmWtOoWZDwI/d4aay7PhHWTSUGWTKkbGJHKpEnz14gjXrojK9
K7XgdI1FukthxAaF2dm3lbTZ10gnoE1rDSNgWZrx4gD1ranRNGhtllOfJebm25JkM6y7nCxX0JFF
Z41Yy7mNmKGNF1i++WtlWM7B1mnA01qD3NmuGxUKhM5857MqcI0+OudU544ZlO0uL87+lIkH27XO
Xe7Oxxhf8uip4lLyKV+penJ56jew0hnwbNzd/pq+78KOV37UsSq/gtoLOOcgzamHENTkGrbSGcPc
rVlZHTE+vs4LS62N4X7qq/Mr7pr2nYq1fC9V1fDQUtoPt7S1vTkOoGvdobpfHCqWcul0ht5+D6EA
uxUYGDEfRwMM9Vkzm8mKRlco98iits47xnKaW23aBB2gYJtb2jcbxwJvdcMYYDOINBiP36sqr+8B
Q1T34DFYvvvtUMjTCbanMsRnjTXiq0VpIEND4wu2pADONonFxwUO8PTaUfHwuaGi2iOjZN983EzB
pcSesW72DN6W9M7WUmeZLKEheQJ1YTxRH3MyRU5inZNiRoxTNP0XW3Y0ETA9VN8FxHvA3WsfvwuV
659FCmUeIhJ6GTiD8TuuBQ7hVpwBz5ArLgPNlsQnjXX0XRbHbdYf2pkHg0rnqQFWhtJyb/kTHY1h
Trk8UmOgwGnqsnlMnQENJN7O+N3Wbf6Nj+25iwDbA8ABxMhlVJsLBspR8VPuchZUYbyS0mJDG+5d
FeSZVaurbLV7zo2iHvU0nOSUJSjpdL7yqnlzc7Im2o+A/P1FO2jLVgL0TEjRhs2Vf52nwqoj9K8U
ragd+ZTgBbtOyNpP/D52I/iYZMjYT4sTu/o2hoHvOrQmnpiJ8PD7P/6YNrSjITAZT2ZQOQTJNFdf
Z3xFidMc2HRNUAc4CvrQ76YAuOD60SY/Vh9KzODPW7KAFZwazsVR6nSBbo3WZm+pt1cbP3LfPNoT
iQo+Quat4RS3/H6gGOmHdFIU+ZUixTAeKlAhKcCpfvweHXqjwWDYMr04mp4+gUM1Dii66pdK9917
IDHsoEhsLk9w4tVynGnDx7eQ82bydaPg8qAq56fOgAFzylvmWmP+hzIp5DPh3qX3ny4RfRn+iiOA
fbzsUCW/Mk4vWcAP618valS/slzl5cEfupYBhr9tluABJlFcCu4frDy2WI81/b/zhK8CgGLTU9HZ
qSXzk3A6migdsxU0wy0gQm51iwM3L2HeX2E1gGoPakiIwF5WGJu36WiKsN1KyNKt8Z+WZAN/6LkA
7l824sxMujuyiGTeV2xlXJNlyp7XNZ1+TGxM/mMM9p/Q/b8J3ZsEQGnD/rM1/P9AYp9+bZBY9evX
33fT//xXf6VQ9T8c3pAsrGNZ5Iv9tZcu/jCZ7lP6eQwstijm/02gOn/AYebGp21BKk3fJjd/JlBN
6w/m72QtiHfYDOKZtvy1mP9n25qd/n8s6v9/2thQp/+1zUsElIAIYVdGmw7N3v8aYnRZvNTSya5P
LK4pXR4oBJN8xMM7TTxTKuHpoHNcY7ruN5x/RZEf6QrEPyYt99hWFscjO4b8teUpbhQ7aU/zJghg
7l9HSeIwj4VwtaugnbyCTCTPv/BI+fA30YCxKQcG356o0tAQuLH7NdQSMYGJK8fOalIXm7ZA3wQG
66YyWEYhAvhZ+A14F1CNpGA8y9rjLZMvzaslWw9xmapOrEDi8cic/aBcNxL9KMIxz5JbfdMq1EtW
PhmpiWthVBbeBQKWzSs1XHswRm09q9+GhsRwnM/Y27wNHI7ZYa26JEHxu/Q/CjQZ13O+iodh6oyo
Lt37cdD9i8jNNvKqJHkvoSZhpyrG4+oOHLSzNg4YeXaHzo3r45QR+dlUE41s3FOH9G3vaMXCuXrU
b2vXPyd1EdnNXNxpXqzRyzWKQF8mb1ey3QW4Bb0FIEgaca0lQpb4LRb4Z3Ua1KodY/IrZ6tItXOp
ONEURgv+S8vXCKRQc0GlhFcDIgsMnGkanvQM9bFBeXedxJV9sACz7Y3WtPmqar2X2/K0m2kxmDjj
iRjM/HMpBmenphzEjFuo+5XROJYwp9w7ZMIiTSIFsTY9yMD2BC6td1Fl6qBLE7YlNvYDJqr4efTY
zs/z2PnyMqDWF4yn+YUXUcGKuIQ1MM9ISmi1jlGWet5ROV23bx0jixaSqrRwbPDkm+oEtYn/6XX1
9J1Mi79fRY2zpqVVtuO+se6tZVLl9ZLLH+mg5z94aS4fmkPiO6hXW1w0yE1XVNGMASvBh5z55JFl
4rFdaSBpYaGE4fcmbqGT1FzKSf+R/ra6aKbVoqRuivu5aVm2qM3x1sCdemW1bPkHbDBQ5ma6VrnH
QRsy8CFABMcARQk+Gdo7IGJwzOS/bTPrjOiZV4MXGr9tNO0mpkGuk4f1ygs2MKwBFB09xCqiBz0a
EbItN1J6lQWzsVZ3HJSPYOxZcR7q9tI5xgenGsS3EFOR4Eq9fHGyzn1AXHeINU/XYMH+9uaWPWlG
Nxj9qfZ/rhaSq10SY9tdN++uGgyvIpu26XgtxLy11w8/bDmbdyyDpN0Afsh9IgmV70CbIO8oa/88
Na6x7a0qtB8ShMuDpJDJpxCGenKUllt0Pwwa8WxZ0vqoYULAUmjcc80MQWkAdnND3PKg5O9ejXLd
x05e0+pskli8rWk79aFA9HMDQaxyXwRptBYHob3o90SghviLAwIEhmz1A55wYGYszdqJoYHfGtsI
pP2KlJKPzpuu/IhXIhBsGn/iM2e73KtH0bCFW0LLaug9UZWx2QMvioVe6zIllf9cLRJXKjNUrhSx
6MmJpU8xBnU7YRnsXetrAaBdHIx4HuXRXVq3jkYtY0LS63Hs72q74FuuZdJh05pp0DASg9BQqG3Y
JdiaP/Ds4zsCOyR+YfgKeUOVZDmHTHqtzS0wZaMB2zOgOO6vUCbZImoa9GuJO7v47NLauSVxPu/h
BPBfRUlepLP5G4cObbancvI2fCgMAEqRDpXMWvnTISc3f6GpyUE7Y/jF4CyO7KLc6H0DizyDbqQH
5iPeoUm74q42yus1AbsSdLrdXM+pnV7FUrr7ZuqtlKoE1FWAKRthzFAPetDnjrFtITEXYXuWexXT
kJ442a7DraPtBRqZR7Zk851jqFWHLYI4wtHq+sZNBzCPo+vc9E47vtm0dlkoNv0rtvdN8H4A7dAE
Joe+6+H3rutQiqBS6/KzXdpP3lHdDeWbs5/QT4QMTYQXGKIVj0wx4/0scu+HbSXq3rJgkgsOqacy
cdUtDVttv1Vg57EW8U+2Qe27JdYj5TrJiUdnfOQ4JF4LF187/CPvbdRbyuAezMcxRy93RcNgvZAE
oEfYzvQXpyV/T0m4n+22GW+sZN73Ws20rxcQlHry7TLI2VHbMXtY78ho5DsY7QdV1vIHoTK2351x
OOhdvR7YDLNbcH/TxsXTxnAqaWe5ls+qVzcbIBJNHvE+qwmRJEcaTHx/7AOWHRjbDDUhM3zHdu8U
jmta7Ji9JAeHX2Dr5IwYgyYr5dG4Wq+m2eIeZ49dfoyAAi66u+q/xsGAoULAeVfAHDk6qjVftiP9
zvBhnUl0dntOxHLXASi4KcTUPkPQaC8oEro7FG7+NeHUOlzTOr8uUjYxWtToN0XDydU2SudYruM7
e9XZNY2V9AUKjQCEhzN6yJVDJVCtZTB4jQibyhQ3aqYRG2bc+Xc2p2fYvU73wbw1bBUNXcZ3/X2n
6GHTaPCcUwV06b7Awnml50XzOamEpekZ4nWxNOKUiuQl7moHw2glKB5cghjs6+0yjoBeIHTtda5j
sbM4D17sLBNXpqZQgfP2ZxVRM2UEisICd6n3PzQDRFY0qERhCMVZ52sTFJ1xdvywJY4TAvyD9lwn
Rk8n09t2w0Xh6AlfTUzearLKPnRjH3GAtT+MmbEBxDZEbTQzeBJ0HdtA3FXoidxHE6lUwisvqeAd
PClnkdn976L1P/X9v63vCVL8z/X9/KH+tbb//S/+rO19E4IUtxg5a4Lk5EoJP/1Z31O/bytmBjE+
nfAZBf7f63uC5/xf28YBWbiNBvVnfW/Yf2D4IRVnsWTrbuCp/019r1u/A09/S7/RmbFpnMDG2tZb
SNxtgam/RYlFr2lj23DlT63RvYwawUte0z+92SjB1mntLtV0RY3bMA2YvItScnylyd4+ykZ7bEWn
4ITT04dnyFOuGdjMiE0nPoxNnt5Rdmgfgws8yqfL0B4tL3ZTmPxGou5qVGUmD9usoDSAsqy7wKU6
z7jxrVU0hC9a0P6BVqyNeZBwJeXFkx1WwFAw1pznoODYT4yG9ancYt6dCBrscuq69kfp4TXESoMK
UwdyOztGQKLQ73cufQ+1Tzkmy3MPyhkKEJsFREsplxbcpFkFSPnsNovxbC2JonBaG72xw96KZ+/A
HbrYpyFrIAYiPsjc/IkSgX51oLvF2EYpip4P1OzeV+Lk1GFobTEH7bq0ESNuLbRi4nFeu1xGPT+C
AvHZGFeeMNnyHxwGh3GurzzDe5esyyhyDllrky8e+ND8WNHYf5vrrIeThB3iCP/KY9Du2W8MieFa
mCiTMpU9JgwE+bCG/NIiqzjmxvScN5l5yPuJtf/KT47FlDD8bqskfcnmjJJgGbOT680X8jJX6TQM
LyoBFcUW8p1Z0bviEeNDB0ucn/0cb3P96Q2hnQLt6ofFbJ6SuXhm041psK/nZwJRn0nWdDszLobH
Fdox1bRG35o/KUrXhsmFnA7KTd29RyuIs+fDuGbPTml8o/vur1YFydQvkhvKOmCZQ//WVOpcjU19
LPpMRpiGohmSf6AWCRpNCh275HqXJlUTFEbxzPAODVenNTsAxr+crHYulbPGd5PfOIESs0ahPeCq
JONTLAN2htHCqLlSouemE8F/mcMEHXZoQTy4BhPSXbx+MnbkG8TJbbJsX88MjwYNXM2K2OozYzXy
UI129gnBZD7P3bLsZGtrDwlLhmDSkl+xGTe3ttY/2n0G5YeO1QHpJI/9TGZHWPWYszPBJKBZqHJq
e9j3ns1k3LHSfdcZ/j6pbIvop+YfRmf61dio/fq0b6KYZ0dQ0Kajiz1nnw2H3nDEgbFDnJVAQoSO
2DRmRV4KTpS9Mmwg/F/ukJPB7DDmJ91m56cri2dEzqd1rScqJdkGdq+92OSHArOY83Pa2hAppZV9
m0AW34fVDXO9R0ZJrc6brCVrMyyiuKYZBxjL6bnjh85rIxYQtO+mB6TNAJYVBoblHjE4aM5EMpYK
TpZRiOFh0cfJfSytQt4RRgbPyRJ9diPJT+7NJvNo5ceuCvVyyHmn8Ybvhb4mUP4b41yzGFaFi8lQ
N+LCwhsWT/3PoWzNUMTjeMeath6OI5cFqy5Axb15Xr7IEwisla61nIc+w+DYA5/xDwgKsjnUFocm
W8tPCzteTf23jgSa1bgplqx4DEP6veQKSos3+VtSRbRyumFLQ70pKmu0f6lFgoFUgbgC5lIdpswj
tt5qxkEYDb9ZMZ3cJQdFnBJLz2dQOQ1T2J1Nxz0wJexbIVtzF4MHPbDhn9E3X19nHUOum8n5psy1
D26pF7IF7Gcx2dhVcFd7DT0B7b4i6kojv6q17CtWXhdlhiRD1uVlAwrIzi4s9ZC9qobVjFa90u9a
iNhtaRREHXzTv5ZW2Zx1v9+zFzFej0MmH2jzao+FpdwPo7KzKCn8djsZQIEbGMk1wTQbxi5GBLyH
dykuTrw0ZEN7FSXsyt1gP2h2fJ1632hioanBXQuD3kHtiQ42ptG709oyPbjleFeicdhliwJkL1Ij
iHtG9623ImiMHVjD5vJWD419tMbK/9kZ6t6lCJoCVZjj0fT6V2fJqyATQtvBZj9Zpe5FxcCGB6cr
2X/HjUUdrfXaFbHfdO/RholqwQRMNjMxIkI5+5gucACY6CabvOJ21diQWTIYKfUyuFFWz2CuVc6t
xRoCgB3WeVIfHY8gYBNSmjPB18nybjknskgXf+CptZoL0CGYFqHA4HnqCwpuZ+rsINGnh8Fbodx6
eIQai44Gv5t/bAETE34GkQUOjyHJTBOLofTPRTbwLDaa3aBrWkRZDqy0apg5+Z6hnvws9yPTKxYw
BeDOVN+efM1Pgk6T32zg/qgyt9mt/jTshZKI2xd/RWVrNbsUsvWeJbb5rBXtF869S9nHw5U+E+pf
J5hEcIrqW4PK5NqY+WBrseT7KevFaWXr5whx3w9aCYNhhNuKE5T2mubxOw9FzgmVocWt3Trv6ypw
p1Llc3zp342mKK5sdmToVAHMi81pCeD06tdcAwr9BePTqSi+B6f097Nc3xPJV2VWybMsZ3R8gdoQ
GxjeNkawn3xWEiWpKDlLxIURh0QLFRA4b+TlbqCgEckbs6Zv6be/rD4r92xhz0T4rJeqY5mvKlT7
XHp8qbWzQMcOc//dDRb+EZUXEXkI5vFqSu/o/ef3vtHIk/CM9Xpkh4qzY/E+VLGAXMjdxVNqfPFQ
3mHVMR+zzMFAkaAnzWeP57qTlZ9GzTCzMpbmNFiVs89HdwlrFD57RUDi2tAxCvXLivLKXD5VCrF7
ZDEimHx+hgnD8E74rfeshLESM1SA17bGjxOwScUkfyokP/7YF/kbt33RX/qp9p5ad8uRm2J5JIN3
chjnh1rpJ/cDfK47ED75m5s7jzZz67ApkxvLaNTRBBVihnOay52tAI4D+0mtH75dQAK0EZQuvbez
1thhH0u5CZ/0iBd8baslyJzR18OkMQCYzTUGBz7nwJB6cztCCj0K0r5Hd7a996lQYJ4Exl8Z97fw
QLV8t1HBj7nszVu7ckZ4nflMckRIdlPBO4e+Mfo0Em2bK0JUD63n2w9ITZUIeWpqlBiGNELbUuU3
vgyPE7TKEz5TV4jNb9s5BwCSNrdM7fTNsVP+OoQD8IZoScxHds8IbPXimm3z/FXBgP2sE6I3E97Y
KG/YJm4T8wuymv1YO5nxU09yrQpXoIYF2xjDfJJYF9sgK9IccAux25+i9EpwZ4N6XKeuPcU8PEnp
a8yCaucOSuQVeYPejUZeB/NR19acy9kZ3a84cfEBGcq99Xs7e7FlZ130IbOjrprKHZE8iZBaQo3u
WrciQWc2D5Aruyxc+FPczIXhoYiOocW6vRzw93ZeX0U06pbb2svKQ6J3ObzJqd9vLaqd5OeiP+Jo
h5z2SUVQtcxeeJoVL7zihtcS5MQj/ev4KHDcnoQ9UfHGCITaeqQnjLeJEdQC/eQ5MbJ8uRo1Enj+
mnZoqQxuiJQYzU5mpX+mB4cro5qZH8+YHSJnTMRuhfl/38OUeEGZMHzZcCmPnmp8JEJ5fwumrPvR
mDaEf1c1oHcYIDKst5mbUV2tz36HGYEEgK2mp0TnCRtyThr8aPWlyaIMrqhxh4ytL66YilT0iAHb
/phib3Vek0LL1mj0Zt6sHqlsbkSQNQE6ShSpVmE5dIaKFLbl5NDoc4dH9qUZd6q01i5lPWdvtL/r
PdOByorIf5cnwG8iypltI9mwCs0LVDVVUADn+J6mTH2cKx6vELYep4raWNXt8FlXbDlqqcvGaA/5
vqspSct6bHvGKGP1pKcTigfhGofJq4rrvEFqvkDVjJqEELXU1lIFJPTs/aTX031p2cRwbFYmaBZl
xW7MdQwH9TowJM5rqHhzcmdIM4a/5uZdczsnKcAjCHmiBTUOyMGgWKhk6i/ozYYBE476otzMPLI5
hdtO1mPTk6VTPMYWdDCdOuZ+WvkMMJdxvWLNXQsJH+jo0CS0bWAdPEdnRBmUTo557FPHfjE8WJPR
SnrdPXYF9+InWOY4ErTMkutsHCFTcgl3+c7wEhKcxjDiGNNcxkpp3zXXY6/J46B8/WFu8cFXeqtt
OWZ2h3qwgO3UyVPHNRkNvZldoyTKwtgY3O+qa6yfAnYj5P0Me+CB6cyTKvw4e2OPlnAEY3mk4cRX
PbWuNou7nver8WRydIaKElzvU2Q8tMWf15ygeObwdN75bN7tFd3ID0FhfTXR8iVmWkIGggTIbtNw
Xo22v5cyk68p4cyHadLt8wqGMTRIAUV2qpsy0NPK3CVbEKEBFxmKli2kuRg3nH6OMc5qaePzM/5Q
VJG7HkUWqj893yW86yjO22U3GwTzh9I9abIGa8fB/YFtOX/fFcL4sK3ZOlZFJ4O44MlUNtLbTHTp
IUvMMeoam/BYBkoPd1w6fZa+NgJasW7NOfW/RN3dMk8HE9wLkjqGsRxbvO2UUkNyzWoC2QVGhNOO
66bdS3+2d+1ScL7hohSwRbKUva0q3QGuTTmNgHtX1PSwJNzqqGWs0kFNmEK8aRgGvBIGtCa0hU1O
09w3MSuote9qt725LsD/0uNGab/MqIRZbKpNAuTs325o1fSXlI51ieMs40HbggJtNO5dtS1KSDDW
ZYrOqisrJuj9yEtnWu7pxPs345wUu7xG/12A9YPRwG6mUE1zzoR+5xGkDpRScxNCxv1Qbp1HdUP8
gsKu9W5Q3iFVqRhY6iVo1Lz0zbffnW5zUozhqyyt3jSp3lrTZcpCQ9wixCCCRo5fJM4ULD1Bjqgi
Dqtz8NyaqCTU0X+UIf5Hug9uAh9yLT9Y9k53I58Wern5lZDCFQHoaFnbrzovX1WOTIMxj2h2Q18j
BplNLJxgUoIy8+NznikmEApdRJUIwhIENVDd1zNLFB0pmCEBanmN06zmamFBXReFGxodvVXAhcUd
/QchosGaB283SjGCMqTezgXjpHZr/8yekicf5viOCOh6THJP/Jpqjmg5IsEjKoMBgENr3IOkpCMg
iZSnc38mAsj4witc5BADkf5FnjzpoEQ0NDxWbjUyG0wxIGbtJ+c1SjG4wUtkrXl1QtA1Qkob1fIy
9lsAdJwuJvbnZ0qpp0xrN1Nl716lpFRDQjcUjk16iqe1xTI8aF1Uj8O7r7eXSYcykebGc41MgZ1C
C+WI03nhBKPkJZ11jFVtBzlJeCNjjdh+wlEBc30tjKt6Sa+x+7310lXHRaWPnaN/g7+h/luojupE
1o9pY7zRrCeQPtbWl7LJ8IikMyNyQc8z+c5vKStt3Sc1PI6ArgfF9ywHDAdO9eAtPZTVJsn1qJce
mRvBNlEwjyMASn+ZHlqdFCzjzjim7dRP095W1pJR/Fc6Z5zZPhTwnx4ALgEnliasbn49cm+B16UY
HhfuAUcU3dmoKSXXLJk56sQRH5V0L0Vuy9uRna0EDKSGYwYZFioOJMX1bvQg0O8GkUqkd4534j/w
f4Fo+zYS48HKGx4eXpae4Z8W58Xm5aqb08+4kIzGC61ANu7g53JdbMR2OZ/JFOHnEvozHGbGlBuW
ejC2XqCsk3DxYUCweAiGxAYdHbP+eCAFb4WJMngkOHM3TkdW6I7u2L4nHp41LviQ8Zw4FYl2iX1F
rVPa7S5vXQLpY88GWOHu3MIpAcfQ/mt9oeCTQwWlMjXCGPZRl4z3fq6+mDpzxcfY/Py5vm8tyY5W
tbin2mLJ0tVQt3J2oYFIhPmWrMxLplsK5qlGHr1j5SopTTZEhUx2WYM6cYY/GnX2oE51nyBFZDeE
Rr79JafYvx80QRsunrIwbZb3ItHpnPWLuWfkmQU5NtvYHvXHyWM9wZkXPBL50Ey/bNLCjzz7QG87
dhe6oh3OXUszSug5eQfNugACxsZpZpkB46Eojr5Ts4ZWqjBeTXZpjWzyh52b6BXWT5EW55b3o86+
E+DwRX7A2GvebOIoVVRo6/qzMFIG8vpSaB+NU3W3rii1Y84LD+iuSxzRKyDHuAVHJFIneRpBrj53
xF93xIZR4MQlt1Yiqw+WOb1bOCLxZe3T4aeWOd9Jpy+SpTZNnVva0PfrjIzOzlyS4jITE3N3e7gz
jNRab7rZa4hIuVVzoAtakZDomaesq+/sN1moi+I6myNpZGwosCIl95k0CI+C/rgBiGyPoc3L4AgQ
8GlJ7B9UCPYje+zNPmmX/sh9sOxYSdQ5XHnPk4dfRaa18ZiIUoYqNW89XcUfFamvEGGYF7LwSKSg
5JCOnsagqLlmALdZPsf0ihqin/eJAze9yzNnOFs1zx+EbviqDkk8zVuTqEyDiV4YNU3l6MGmR6G8
mxpph6wtds+dtNqrtvU8rEsNy7HBIOjxLTKPw4XnwpvTzL55M8FvfRr5Ak7ktcP6MrBNGXAbxzSN
aFAzxGOv7WIOKA1drh6UTHIC2NbW6FBJgXcRLyw/YO8yoWJayI7qBqR2XvNbJcRT5q0qHPedTUnW
k4oh74+E3MieaTPWHOUBXwwSrRxDHNfzoz3InuaTKKRDpkN4fBKa/wyRPvmyyThicUniZI7oqS0P
SzFCuzS50XZrixWVgp6DNxDgkiCpqEhDm/J7orzeMSK4X8jwo/VzxFmCwo1sOcAqyUjYz8lovOQ5
FXhkWzyw187WCWQ20LtLTFcPONx4n/Isa+5Q9MLVtrLhbKYtfZmK6dqlYwXupZCauBHVtBwM6ek+
h1dl3pMscB+QT3N8AYzrswGTGp9LiWSRjajx0TBMmqGzMXCXNjWP1aCyvdqgZkzZt7MVGQ53snhj
wQXNET12fpLf0OHveZ/4nVle5eC67X3vTDafdAXEuAfZC+FT3cEnZT7IiM7YmbShnsBFJeecDESI
1mD5LjHWvMW6olBbHcaHdDo67K8+GfEkz9qXwbFR/W6bfaBEeZlxSUUcdrKdSFR+kNoEwInW6FUX
z+5pnES/kwxBr6Ve12CZ2ee4btZm+oFWu595ymZVlGqTxbKuFfM46WGfF628sYkTHatUT3ZqXOVh
UsIKTYlsDKT/1F+8sjJf6d5qvMQm+SSo766JFCN+7Kn+aWe6dGm09GFJ8zFEAIIMgVkGKCxVXQYc
mNqokwxBWHJ0UkDJ2rLqpDi5NczcSHdZS2o31b27enbm07TY49nRXFwmTlxG6It1LhrfDek3d2fW
LQaceG5xzV70JzBRHXkvhoXcWz6SpUpD9kQ5GYClTwM9ruiVdcuzlpkxHFI93UmDAbbGhX5IR6nC
sVuMU4Hyne5sUS8GjTb2Ec1ZjwgGuUFvN9SyYu3estKC/tyn65F4N5tCLoK5O89t6APrfllGtW2M
5cNsp6SSUl42OcAdUuYsJl5rKIcmm/ENPVadSqNJ93qBCclv1hvwoPzvIr5XeKhup76mDzwWz74y
Xs2EhzWBiV1mmWtEp+TDr4mM+AkDj2lKk0hpgF9rV2v2hl5Yx4kVMeLzDwAkOSpYwOswnRLuT9Zb
M81IS+Tti1RtfuckA6kw40hh1R/G1RrftZkxiGFqr3AUxV6sVMhzq2UHOfKinr3ho/Lz9n4a2vuh
QcoWiMbj1a5vB8G01G4JJS4ktI301NbCuLZG7Qs82HBpjBpIKs//IGMMRqPHt177yR6YWs/Xo5Qz
S6fty3/G1r+9S/9mbM3+/4bg++9jqVcftfrXufWf/+SvuTUgU4bCrs0MEQiasUGe/zm3Nv4Ay8I6
PPeFboEr/OfceuNQ/ZVDxY9E6YyAkZaapxOm/t/NqTfixN/G1KxZ+jQ/AA1sCEGylf+FWNYCginz
ZHauqu0pHtIl1Wka6LzUOFQoTfZt4EJdIMrFekcT3zT0b+yws4WGUWXtoaw+lk0rtOqseJl3TCBI
11nx0YsHAuaDOdrwVFvaGTdFCmfM3VfdiMv1pie+nVJAGzzvQ0uxn5vse1VWzvVotepnkUz3vZW5
SBUMzQ2t1HH3peX7yHlaYjDGujxq3rrq1xREGfA8X69BrgOAy9cDJPRtGXvWS7ZUlaD2p8+SqWPZ
ekN7l2tx8di1sf+mytVMw061sD66bszlFTuaKcvMi/+qAVxr+BaLs+5mvzS4S10Xrp+5MArchmi3
RVs7b63rTpHmN9N7NuLaY3eAdNaw2CHIQGLm+WjQDfs/7J3JctxIFmV/pX8AMsAd4zYCiJlTkKJI
bmDUhHmGY/r6PlAqq6S0ruyqfW4yzaqSc4Tj+X33nltJuB9r93O9z5YiP4Kijt9QQJsX0UlRrY3t
3pfKc7/k03xLkoaIO61r85F/hDeDsiVpzEQ/YE02gj6V3nZaB4DNQJ73QaUkq7Y6gg8DQoS11qwd
/CsVIC0MYiFUKhST4YCiUNwrQ3XPWHpg6bfzuKfNan7gCJxPGucOYnRCDIK9v5Yc4jxNvvJ6sB7g
Vg8yGCqh3cVF6cKKsttDV03GZQS+8RQvTrJnHV3dV1QbbJEE4oqpphcYsxgxtCpHRrAbIe8qM1K+
V+f0jeLnOA6JgdxFFytuU2WqwBClIkPMOT9q4bSTo1wOWDqRD+awWd6QQ+sdsqu2b5JmOZqxWL7o
tEMeY7zTj9wqwlulNdWlIjvB+byAQZvUYvM43E2D2Qum0j//3WfCHOIbzRI17LREp6ag2TSDR/jz
lNYdiagT4SssX74DKSP1dqLVri6NqKO+Gca8Gykej6lQ+fLPifrfnKhQNjmS/vOByrKkat+/Vr9a
gf74mJ8nqqFzbJrQ8UCp2HDCVjv/v05UjxOV+JhFBgDWrPNvJ5AJaxouPiwXwwPzZwvMSL+esKtz
yHYsSzK5ef/LCfsDGfjrAYuZyHU83pwuX45n71+wW2uzETepRTu7f7ycAEe6s3ppf77i/nj9EUF1
43TvdD1S2kV6eTEGmGApcQf7Sx1aHZ0AsbuZvCk1IXXe1tymI+hF6H5Eh/esCLGR7FER8M5drGgc
uMPQFZKGDCHNwtf6qFsDKAimXVWQnSLnVljzQhkmJWEEsqn40QbbLYsTAC3iS8A3iMhhHABQ8MqA
Efbbirmwnh+pQTEMiJZmNDoPkBpU7N1RExqMxFlXkJkrWOhYqlyLmhSFykBRZo5cyuerxv2JEf7H
Pvf/m0OEruN4+89vG3DzbZS8//quoWti/ZifbxtX/4DVDXWZjBrvDt5A/3rbuNYHDNsMIs76RgPn
/e+3zUpQ/vNtQoyG3CQodq50ADP/p55GiqF+n0MgAtAFzyejm8IE7mTzhX61y7EOLt2QPnbcB9Hr
iHV103fYMWDovaAzPrKSOJTEX1/cwngh8WvslMMsADmlXxEqhN7FUY48NLsVsFIa7Ne8FbrSzjru
phXE0g9e+30OgYRXMZiWagW2aCu6hRNEv2pixbms1z+ZIynWLp6kEK03UJFzZRPk3iN0+Bk7wHM5
sn4AqbESFZom6DQhfCo02pMOqKkZiru5E9amXoEzKeSZdkXQsP21/MoZHcQg8h8CnzqVWUBrWAgD
/IFjM65AG5qRP9kmz3axwm6cFXvTrwCclBjCVl+hOIbdwSJZQTkk3QMTco6CoENdFoDfBqhOAV2n
InfBdDCMfruid5IVwoOzaNnIFcxDpoYE7QrraVdsz7gCfGipnoIcpk+/wn3MFfOTrMAftM93QcB6
pdicCFIWlNDA8UlXUNDSl1HAX5V9OhChAppQD1VoqbS7cMUM8TieDrUEWTM5lXH1VhxRv4KJwNbu
8MI/LEZfXDOgsJckdylrTV2HpAbesJuW+syR7RXpoaZsshcFUOEBjqV5lB2tf1KWE0Ua0dA+NlIL
HzFgWmczm7kca4XVHiJM7ITy6uS2JV/wEnqkCVnue89TIbNyU1WKARfj1CUevCLoxgw6AzjNB2ek
gqLMJaGAXAzWoZdu/eqQqkEFdob8ucxK62zlgLB0yoNvzfJHIJY65mwX6TU6HjqcXyfS4JfnCfz4
sQKv0Ym6PLUs/1FiKr08NdpCiLuhh4ktd762hRtVkdzqgG/OM2P6ToxO+uYI4rf+FEaEagS4o5Ql
8KMrafiaiqR6NLLKuJX2RN3IGpCMCOS/1TWT24a0AInOhAbe3VrmGfQ6lSjc9JNb1Wf0p61Li4Bh
mL/fWLQH2Y+c2RZ0dNbgrvne6DJ/nqHAfG6VI4+alAp5oev5rbYV/008TPf8AjUmvTnhbq0TrACl
AgO751Pi5ZmVr5fRfC9wgT5baMHZweoGfviGnuWrk+Mj3BSVDmSA5NK5qyxWCHLm71C7OZ/QgK/f
BDzSSvyTqApTX9SviB3JPsFKsBLCAULgy2N/6sT0OiK/JLdzA0eDsXDYG0rW36wJ3EKoKuT49TtL
gde7OxxKfPoca/BDtLCJJAVKTakMY/fBXC3gptYX3/M1x1xatKZ3qYmNw56BBibrD/6D44DXqf/o
sIH+nudhKo7WwCHiQ7GfsZN0a5WLmb79eKWlFu3zG7IbmNCMmTh/Mo0ej0yvuhtrjxgwuh4IIPgj
z6xNxacRixlGr8J0HlorMo9VFk5Xg8iz37ZoJiJSjnmoB/6oSpnlSStWZKgIx3pHs2z/tXdiyiH1
ykZstedzExriGpK7uI6NVgQxr0gct54VvnmCDeZoFfSLgaDiEw0uX9GZy2yXR7H2WC1AwRebUHgT
ASuo8t4Lfvy1WMKT64lYam+7LCx7NJrB3VYpv7nZMa2L0XRmuKEdiGZaO+LTo99FWyenCHyh4WUD
Iu3VhYiDvbVKtnh0bunnuh2a+V5p3dPQEGUfrOqtTAhzFDYWFfdG9ArsRXQfDzoJtT4+FGn73Rq9
sycrtFoC46VwrlMnCdfH+95enqO2swk6Te7Fhn8FW8kKsk7DNTNXW1yx1bXnOaY2QlbkPBLDvhIO
ZimcGrf2wBmeGW7k204t0aiBgycF3rXJ88cp9buwOsnSCe+NXpvujEmkO7eKgJmhd8d7u8pS4k6D
Gcw1bdkO2MXDMCB/98QoY19rja/0iG6HRnzD7lGdG26s53RRXVAKFk9Q6L+0Rn8ouW7xmMy32aAk
se0ofNUi8dJp7pdZ0cSwlF2xo2GuBxZbwskv5OzDlYCyIFoxbGvbrh4VRvntQJrhK+ZZ0szg6VYs
567u8cimqj55TgYng5SSZS38gRObC1KDczcd54zKE+OjPbP+JNN9zKa5OGLQkoeRQ9jXXVUHU5lR
3u4paA1LvdNYdjQ6m6mprPTLnOnOqeWFD9zL1n1rCF91o2i2GpWfypi/y5l4WuI63xIBIsYcG/3N
sTWadbPsqYf3/T7Pmgx4r3dUBDfuVlcIqyEcqHXyNZvNsCycB3LIWZUukmy3i3a6AF/xwsem6L7G
MzVqeonjcIrbkY4TbsP9lt3mapdbyM8R5CsvlWFjoxyzB15WVOHaocGidjaDUaiSq6nS0gMtSKRN
Oo39tSHqb50lsgBrNOtmpEZZ1+8qr9jhup1Hxfnwooe4y/WKp71H1B5OuvpCc8krsbG9Pjchu7ya
6gkyqRtLgjRBMtRuWtP6GFIOsLV5GwIeKKMXN+U5XHbS76F5XmjUYwvmZe5X07GGqwOC4GM2N+sM
QQ4X4J49n8Y+HAH2kJrEXD2kH1OHfiezM+kmp2H+W9+2+clrWVSVURf6RNcgdtjmuMs6PjbCMkHh
n37rhGn1QJsTFN64YbKSKzi1bt3beqjHNyyK+dsoDHlr9xihLSasDau6hcpFRJBN0SfAleISb2MI
jo4g4JRGlwGSmHHqRGhMG6p57VvhNWrnRg3BH9A+z709aXc2mQRuGfCE+CMSOApbXLtDlrJwsVrs
z0YZIoI3Vi025jLyGJxUdVuR6D6ZVhEGmF2LIOwa6jVBmV/BryRpgHW8LDeUH2q3feRaRyaFjLV8
1QTJlIdbMnyVGcTt9L0shLgziqj/OLbJSBmj03yyG/aLOWehDzWB5bczdr5mYvAER3zMCqYwIEva
Sa84wGpDNIcKjPO2xgoDCm0OwcIZOKubHEqomX92uhzvUhuOd5mt6TdtWLa7XFbtvhHQj9WYUTJe
tzcT0Er47vtIRGAi3OU1bduqxlo3wHcc8UgsdIrSXtrlu8LUuYO1mblfquVmSmIMwBDfNqzY5c7K
u+F+Wc052VB1PLkG9w4FL39s0m4E55dpr7L3bmlX7b6NPwQPe+53Xm1TYJrTbazJBoNrm6wmf3ql
dToncJjrV56gFdForJe1p2ac/uxdZD3tp3FCGZfL42xL55b2b9KHrktbZ2nsbQgMbKXJkQ5V9I0t
1V72PPIIw+RYMVIVTPo0nRKspVtSZyH5mPCSRM3VxJHoO6wUjvNiT8Q2gLtD/tLizAigHl29jNPV
ODtKs5O1BifOic1nxZhGD9JOEf+F6kZsrd1I7erG07SIR0LUkELJPJ2dBZulfJ6OE/PvcrEYVTAv
REVmBTM+EH9ya4EHTmHPzzc8t1XlFzYZmk0XDfH8Jc7ccUDKInUgDqslDdTEg0ZH5K4ovZWIosbH
0FmWwJiX7jZKWSZhLjFv4G68NItkXVfb18Sr2IIufX+NgfqxQ7TSu8aprc/YZOZtKsrls9EZ/c1Y
ONouMYZvbTTDqmPnceMiw/mOC8fGnLj94OPs7uGgiMuIdegaMaoEIoRINGusHV2CNE2h0vexj2Zg
Ya1JTjSkxZbFMdsunXq4psNSO2DPD9lM8qisc+pOzGSvu96Tp7HCsjLzvEgGbagZX8l4UkDfFAQ9
SfPmOMHwA3cgqxLvNEeYvoLUWIf+CMLIZ92EOeNkVnoZx7Jjjmd5LJE1jm3qPep0zui4nIdFAyXZ
Z0QkQrLfC2noiwmc8qHOi+VT3ur5TRcXX7iARpgzRaNYYPcrwqSk4jwp4y8U7PHU15riqzPY65kV
9v1Olcmwaw29fWV8sQO2jdO1x/u/ZQa6yiS17mTKnpBtbS5Puuk1vjMvvNNUOT7balTnppblZckH
MgYst/O7rMT2C9BVxp/LpsNbEqbJtCuMmEeB7rUA2bgasmQdc8/96kY6B8cQWcYVFJf7qW+d+nWR
Rfl5IatE2CeUq70P0gA5IH0sn8qVdmmt3EvaaKsd4s8UuMZyTFY6Zr1yMquVmEkh7fhqrBRNu1mB
mlYZJyzI0xGXCV/8rokYStIf8M1y5XDKP5ic/U9EJ9PzSuwklLTyO2XHZrdtuuF7vPI9nZX02a7M
zwn4J6Xy4FVXHigsiEvWqoJ7FqxQu9CH+yju66tcSaIZQtJmSaHtWStntF2Jo+nKHuUb+8jFL/Qd
L652WgqhNP8BK/1HK/1vtFI2Pmsb0X9WfW6rto//j/8O3eY36efnB/65g7I/oK/YumXAjXcg3fy6
g6KqlDWMB33lZwryz3Y+Ey0VCi9QQlsXOjlaVKGfUpBpffAkBAfsFMLl1SX/p50UiPLftCCkWiRG
pCfhgMBwTTTd37Ug03PZrU+OuCzsy6KFuiDqxRlhBLFzbBlav5ZvFw6T8OBaabNB3Vpe8Unb7K8S
49ANtXahXFMFM/efXTQ3tMVXS3dTReUhbqU6uc3o+IQ77HOlStKWZVdvqzLSzrS8GJuaRMEjR8D0
MXUpRt6oKtWAaTQVbtGUZumOIlE+H1f1pklKHhYhQcDGo7OJj9nEFmHABFgSBd8naiCgEzch8k5z
R6O07/B7JC5dG4emq+UGbDuUu9w+GdgEQpV5fhw1X5XFDk6xjNgWQ5tuyZjPN8xHERorBZ+D/iXm
Ebhp8k4LwjQ1drO+EFqveIQTet5TSVp+8uYhDbo6SzBz0Xo0tXdtxpirRVn/3ope7nKncLc1rviD
LGy+fkEYld+U6fel6+HNU8nVYZnjF1jmDiBnPeyAc8hoWA8oLOldO3vIMzA2SExhdFPCwyqu10zw
uiX9KFmPZIRmoKR5d8oS5yY2PEIqsriSoSOcETp7ABFAKhBdwlysOceKojsZ6b4I9b2G5Yl43vxs
9cO8Hfr1hyCt6veKiGE+q4gVpAZg11WfCwZxOU3FqQZhfq5b2m8YKwOaYnZaktc7rtmlrxjDNolF
6rwhauOFHrohU6ebEWtJllB7nmVC7kRXVtCtDl+ppmkHJ8/baOgQR1HF6ZOT1suxM9zBZ+vXID4a
1k502ux3k2769MyTBXSj/aRQzhr2hwHJzbd6qs0zRMcjTy74UiBkSa639DDmRJ4kXj2vgd+Q51qQ
pc0TLu9nd1ouBEwd2uNsc6fRkh4Y+kKqCyPYAugtbXpzn1Zhux1TBmPdS7FtC+8bW6/UR+W0fF4T
T3mHDWXkJQHy+MGr0mqnooz7Ny2324zSy4EHDXvX1WfcW8dGpMbbDBMMQE53xmn8mUvRFEyxWwe0
vc8Hq6Q/gjiju4E56AHzYuByoto8xAvbOxMAN7Eh/rfMaF+0jqRE5kyhb5cdbTjV3OwNl79gJcEb
2hTU7kKZfmyFHd2UelzspPs58jr9NEUOrsLa1p5yXElrfDc2fYIUyZUgpMvtyNbJSDL41onXPq3c
Gd9wvOy6OK7pd91yg1CV71xilAxDsb1bMgguFjp3wDIY1IfQ9PvEblngLVkRGABQt8rKhB/DZSGd
kNpHA9TrNonc4SBEdOzZYZ47TadDQ8T1RwVjfqdcfNfCTPHJRN7ocyNqAH6uooaV6h/n0NTRJth8
F0MDeDmuHfwhCwbwJSsfM03O92Gt9JPRd9zdaIrgST5qGS3mtTuuahcr85xiXjl3wJjtltuQRtjT
s7VLSVXKvsrsW83MPifgXrdp6ebHoXGgXLqD5jsLv8966ayDw/6WS7T+Hbag6yMjWScGLmzRdv+o
u8lRgTegmdxhW9xaV9odm2DUJQE2b4IyPOa2b5rsrUXjfVF9fk2g9YWGus9VCYU+TYz9nGjfCnOZ
d3m7nDENX5KR/x6T936krwC6WlkC69PaLQTY2kd0x0IMimtjmMl7U0UjcJLlsavEhAt1lVszdlBc
eZGVdJdBNuF+3ZYNLym8gDdYBHaqEO9eg9ffhdCyHYrOegwFYaLC8QI1a8xiBokEs/k2dJQsOwv7
YNiG3MBzwziFLimDFE0XEgVWQ0zoKwC5cA+x1O+qXLzZdndJIzM9ArN4pqgKA21i0ws7S/sIgL58
8ryB2vd29OuagvkYLsgQIi4AenwShjo7Zt+u8doTCW26iKsqv8mhTlBHQgwzLP1Qxu42bJrvbat0
xGGkMmtR1d40aemjfi8NGiqmLnM+tntzAodhydA75JA3Oxm/eTMz+WzOh4rKhDPqnNoNYm52GDfW
awtfsVyWp2Ywk3tQsZfU4CE0sUSnMJkIWWZEdGIpy9rohfXIDSr27b5JznPTHaO2YSodwIRHvcL0
jq3fp/vbfs2z6WUMFSbh2flaKYGXMsrJNhLs3U/lpOG+DvFbFoN315M11SPoA41prt/4eFM3Xbjt
Wa+DKLxW6VIFo52gMiUQqm0TfHKsfVJejSSsTV8lXlPOQqWO7rC0nDUJlN8wtEkrTMkpHkwci9CP
g9EFPq5at2DhKeQ+YVuyi5xR7kSOYDeZtbGPnPTTOHDPgNT4NPfdmVwn6Rkt+i612jnlZR7uNCcn
Y1yjellsAALDLPSTW6N4VSZP8oVTdddiP/VHd15k+ZmcWtl/NBPs8hmvWaobSCABrzVXDm5DPeVz
j8ne4a3YkNqBzc2rr3DvQqv1xhqFWmTrm6xKC6uTh0aQajSgmQO6+ijVWEpcCTQEQYoPrK7i9Kbd
YalHyKWlCK0rRETHbl+rYSopmWzl0BEEYMx3HYsEfJ5owNLLul3a9uaf8fq/Ga9Zg7LF/Jvx+lh+
Td7L3ybrnx/z51LV/OB4UM4cE3fWb9BB1/3A1Rnkn5Q/4CKr3+Bn7TVWBMfySE/iCjPMP3qc/tyx
Oh9wFYEHtAEO/mFg+Atk8G+hg+Zf2nOwlUmD74I1qxS2K/5aPa1EFycLPLWVaDwRA8xJyKRw9FdW
AoNQjERKY0I30z6itGFkUBDGxYbZerPYoYmTnTrdAEjs8NVRRnG3sEN483QYgNAAMtjDfFThT1XY
o4os5VthhfLIwlfcobKR1iAcKG8WA51rm6UFF/vOy202O+6jA53z2k5quNOH96JqW4TDOHvuEWlf
qywZtO0y5JCZMr0GG5P3xURFLPZWhCtwS/4ENm3ayJ7y0oA0TPY51jIJYLAtgH3NPNOREOYESbuZ
0JRzrK3r8lXuIH8upm+1wmW8JI4nmbW9lDoVl2dH4624e/qe44tkAejyUHYSdoxlbsstsYzqS93V
9WsFX+pWdbOO2S3vzgwy4xfCT+UrCWkgp4NL6WsyZs0DHvToXcRCUB6E66tAEx1UUW9tJXRu5+54
u0CMvrfkXLFUdafVklWMzj6fkuzWBRryYOZy2dVz789ddWQGJVNIufF2KBWEdXPejyJx7lnFeDzq
ZfFl6gA0yKlw7zHI1Efwyf2jhM4HUb3rAnOc5SFcoNWRN8vKk9XDVknnRZ3daUxgV1DBexqWHPqr
HgE8Z3punIuL66rcttqcP8uiVo/KzNpNqgxs+kRtjBeiKeELCcM1yEuIpCSTfRkXlDU8tzbVfbO5
HScId0tkqE85z2MGPq9ocZO1zTnGtf/da70Fetnca5nfEXy7G8wyD2qOXhJkMCLKjWE4w02uTa3B
YKSy9+aH9AQg28LdXrApERQ9vGFvz/OVcMszLmtkdM+9pjR4iM7JNa4z+UlAdXrwFouvhkOyfTQQ
AHfg3syzIdJBZ31bxQcoAehFM5qs6IfmMGLOvkZxQQsTYO9XrYzaE2Y879vYjk67s/UiMrnkjG4C
JbLxrl5qL+OWtX6lvaSRtO+hMqwBf/iSXBy7Jfti1kzFG8WjIoiwBPue1RvbpjDKJ/6OGduDLr53
prS76Yw5PjlserzAqMbmwmBh+po9R8Wal6UUUzb6WmlRIVs3/P9GFZk3TAWKua4q6tu0BLRCdXDB
uxzWlpHils8jb72gZhOt4OyG4K3xr6o0or7fTN4AV+NKinjS80up6xPTH9edfkH/xA4aDvDSr/NI
wv4U06F3aEb73mD49mvTWdjS46yHje09TjnvnqCbVP4KmG+mUTwcckpDTK8j1yaqbbmOc/Dc0fjm
xABHAhmRpUKi35o1FuaecOrehHC+6aqOy0tGVZMXDlngSrKMLe+Xa8gNzNmQfc0/AtORxcVWvZ7e
OwnrMc8360Xpj+bSsfHOQUCUFjGsRjuMqn0283h80DJ3bXlq5XiU7XAaIvA2FSmPfYFZ0M+nfNnX
qpgfmsoVR5UCJa1cKzq6c5c/jK1sr/mYTlszS/GM4N0KnJo/JCzZDUbCZGM08S0ApI0qsHnrfXIZ
0hNPeT6T1BrKGMMm8BLxatM0vbG4y6Uk2BVNHBuD6AyfBmvWxHr1OTalSacX4RiDX8uOxFB3l+jm
q0fA0sc+4gVQ0rUbUEvhIVpP61npn0qjJ7gaIfFn89e2G84Q/PJt2OvnNCEwRXYpw4rexR8nya4Q
QPKzy8x3LNz6CxsX2gITcdUBfqL1kk2X7Z09pul935QvyPXTRsxnB7fArtCrxyEBi1NMDnOxTvyD
xPrgizIfoEdPtculBOl4toFUqKFrQInH9g3KQcdkQwiM7PJupsl4D27EhHQ7Zw2Ja0dHScziUwtb
JuHHq5fXeOq6G28auUgigwteRgByVH8hIyg2uqbKq041z16zSm1vsuHacs9fbuc2TMGRVMbADcKq
HxqwVFe5tFmMVNHnD5k2jRRWtF+dKtaRKyIG7cJrAq0jNI5MMtFyOgDdYvzk5ffkUHrkQxmnv3uy
6GihKolSnGi+pUaJvrHBaD8uMIS2mmV2bL+SB6vVGt4SAHXbgXqzos2KbVvkxeOQh+GDRa3RxgRX
z91Bn5Foh7MX6tRwCRm/51P4Hnd68yBqZ7wXkzedk7aTVxtM5SMg7WLbS/vUOcCl4FNx8mv6J6uL
QQ5p/CNOJ3Qpsi2+yJwv4zR0eFkJeSzYhnZyXrydGp38u92F5e0yBp1a1AW6pASEpzrzljNGu6R9
4oD64mZwxf6S+6A2s7N0KB+zQEXsIQLHX8w8573lVV23dTJ15UWY33qVnt9TTACmBe4oke+l8w1D
XytrkZlE2h6LRcr7nGCDr6m5vrNG480aWjsgIJs9Fh7bFwzV4lNfmcgtwBQMXhkxABPmAkCCJt1X
mJbxd+MMRaBrkzMeRu9kdePMNj2ZjnbPI3LKFvuo5fj0/X/m5P9mToblKf7Ws/uxf49/dR7+/ICf
QzKGWly5ugsBxDYs5mQk7T8NuwbyM/IyDZFsX1jgM8D+OSXj8uXBbnC7+ZfuLJ1VktYlSraDuddg
qP4fxuMffam/OXXp/5W6xA284vp++JJ/tSBWWFMIk7rzjQdbbYHmMNbzvCvs0XsuCopnsomXEvud
qD53vLG/GvNMFQv04fu5gQjPFqU6C6Jn96lS+GYSY7rGFBXdo/Z24I8rBjksvLgGdUXguyhsMxyv
mgMRn6iFN7iYdImLegV4hoKJyf7DxavnoXbnFYCaTlWbglvZCsOo3O+yduZEHUYbx8twjBjIGdpC
Z9JSTB5uMzzWA7/kR62EERzUOObNIEpH9Bp+lyaxTCxGeCy8gaxjDSgtKgS8TmoB5v7aFmbBjjpP
qMphy9YQAJHbsbTDJxbn8dPSV/LAD1X5+aK0z2NcJNQfmaQk6yJO4TNbt/0EqmWxsKLFVajePUNP
Nm1X4ANLCOhubZDdW6+iiAh5bFocgU0Luwb1O5slg4EVjKM+NGdBUrg0Vp1ruo2jbNCOaFkQcrJM
i8h/zIZaAAZFWbripmpLOHuRABDeD6Fe9c3B0KPQWBmiUASz6WrnetLe1KjwkMvJHQr6No7/nAj/
zYkgTEznf3dzvouT3xz8Pz/gz2uz/oGbL2ZBpFiL1k/2R3+eCK75AU+HAQrdZWBanfr/PhGMD55j
CZvVk8OBxIf9+2BwP0hu1AaLH2Gvh4b7vxwMfy0XZkHlGa6wLMeQHDKYpX/fR4WjhgegtKzjMOl1
6JMxyq5xXocnIl5UWc9W98ljsbzjCQSqjvvNCRpH/YqkPX20Slykpp12n0DHd59I6Yrgl9/k/6NL
gL3brwmu9bsjM+ZZfIPs+bhN//7decptQ2P0zCMohuqdyovp/kfbGP1DmC2bJJ/3gAXWVvoKtsjf
f20p+CX/9tVdKS3Saus+0XHtHzbyXw/NMEaAs1UCmCkKXwpKtjg4VOLdZF5bweCoYdwL3YX7K2fb
OU+ml9Ck0SZv01IuqAhdM/j1MstTBGQ/wBSa7/u8VVnQNpX94LB/YHOtHAsQRUE5Ty3rHVsmc4Oh
C9PaVKBwmkNX3MUCo/fWMRDYdLdp1tiTQyusWjAsgU/XGtQBMPFDaovXyOUKVtGHQzbarc5OZy4B
VmF1jcsOtN5slgPxCghwJNw9NvpeGKdbmZj6J61ttQD4xpMiaQmcbGlQrx27Lm9bE+CRRuR32LQV
DL2ZUhhEgkVu8HvgnFkcIhmbKES2Jx4PKw0C3EuZuoW10WDxXKwxZV1Cy8Enl7JYLHB6Tt5IN+Jp
2PAHsFcPz7wbY/QSGrsSgHNiBOFhi+bqYVp70LskWVs2G/2VihI87iUzqk88wwtGJSmFpW3VBSvG
W+k6hS7oCi7GNlw6M+6fDG66AUz1UR2RoXIS5+DVrvSJsSDhMtuF4MhIrBZGFroYSfoMId6yawNM
TLTIczm1OpJ+lAhCguSGN2lL3NWvU808sEERlJCawM5Gy3pxAK/SDGWX91nZTjsQ0YL2JgtyKt24
6N2RTlcNjNZ21xJhvZ/pnNwvcIy+NrHAvqYnO68fBp93qne0wZ1cFzEPQAkrlZ4WrsG+y8D4Hjt9
fVgKfYGcU/eHGQsvuxjRRwSKUzHbuPTZb2DILDswIKlxhtI/neixD58JSitayWLk29yx4m8mD6I7
A3YgxbGlU3wTjgknRiyNZJGYQJPzjKgBeTgsltzYwNFSHzT8YxxpqbxVWaIsqOMhM8Sj0RbJVG8Y
niuKlmTYRFtmc0pq3LrPwNHEIebXvk33Qq/Gr1k2FLQsZnHBA5p+7UG/6RqvTd6HBBTtwSsHU9x1
GMxOC/jJY67LFHww/AjqcixRvS8IF2obemoiUc9lt/9Shtxc/dbrGxD1TNRJ0Ku21IIqZOIZZqOc
t53u9ITAKeNIHmdszfNhxrTKNSakc5K8PnKaD+gvqt9wLTPuZ+uqGbCKBTgiGjP9sDRRzKOgLy9t
PIKVxU5evXcVTnKjnXNe6hPU/znrsitDyHoYxvz8WPfKO+ywzq1QFfRbao75au36s81xaD224WKM
QUOEgi3SYHaf+sROTShUA989K8Pl0FTTcki4Hr4Ss6heoYZ63cazBhLa9F9JN+h0RbRR6ZP6rKfs
YG5SuBb6rYdWoLY1M9t7S24EnLuWL7sfRzn7c35PZqoEkUuXczQjArEa3ZbnvKOZqNpmRBRX0FQo
wpxqbtM05ncLTCsKivuHkJL9oa7klBegtVTGMg4vGIFzVBiN++m7mvuCl067dOeqxSbZdAbf8YBt
TtuNqgf0Y2ptvW9ckd/NJdb7jV0losOWSk2bSiJxZ1YVbyymyvyutXJKWeiPrizfnYfhOIHF40ZM
try4FCT5MSnxHfDaLWrzWBqssW/Npl0N2tIKlV92rfOmDSX8SH45mbfNIyhZxGQwBCNPzS6SbOOM
8B+16ja2sez7LkbxTcgUf4wEM1s2dtVn7GsfcY3Zx8HzUmtv9CQ9gE/K3NcglQ50o7oNChkIs2Ej
KjwTJgL0zlB6dhPLIWxWKHx5idmEPYlMTavNX1lfrKG010iLEdN9AHRKVNqCxdCaLiaSxTmMoQor
Z2m7DVuZ/DgRNLMCF4EQinzeHz0h/i97Z7KctbKm61upqLlWSEopUzoRNTh/7xZjjBcwURhs1Pep
9urrScyujc0+5ux5DYAwtn9JqWy+5m0ghzCBsEjmnAG7BJV+B/wLZT2nLZW7lX5v9Npql7h70QoT
1wq5J3a/UWad0XKJEc3yvcMcseH3pej/l0//9P8TOJKBvBk3/t/ioc9fNlx+/MY/Ukk3JAZ0AxlS
mze4JWKj51TSUe5fCKmSa7o+rG9aHv8TNyrnL4GwCsmlF/iCKg0h5c9+i8+3fKhvBDU/ezj/Ttxo
wtZfYiNzO6gF+B6VBRaBTQD7MjIL1LiUuIt5Twm2exn0kjUSNqoSrtWCZNEcRfcZlo360C+iKLfg
inz/2xwVTUX1FjyPe2gsY4uW4xwE4LCiKISPI93sZP7Y2aWVLVsYXnKVbAFIusDKESMOtVv6qbQv
d2Bte2DOSjUKtTcbDZOPicYWdV9kA669O2+h7mhshW0/OOL9lLb+ZgYkGXZb9CrxQDpUY2YkblHq
itDveTt0dIyywD/TbYiDaA8YuSv+kHASur4cHaAuTq371X9q+mkMSdPoIkNmAKwq8isMVoFxb2eH
M/Z7i4HbcucpZM27rZsMHc8DxS+eP759S+5vtwR6nlTD8wNfwih2Xt0SwQF6/H0XPzqF7edXCHTH
+TkAlxZyk8FcgVWCLo4/OHFOEwybPJsbDH0ym9D6oUYbFMKXGnC2PC/ssccEc43iFa1GeDCwPTQa
zOt90skIYpZc81Zer2uOPPMepi9yAPRZ+gFC3dsPZZKTX4ZZ2QyyjzJCQJUklKyFl8OMO92cWnlR
PdkTUtwf/Cq16tuyiOr15u0LvULtcSFSATQtaCYFDF5gBvcXwwPU0VrMTOfokc4ojIF9U0Q5aBjX
ZoXPQmXeOw4IXyTonPoFPL7GidV4m6d+lX1/+06oCL16ZEJiMlLQg+AIQ/kqX3NEvNjhnMnHEdVu
ee0jiExDoysthLjP416uILXevqKZGC8Hmc3Ec0LBJKRcqV4NMtJZRd6kvvsIzgjR5SfXGCiintcQ
m5/H0Bh47GKRpi709oVf5aawd1GzAXIZSN9l6MmhX456VtdOTsBTPtIr8zG/Qriw+li4msW8pR8a
xc27OVwju7ysU+xX7L0/Jvl6n/WqacSmLNg5wPsToobvs0xitIHoszEeykeAv8tpmDwPnuDbN/3b
lKQeG7DxGnK9Ys68umfLiS1VF0p8K4bWsOvapcEFj67YGi3TH97M79di4oN1paoY+JwUJnv+ZVaK
rui7MMv7bzO8JeSAMlUE422ETCtT4u3H+m0SkAj7EKoDZoINtvbV7kErBQMA166+VQtMebHprDDP
vo/OYvmf6rqUiBxFWC7o6A/XdX5/xpAHpKOPpAFw3tfbVmThJt6Ah/y6+pbjrlvKJulAIT5oks4m
gwOrX6Bk5+XqYUmKeKZt0XVdCEDHmt3xLi3XCd2gBOCh/opBIJoXopK0dvxy8fpg94dRCl4vT25Q
gR/mxaOnHjivpyzqBE1XDl39NQlSmOB02xe93oD47Xg/6wJXYzyGPRDga0tEKfOjrzyPw6ACW8Zm
GeZevHzjXZYZfQubkeH483J0rEbHq7PvzxuwFzXsLvSwYvmpJxBHwACkTs5Lh0FnoLdVB09Y4wDr
oIa5QRXFbNEWOmRc0F1mCMFwiPX8eV1MCLFBERMxcGo/mA22G3tNZZsBEG1R9KI1MqXzDSKqWfkk
JwqxDtWGqF9vmNCh/6mi5bvedyh1cY9Ok4W4uzkYdn1CEavJkGqTdBjvVy3UeDd2rRxv+4z/mTaY
OLEmNkmCaB0NnARGEH6IyEwB5MxEY7GpQJ6oeZianBnZzwVXsoo+6ZQBTd5IKsL8SCpVX0L5HudE
v9eTKjnMlhZ1Rb3tOy+Ll30Wh1zaQtuQH19RPuNqVFgbeS1CPBQ/t/TMxlPkjW16VXhQ7I60pefq
ImmtZTgf5mFmLs0B7sfLLkXZZbkIRsRwAQ7AEOGfNoiw6js1Qat7FMCQrUZZ8ecD+JAReVTKFaHJ
nZHKYEB9u2L69XNsNsyiVMgL7UGVSf5JVbNgUQ+0Oev+8Rlt01rdXqSRnyYwPcFlAQZJVp8xGESK
TOxpbnAUOyen5Zni51HFF3Bi5PyA1m53miaNmmNF6ckqtk4SmisKSxG1LU0kGZZmUS2Px9ZlpksN
Ljz7LnJsofs9lopZeVuhYqbUIROYj8pN42cua2qswpBZE7s4ggBLpnzIbyGnEKmDjnUeiHPLm1OM
1Mp5ZAzrecy4PpBVahEfgsKWjMmqhqCYzrBtGJFcIyszsVvmzJCedgvSbeYhMqhc81UrohFSfm3B
yEiQbRrZBfbdiqi74dBEZv52ovX4KgYtIMZzWMuUJnf1QoNNgzgXpHS8eQ0qc9O5teaWsIswF5qG
zNyLFyY0e7ZSoVb/bQkoq9c7sUrpnRAPEdxeVqaBiduQDcnT6x6sv/8JgR++2IbgZ7itzKNgVVCC
KRlBfBkHhnNF4o1PKggBvVOmkbJUcOqlmaImtB7vmqDi7xYUMQtYZZq9gdBxJcrwppR1vnTLajaP
BDm4h6wVnVnS0K350M72MHUj+yNuhBzYOGK8UxC7GAUEIpt+OVHV7bPyCsd7hw9sqTxwf9CEACki
tQQiUe+aPFwd/4QSN+zyXWbfhYmfhuOOCrQyO1NSwLkF/mEdfGwUGnHQtIk9NJkSADS7eLSb9cZf
lpnpH/TIcIENR4UermG7TLW8lr4/gqNJbF1gFQggV6TvaidJqXgQq5s3DLFpwZQHea6eNkja20ad
hSYLcI/tXPS9NV3kUQ+/Gc052BLfWg+3Tx+xMgeT+G0VZUtcfwipz3rVdW0wHQFNmNRDCZ+NmO1m
r0WcAbuIm6EOwaMQt1N5jFy8Z06AtQc/Bkmes83Kb+uEwz18PsdbeGYsUCngJJsumZMEUesa109F
/wczOCYPVhpmJqJd2TaHHGAnX1GLgb9KCSylenqBauLK91p3HDoHBJRgq4TGySjtSuzPUZGZbcsZ
2ut+otiZ4eCJXJfYV47nchbUIKT4rLC1zS4ImDtk5mL1HenxYOsGHV0U3PuW72mK5OxLuT0CpAo1
uviaGTJQtoLvMQOyuECgnN1hZBRZC46reybU2HbAsc54++3iXwRLzEwPCnA78QUwuoFLe04xc/9s
lxxH49LQFt+VEVKbPXz/whyyWg8t03GWfgr9TwXdwv6wBInlvZuBVjQgq5bSh9/fatDw+6Du0O6C
cGyiFaMAuXwrg5Zs5Gcewq5vBmeqW1GHx7xjVw33cZLB3AWbsq4IlQf4Vu3aaKqivWdjM/Ahamce
Pq05/Jc9eh6KO1YZapfjoS4TxcLOaKUxeYKUjiCukc/TukxhF7LJeLVg4q7IC3LnsrbMdt9bAYeW
g38jYyxUF8JpIOqNbdanBf1Db70gok6LPIij0D1O2XZ3IJo6jRzb6izyi1VNRffBLufijgJNSDm+
61D3OpdUO/ODrMeh+UZDsbUuurhEmhcldAB6ddWk7ZeUPXfFuLyqi0cvK9YOs1VZdg8TuIPp3Rqi
2YiQWKHrC2ScpwZR+gx+BqQ+MDT9cJgmn/JX19JuxcqntEvnUhQcq/so0HQQWt5RxyY/By3gsKQa
qe6jr4oUGkHq2k1LsfEUtelw04CE05+R+Ru8D7LQi0dRt8VvFbnpwl0iRAhCnt9IykWxxmCKk6zY
qhWJmXUXpsVqQ4VwqcpdzCyOYSN1fjWhqdEcxlDFYucToK13MeKdNQef1Oq8X5YBdoqnXWe70FPD
ukTGGgaMVbvGw00pl1qsX8Qn5Qq9A0Y0rRdRCHzr6ExO4h6iZnYAcmmA0GgnR8K3bpq8Lr2PtGKQ
yz/atJUbEElodMx3s55x34HPUVm3nuX16z3sIA/BkE5KIC4KpBScaU3duzkiOByvMwVHAM47mrpF
fgQjn81IwngBflFhXgs32SrKnRh8OWUWVI8Jpddx3iFOu7RP1AvFgKy6wp0ZkYbe1/ZRR1Xr4/WY
2z6dj6i04D8gcWLl+XGUDWFt8pRgBaxpA9VBPrjICfj4vsi9FFpgXdu5PEyGZMmP6BsyeySdW8jv
dQ0SDjg2x1JTAmT0PyKH2jTerommLhqJp2gr55S/lU80BhaHBdPNi4k1K6vLiKA6MY/mWAnZSFjc
bWDCx44DnOWA0KHZ4UrfNhFmamFrGh0y4P0xdG3RN1NwQaXcIiTFSRvvnSs/QdyCklDlx+56XJTi
Mw+DX5voTwLqZ09RmYOi+HYBB1CEx6EtU/nJp1/FrTiNpXAyjYHmDbtmaH22SeqZRPZBbjFKR/SW
iIInm9jN2qKD3rCXZQEA2onOxxQhMyKA4Nn70ankKk5IQxWERBVEP/aUcihtHpS4BIkCZCPKzmyI
ZeFyRk+B8AhNsEDSDFBTKXNyQq6budMuThTXpiwLV+7D6Pkt36ujcObDbID2rKXerxFmPPZhZvbJ
3FMFPwITKeSOqqjpne4BNKiJV8H7sdsgCdLJrxMyzPVBupmqLuMapKZzwMXQxFJVo0zIAm3cjJGu
K6md74MFmAwZj8Ixkk2ch9QNNqrBedDo13Q+w88eTr9uT0+Eco8EpsAp9fME85yaccxBMrGjyXAy
d+8I0JvWtqGqH9ZwYTBP+V4MFgPLNpOZOxh6WOv56R8jsbYsoc3QiJWIVFW0su7qUks8T3LaLgGI
OMSgGbLUJg649cs58j8VncPNPL9GDkzHuSf9G/Rd0EYzTyyyyuEdDf2o0DGuAEdgrLROmY2u5Zgr
P8tPCez+cjpDHUmOd2AsTBTrrKgEzXt4KGOanDV2ZYIKW2cpIfgERJpDMZAtk6WkXufM23SyO6V3
Xu4SpYC0NtH8WDdd55/Qae/H4Ab9TXgNlzJSNveDqYdZB0J0No86grsdYaJ5Zom0JQ3H6xXiGD8Q
0aomUHMKUuO0hbCNsmZEF9lFH0EVxNnx8+majCPQ2e0AspEFJURDFIjKqIk3tTTzMSqyjMgazSFS
7WgFmbZs+X/z00Ql3XozFYHiuHTwE+IMSxJlQkP6zLEJ5kVj7vZ5eeRQVrhZEHW81K5n4ysvBXoj
8ZcxmOK0OwFCytGCKlvmQoHFNjEB4g2IaPHCi8oNq6tycmKMZeOiDxz0snWJYuqugDfJuwVPX3It
lEh4BLsZU1ODcUxoHY7INdzGKky7h7EbDIqyz4cG4im5pScuvcnR6FZFtPWy76XtmiQwo6/OxziQ
ullGXkh4SeLJe9aLvy4XYnLJn6QKl3k8zq5o84cxcWYGBRC4iXz62B6JNfo66HhaZG5yAoOfGXGw
VjRZD3McAw/a494k+ComZ4GZY1nW/A1rPbwhbWtESEAkTUI6MiZd3GPrLRsx3GG8IZCIsiaH8beS
0CTdSgYmCutmZD/owoadCeRjsM/jXdRHhpmoSwq6NYQma4Vf2OG5SIwS+vV6z6ibHXd1WnLeMwQT
qqk3+QPTSfpcntIeGix8bMOeLE+N8mdNP1vNTP0TIFrkG5Yc3Oa356WHtoYJrQqrDOnfQg4u+hbe
5NibiVFNpixmRWIxU1LZwVS9s70ZiBYDQlMVl1XkERhI8AVmiZMtx82VlLlH8LqgRXGMsIEb3kNf
XvuzYECE9hT0LjkFBxsucTFJoMZT4iAxG+RjQqhj7FVZW5lI1K1cdvHt9Jw1znkMkfiszUaHTYqA
f5DwMiZ25z3S3yYLfE4sClD83HS9Ys2Cv1Yrl7RBjgNC0bk3Ag2n1TWlNrN/SqqKV5o6g7n1ARk1
OBgAppBO2OMx7eVXqqE4wg/iArDeLNCXmGua12ghMp8DMag20gJUTWcgQVvlQdS4W4X75XnnAAhq
Al1gAmZWvl01+hc1o4BSJ1rFoWtoMq9KhsFcg4sIi+nrHGmTZxoHsMTfWUDFi3DTY3/NK337kq+r
apSpAtJTSEGe4wYETi8rh0tTVYGtpf7qy8l0b56nRhFgD/Snp/v9UmCUiHENvIjiuf2qSAmTsVlH
qhNfUy8y+1MN0AahqJnNmr3r7cf6UQ38tVbtUKZWjgAO5wn5e1eqtx1YakUuvs6iHEhkhqR0mYm+
9hKWIWQfh7NwlTWbxlB5fk8RZUQ6Ga8sjV/DNVUI09kISXnN3vO8M//sfVRdbFKEiuY+ZwLKJBNf
vX37vw0V0jM2gS1yA6Tjrm2+/0s9d+6iUseT8h80+ErugwPKpIUcrqRQb1/qtzmH+CW8K1/SCQL1
9bp0TBiVumhPNg9hAtVgOUVLkE33zqrMEpFRjJn4Hx7udQvF4cWAZQPJRX3c/Y2f1bU96pf0Ch7A
a5o9SqN0t94MKTv7beyG5syKQuJ9gomFr58wlLS7d+x2pf+MZPw2/5/4CTHmgnS/+g+MbG7qtNL9
f/3n62Gma+oDwjVdVZYbtNuXwzzhYjBOYSy+UJMgdcQliioVooUmnf/3Rtn10aulEWsrrkZx7FXV
PCcwDAQibF8Q4FL5lW4Kc0ClGZnaaUxcEzW+fcGXJDgaNIj+UnamyevT4aN89PLRgHOsbCZL96VD
qJAZ1InIbHNsigh3okPVFjPajYjdJSFYdiw4lj/0bAzA+UW3iFBLuKGN+AaKPTz6650FQz60i1T1
pU3sBYlHellrvqfqkYTZ8TlsGdEP58yTHu5AWEI+F8UtHxEYsS8lZKrkbHoenDKD6kC9yrcWVnEN
xplsYcWrmyOhz6f6h0ShtoIJ8Feu2a3V5JvDckRUbqx3SWSz8DeC3YlYRKuB4pEzdTMWveiPVxkw
ihymyFlKaxnThjq3TGzVj1h6LlurcxVZTJ+25jiXTUpso3phjnjoMw23pZ4L9D2hPbtmnoOcooYT
6B8Rnws8pNlGWYmr8MZGepvxD+IMquu5O84ww7H8zSnLvv3+Xy9r9j0XHCmI0tDF9+311B7ILBLM
JpbPddKi0XGKG4TU6l24ahMB/CxZv31Js1p+3XLNVotqPz2aACyAMoiDXzctek6Lbvtg+hzG0tQY
AUjK/AoFFje3ru0eZ84In0VcbpvD7GDzThG2KM3dvH0br59cCOnBhAcsymPTeH91iFayRbvW1cnn
HD338jwtO11+dPPJ7S7dXl+/fbHXk1wQnKFmEngSj9DA819NcgCDMdq2ff9lbJtsvfczZaZFljUm
snr7Uu6rJc2n45CHrJVUdN7A8L96sHiCooblo/ux6jUGOsZ6ADuBmDIqmW6aTZwOGxreJf8oCjbM
y9kX4T2hsA/b3hgsUoIh5TH9+2YSBXGos4LtvbPTmAwlUWwC35I6S0xZa7ZMGSDQgLGSszGQpkyM
Uj8/PVqO4OGs3OcsimNE1dhWRmTmyKoclMXaM+xw0qU4oJcIOe/tQXg13oxByL5is049BVT69Rj4
fqzDUg7zx6HMzMkc1bQqMFWdajLnty9ltKF/nc/mnbJ5SQAXkmNRvJ7PuC1RU3W86C7w6h/XAuYo
rw3M3hxNbPVsQc+99wKQDqOAh62pkv78qhvxIgTDOtkMru8pU88kF2zY6dyyj6goWAgBWutlz1KV
dLCaMp+OixhImPbYJpIep2hykZb8bPzRLTJNJKvIXNbOGtgr3xvr0rxwJFO4ivWjE6+eSxOjQwUU
exw/MW8yc4haEI0Y2fjrne5SU1j+2UJjRTJ3M3oenHtRRJVDbBYHz6P6D+dt8PL1YXmAtKeLFLeN
njaEltevr+UJENxrom/FKNSnrKt89+DSHj3JPGg8avyJPqDdGyISnBYRHMuoOpVuXtyPcWqPGEIP
FU3TGK0Qa0FQTSa6/RiRv/Y3xdyPyTYJRveEAff7klbbt7HxevycOws7YHo58t3oR/VFYqf9FSdS
spKtJ4iFWX0m/l7pI4/nqF/AwGyKEKkbqob426OWTXJQzPhP9GF343Eq5QevsMSVWrpxp5ul3dMT
L+5RL/TOCzw0aP40mnJenU+08LRTfAEHgKbbjNnOZlhb29mJplN3LufzQ5NgNb2JOplQwoj7/ojZ
XXU3KTHcp0IgKBjYllfhceQ3n/Mh7B8Lq+k+SK/vCYuQvc9gwx1oEyzNlghIzugphikgUK8c0YJA
bXcKRwo2SZb9PQRSUjVHfwkTja6+WzGL2xF+WgnVPsvbQll67+nF/uoiK/HFUStEncEftsksy4tc
9ekey6r04u1F9tuEIPwy6DQiFfpBv4HHBr8Pwet35SOaluRzAvkjlOcE5k5/2D1/4BL+eTox9cin
XJd+PDQHzqnXudWMtbg7Ald5dKaaqSRcdtENSiZOupuTQt2iUhvdpqAnm41d+GGzEyNWxEf4OkhU
Fxo0FBg2+a6TXXheWTikcwzBe6XcpiFOcaa7uiqbjasd7709ZtX3chDBZUXV8j1CJu7fYUb6hgy2
A4I/zuN3ojQSyZYqJUWNnBYV7AbqTV24PGKVqKmwD93BiX37wZ612K7kVf9WiPBjRH6MPmEaJFP1
GspUU3pTLS6pj6yV+SZ0I2QPZFFrSFmdLT++/aJfbqbPF4PHAhjORS6dS74MDlAgIKzuwuoRhkUJ
Pmu279DpdPtNWeZXoyeMwVtcl1i9YIb6h1j4FQiPi5swgDCICSA4o1+HBI6l+tlD7OTRQzsRBYhU
JEdRZ8VpXueHCs+tz8IK593gxjQ92s6SJ68C7717ewh8c0C/mILKgDUNHsQBOCbVqwAJYkFJ+yBR
j/FA44ByGl7Vc+CrcNfTJdG70SvRCio1QqSp1ZR0e+ryVFO3uhobOWqw+rH1bgVnfULNl8JZF4Vf
SnDoOBXl1lW6VOpyEYB6RSnuqIEW72qL2YnxGfKk21XPtF0who62qgnVLWHjiBecl35fZJZeC9Wk
CE9Q8kxjRMXxBi30ro764SvWuAO+Gm7+3qqQiET91pkOwtUTLoJdGt+hCglzJGltHgBj1BBP+ZgW
gMrajEYIZ+IHxIDRv08W72+Hqna0oekAq/rtwTVj93psPaoLeDWQzSqjIPhr8InGBe01W0WPber5
11YrsntU6hdodPiIXTvITP4ppXNeAl+ZVYo0C9QteCQBBO+15wmWLUVXcnQ+ZU3mnVM2gzgdodN0
QaESr1ebTWMn/Lh7bIRd3KfxrC/TNLTfW2MoDm8//e8znHsJgWUBjoIR8lvlSLj02vJ5yp/we7GR
W5vC7Cs4AmNVUFVPRO3qce2H6ExW1ldE8yaU6OTYlH94Cf9qSJBGJDATYCM9ss+XbwEsTl/2qyqe
IIMgki/7ZLmR65AU2B9IjRvcGN5hmzscFokFVRNG8+ck6MbmhIKyc/eHMfkXUwJqHNVLJqeh277a
ctZymMZ6zrOnWNnyQyud/tYtcFtVlA4vOGKG66Fo9XnjVeVZMQvnSleKMwHFxfkmhZQF5LWaRqx8
B/EdbHbrb4I2zT+8fZc/rMdeTlySBDZfN+C9Sec1jLObkE0KYl5SPNMaouJSR18gSiAx35aLv2lt
N6c2VdZo4WufKu8uS3DASAAyIxwyheGWVjVyV10t1SdI/kgqpwvNj8rqkyssq/tTK8R8LSG0nMVQ
Tz0k4EJ3Qv/Uwf4UUmyJUKoToB1frn5zRMe8OWS5tq5C6RjW7KSsyx+vcUGNoMKKMG0O8UTctcVH
M78sadCTC4gSMeKiLRCmHqeM7jvt6nt/pKhAFNl/0O5cnSVlgR93pwA6GQVthPkk9dobEaYVzXIg
nti/z3QEtSyKeAufprmamrDvN3WK8/KW8auRkQ8U8mG2jN2/sXlPP6Fpq797qYucVD9mOAC8/Xac
344tBXtb+CxxMNMkla8m9Fji8Rm23vBE1buNP3K6IYdNJXHZDL09XrtyzOkp9asMdkHn19+T1VbY
EKAYMB0RD+jvfZhml7aa8o+YZg90SDgFDjCcCxZDjL6e19Lufb7r//ULuluap//6z4fHMq2Q7yFJ
+aZ/ZeCbQgdJ8xvKsU/Tf5w/df3T8i9+7SfbQom/QhuEUegBwcc53TDxfxL3lf+Xz/9wulDGE4aI
/z+8fSgVUHBxvyI/VeCHOX7+oW4V/EXKir4V37F/QGb/LbaFeFkFAE1K2qSIl/HK4rADGPZyi3XZ
Pksx4AATjjiRbqtO6D110C6/SKLRv5jtDlZ8DA3ovLbTZMCDrtLvk4bG3DHPHOTAMQEsyk2Sh+kW
J2BKBkaSw23meBsjqJK+D8H0H1WOIGMcttl2na3pOs6dROwcoE13s1v5n0DpPRTOgiJ/Ud6NLfw1
ndfre0DId3UTZ4Q2DSzcWhZgu+go9psO5vAVXR2YdEEWOLc93X5gatr+FOZOJiFEIcFSVVN+3nej
3tdlAH++4RcnqSBg+mq+LmdEfxzLcW6j1bX2ZW+F3+k5ISFDgw0J77FcuzMsAspu48158yBGR+M6
j5TA6vUZSFgGilYP6ECVfOX9k5pbPb89OWN35ufdils6hmk16L7hbM0zb0sWxi/2PhU7NF7A14Oi
Ccvw7zED2IDhbmB/Ilpbr2QzhltiX+QObDh6euq7s9EauLoTTKA+MwsTp1QjLpvWYtgkOuz8jZem
LsZkyMufuixAwtNtYuvzMAj/A2zNEhPzQTiXXdCH9nHyneJ+yQscncYYSG1X/iDrzTafhp3L/C5o
Cuv7mkzGNbGNzqHOJI8W4qjXDdZDxx/315u7YmZ3UN/4+8zFl7DaVCW+DtRAqulgdyTXw7CMgEya
9YA8pbXvAS3TzR1xnlc6dS9jKjyUKnDZyadLFP4ScHOFk68nyWoVh8RXeXoUq6hr+KCrRWJZG2pJ
fQa4CJ6ezsbhoNPY/YSrcoAxd7ME9pGpsp4GXTIXgiY/p1mNeFcN/ZfN3yfrVL7/oS7X4r6zRPEh
abrlU9sk/SWQmPAuoyd6SITbSc7LFnSEP8QXUeslf2cLZYwC3uaF1fCyAX3mckP/m7ZazUNm1JL3
/ur21dGHLLXJ/VZjEhxquZmRwP28QhI8Bl4fHknqxfdJiokqblcC8nHEOoN3dLM0Bxlo6+Q6L5A4
X0NAjEC6pDu5aPwiVUl62KG4utdx3t9CPliugCBgBYTYG66idnRVSuiyiG1MwZEqsXPoikTc07jN
j2UwWzUt/CQsdrNOy+AIh4aTtPY+EZoPl8Bu/kYxYsm2cDgnag4Dah5YSxRXZRwhCNQ7Uh5SoNlb
gliwGjbiZ3EUeOiyQaV/t65FfQNHpHzfYwJ6wHW7vPFTzzkf4ircYPwQ79Fl9E4reKw9xbj1PPFa
NGlyd0Iko/DFx9lBpxbsfADJupMsVECuG6/PWRguOM6tmqL8UOlx3gOxBU1lR9m6HaYec8tG9FcD
EnTvZtC0F5UFB1qDCdqPCRLIG5tqurH1xX1og4qPd1lgfjHgUGOrTwjqp1eR48TfFqThIefVZ4DY
5G5tkLaqwPBOFLpQMd4smZDV1uZ3HtY2ZNFbWTdXJzLM9kMbAlDeTyMOzkMyipRSZrV+nP3F3q8Z
MlYj5Znz1W7qe0v6+H63CjUDgc04LXgCJmtf4TiNpGihPeDqiP+j0OUDAWSjQCK6mOzdKDEomqKm
fp/MK7IJPL848yI8gs6aslb9Tq5Iqg0RCRJspQE/iynIcbyp/JTnb8GHrYmqUdFE+XLbFaiRSIVu
GvWxLt+6XZldjNp0JsaOrMamHJhuhERIuwvH+ZjYcbWdlvKhXu12D6fMPaujVl3XywAzNC/Y/Ac3
AdOK54/gEog4oP2/djddkOfnqhopXU1s5sQ27Eq9HKLPP3YWyp7R93Au8/OiZoW6zurYz6uoQYH9
wwwo8Z5oNthhBcK2Oro18aNaOGGITasjwILurKkKFFpobbq3Dv2ZXa2TboaITwVuCzhoBRc4jSTo
kxVW15z2y3Xf5RRM63rV+36o1qsOdspzDep/w6U/hUu2F7wZLl09wFd/qB5fBEvPv/SPYMlHSB/x
TimhfoJcMMIl/wiWwr9MrCKo9JLe/BosifAvRdcX2AGCGqbRLf4ZLKm/UHY1UifwE0lU+da/oXX0
MgE0oRL9H5v8DxImMdiPDuUvXXScFLOuhAd2UrHjr2j5eWDp5nj5WDrzSLSDrfkv0eTNc9b2/+4n
/7igQvmUfJM7p3/wKlvQVEK0tcrlhFVd9962xnErMYo5vn2Vl/3zH1fBPIBKludLQBuvq1naJ/No
/WQ+0W5Lj5M7t+/zuhu3qfKaPVjqYuP0qDgjJmjd9pP6E3+U/vGLWou5AfZ2rGMFBRe+eJ1YEyME
APWVRmZSFvNhnthNYALaJ/CPweXsJt35nM1df8RjA32HBh0IIsAmtdAPpxr8AV1BhMp/SDL0EzZh
m9jhgAg4Gg+gcQwdAMR7CcHXWjGPbzJJrSuCNrzVwbJ8b/WS49AR5LsVdOMp8XyUJkBhnJfSbz9F
absckSum1t7EDgp9JKi0ZiiarCcbgPidFG5z3U25c+fO43yjxRCdT7JvHoKyTG3yznHBNIQnGlH1
4yyGJQ9zoLqMHBpqHfIVDh4BeGzRUq6/0OdqPjuxzS9Ocxpe9i0SAZy80W04EhrSHmqMFoSiNLyN
yS6dLUewJ45uDALfnHTuXq2pe7egyLVTc52889sV/y4P6Bi6lW6xaVTava9pl8SbUU2UhbXCckkm
69Uq5vQUYTOwgz/WnYMLbt/3pTZaGWo+ytYpzlq9cju0kO4zuxzv22yVH3g7aPn1HGmVi3LrIOf2
2wK+ZQv4jTmEUyb86aj+PMD+QsijqeyTnAhtybsj0H5VeCkdzLPbNlm+03JcPtLkXj4udtf/LZFt
voSjjdVkrJ27oeDsy/RUXc51HV6WZcCIYMKNTIRXThTLOPmwLULpAw8HBPsnept7+OD5bUPYAzsD
tyhEELpvXsSXpCCO2IISX+OTNdP8qbyhRf2V5RxYejnKdCjOkK5srhfVoDKPDkiy60XVYR4g++Ks
6QOUR1Y/3ynPmo8WdoG38eSAwQ+S9toj59oWAM6echspiErr/FAWts2m4dRf0rkd76MQR6qwHfko
YdT5S2RinJknDieruY7AzW+l1frvLFCHWy/kWaDKhRh1JeV2RM+z3CCvND6BG1uA07reu9jjTURj
GGzgii07iLteuSuagXHN4+ZBodVBOwfvi52eLTLiOomiW2lH7Tc/tNerakqWj+5UpscKVPiu6Nr8
QCSjH+1MOnepl07YbKD04ViMbR/zHg3JBgAGU7So5vFp6Xj6NV9cBHZX3oQn6+XoOcz/Lh+bz0Ws
ovOizz9PVj+cJ2lXvouD7zbORiPl6ZI0oI8wjEt6/4uNUvsnqFfDfQx4Ktm4FmmAa9ew773iCzyn
8Ul78COazGdSzvj4zYDir0nt9IFYvXkHPN17FyKG824ARn5XpX3zefBl/QUUIrNV5euhc6P6iyj9
BZ9Yi3AjWAIcvfAu2QbVVD/EgcLsiYovpISOYPDHwwUJiwA9Vet2Buimd/D+CTH+m70z244budb0
q/QLwCswA7eJnDPJJJOkKPIGiyIlzEAgMOPpzweqqk9JXi63+9p3LrvonIDA3v9IoumzbLTsOlWt
7q36pSxCb/XwSIZrETiDSPYtPgMdf9eY7OwxUe8yR2PGVZtRBDcR7vEV7Ms/pwKv18ZBeXrbOkbk
Gc9e5uuZ89JXwFLvieqsl0Qviyza9+ZcWnsqirRyA7M/dDdTPYQ2FXVmZ11JPaKF2hqnJ52FK6hA
6xBgLyasup6dLdehTeECzArFrmPL0dSVtziYWKi4wo6Wlt21otHu0W9fNbu7pXml2Hqxa9/Pih2P
5dm8pXHzIbTD2wJofE3ZW7RHhB8fIFefGsIdNhSkdZvOmr4lXkHVRd99ZLFRHMj+pZfRig8xvQvE
EXTyXBX9sMkxWgZIWtsPIN96EyX0abR1SFOn0o/jjBRdn5QbkC4UrSMZJbcW3Vc3mi/pOaF77eik
3lHL6ARJ8rpER+OH9QGvU742tNEKarKYV0VCyxve7fwHusEWO4hduruuoV6TFvsrZEeyMQrNP2EJ
lTeNkw5bJ+aGrVPq0+iWotTY96LDPPFDGnovDqLUepqD6SCTS1pONWhGIE2y9nvMwEzNrgzQi4jT
gOdt30X6g1mE/tax3Oasl76Zs8eM7Tu+hgEZYe1r86qY+Q1XUd5SpCET1K46XYJUlpwRYWNHM0R3
iGgnWDMXOBRahU5NS0TzblZDt4toQAXRrRNaW8kqXsXG2G5SxCtXhAj6CjF0s43Yu6naybR05Xvj
q2f3xNuY2UgWVUTEa55lL74WVpR0jA7xZ5hSB3Z56RGvTKaVC6vGhGjW90xn3tai2MM9SM5XsZ44
ROgyIJe4WUnuqxsrb+RpmMMZB6UwDsYoyeSNY+6qZhNFANBlxRU4tTodG44an+bBpLEnLXqMfuV+
yCFLteqoK2d+k4RKHIypmB9lKqso0Bsfms32sViE012SmfO6D7v6mJHQEzhGXnC5UxuJbQRxGHK4
e5LKCC4LyT1cRewTK0GxbQ18tdF8ag0Gm0JQ5F/pV9chi90T07C1wqlfYenStnVM2E0XFfe5rvEs
T8RwSBL0ASuLPK1Ii/wvuRfpu5xNF/NMFdPHMIYbfwitGwTxFgFIg3aFgPNu9XqejuQB9bigbD+2
NrWjiu9WVN/GCPDP/tga2OKGQYF7ozJcF+hKbyQsxkHGBQUvSeyoU04UykuXupO1cm0aj1fGQHh6
PEX0vKR6Kr7LoijyNe5KZ1yLVPQHNHo+Zh1N7To9t1+GvKOtEEtMeraI6H4vzNQRN3pj9XTc60RY
2y8+AvX9EKNbXomqBK9C45xt3djuv1XswkGbD8tcIOv7cWxzytV6ZAFeXyQnbcxJIgknN3W5/Ir4
gCRNnf26qaxAjU2TYx6yk/1IZXkTpBgtLxPeiD11q/KbIT2NfVNO2fLbiNXniIRrnOdQTpVSajfl
GUbZ5nCW7YeXhIAnbH1VthVZwwMHd9D0o8xzuqQnLbySL7LcAxljghuiD1lHNhXIFP4WQR1L+zIn
iXbVSKvm40LebskcyxCGC88OCoa8eG05o/w2ym6WBK/xI+kU7q2QktfHn8NXTXnjI/Bn8yFTN8Xh
TrUgc3IR5tiaJvoHGUOdhzGrGcuWgbHcGL2VwbUY+YH0jfJMB8y8t0QzrIuKzDoizAjdL6RBDVxs
Nzzc/aLSrmXkI9wwzOgSFUwape3I22j+fBd+/dXU0JUvkXTLoUxm3w9Umt4q8anRPPh1rd9xDJYf
psQViD/ZIcyQMfHoRBxEq0LxdqZGTrtY17ovMdF5OBhrzQPlwKy0iyDcTugO+PwdnegRKtpdxbD1
Ihs6jZppGX99p3px2zE/GA0fwYws/dErxumHN8H94vyvNmWagP4kA91fkx0ujSHSzA+Z4df3f7/D
/MYU/twhSEhAkAFqvijCf4WxlYFTDvFYu480oz6G/oIQuY1bBnVaq3tqChjvTXCbnh/mtZmURyx+
yZfdtfa/W2h+I3l+vpflnYD1o012/WWP/Mue2FUm0fFp3e4tOkjJjZs7+wLuZWwiisOPlNIQk+/z
zbYROgkXDGmTNra5JyH2NSIy6Ep5UX1szH46oZ6vv3adZV36xBifBibu7b/54liO/0J0/3yzNFxA
snpIfP3f3yxS28ztNbPZg/6DsjSl84B53w6EnsYXDXMw7ewuF5jec8Vn+HvXgufUMSvH6o2O8Gbl
WgxBf/+mfosUWt4USjnU48ubQuTw++IbdTXXSBI15P2aNaG3Pv1ljdfV53nQ+h1GrHjN0TxvJtPk
wRN2TFCpZHl14+U2tfrsSq14fTRzBySYdLsPpDfuvedEcoPpbsburSr65FtbW//9O0fl/U/fp2sa
HuAFzSVI4X9n+OxOM2U+DaQnoBkIKL8AG6yBaonIpHlLJuWwJg7A/YGIp98neI63pI+8eamkzzwy
N4nNuKTZQ7TugPZuemVYL72UJUgv2KYQhflqWODxNzKSZX9ScewRcqBTNW0Ro0pW4rQrOEr2kZ/Y
F5Iw5UaNBfNqXvhnBsh5W47mdLJipnlVd8O6Wk4Yw+q0K9E1zoNmu9OPgk5OG1uNRVel2XDGOpbD
3Ism8tB1HGBxuCieWJbZS6KMf2kGUy8BM0lD/jmrU75T35cQuJwp/jK2U8P81YeZXlkicR4sM5Mb
YwzlbYYW9pzijNr2OpADibH9FxxDUUwSoZG/KpMKumObY5o9Y82O+JISGhK0sWnHjR1lMf0h0gxz
bW9itzcVrEmrNcCoCHOML1Vo6aumNmV2cLFXRQc6UaiOmpf/ImSgD9ei8WgdCwnq9GiaZuI+odRr
PtzcHCVPY2Z6JeKULqow5hMDZVe0edOssMopWtq5I7WE2sSQzzot9mzfHLFA/M8iZdU0St2m30yj
oK9AwXEzKhY3L7bktyntsq1KKP3ueqYrkQ1ckXPLQkESSfelTfJXV7E/zqMuX7whpyhUTQnJg8t3
54PtJsd55svnoaNdVWoQFMmD4z4z+2QXZjGHHoGeOUVsXvU2gjO/WRN9Ja2R06LCbZttzdZTd2yi
9NDjy1t1A0u/kxO0W9IU+TyOOgU0I6dRu+x26OvzIC5amm0sMrmousmHbqvPUXFQTcrWUrqEeEaJ
e1+YqvsidNIfsWQRqtsoqnEtNiypf6ZoljNPgLbSm2cjBVCq61zetrTDcAdbnCbYlr21icrd45+t
1g0qXHn9HvSevEv8196a0pj6vSpHvhX4G/x4zJuwDPO+jHkmEmgCKmcMPHIIUuARij943toTrF9e
GPXXYXK9sz4AszQy9s8R2ffHZMIP65CivVM8QHclDZ/QVWX/xUN2tSKBIdl5CwKEREjeFhn4EElm
IARDOf/wuEvnDZwIUkqnuOtHV35ru5Z1W9jRRS8txGhDvETu839aomu+/3zXo+UDYhE0wYVR5ctv
YA70ey236ric7wIujHRfHlN2PXbbEXgeua0YjA32U5CRZXlNRgrW1vFo1feiVPwyFUXoH5/PYllS
M7ZgPdMpI5kEyYUawHVMKBWAVT5d7k6nOXKmm7EHXfu8DI0RCIbLuxb7sdOmGysC8TAJZrv/RHxI
+yFojsaDwCHkBZUrWzCtask+txiocsTO5y507OATHtAija/BqtlsARz56hcgb068aZtJAKEhjn8g
aZ9uZm43yhdoYqEfcwQL8yLQKyHH7FpLayxWDMA+ewojWVe54129xL/H5MXMiEgEcZUznwjRvgGI
M3MLVv4ABEdUMPAfxvcA6XK1wSMNnAFwN2w+mcloLOyLkTn2AwOPUABfffPcpgpEcLay+utsWgBl
djvU71EK4tKIdnoqSYoi1EPlB5RWy95ocayx0YfHT6RG83iee4waKigJOCpXhQHYU88ccabOy3/i
N58PyTEDuy2r2DpoQvsuBKK9VegulVF5wbBUNyLb/rw0sQJuce3mh7LSw6vQ8/IsKyNb1xjvzl7b
1F8rHQxNR7UjV90CJw4kHF16i00riETL4a4ZzUeV+9XrGDHs4Cz2ab3mnK2GmK8wtmv1LkqTHyTL
On3TsD5tGsI29lhd/fNyPaNb5Bhuwqo55U0OIuknLjNvpvhzHqLTKUHs+xgvqDdzyfIUYEF7XUJK
OSe65qOrw+qNGIfo4nbwv7parp/MYgHgJFrlDh8nXNCvz/HWozZqG2Vldi0GcixQd3Iiubrx+Pls
0KF1jp1HTK7LkQ/uBIjaUxNyQcBo86gYfO9c+4wh9ZQZj4OCjl2y/5EyMQlbrMNB7KT6I7wSGdEd
PySS3vww5YLaasg2es0ZYovlN8CxRR5uMyiSC+aK4XzQOc2sqP8yDYzJGOa9s6D98FErKJoOOce+
Vo0nX2KkCUfwCyf4hASRLFoHzyDsPCrjYZ2OjJ8Np4kMWHNIyMYetP3M3+1alp2CG3vX0v1DJi8W
pGASffVKiDMA9QBmTEQTq0LL4GziDVwbgMtIp5eL5/OYHZfgVZCj6aQqK3pmq5+oBDKWEq+iIVV9
VOZ4pwBtnqTL1K4RnAHTh7r94gqOt7jnPsp8k6cWCj52PLq8YdPDK3m01auRj0VywNBYHweZAyIu
RyVZAMZGZWZ2mT00B7mT2KBeGsRl7fN8iIFMuCdh1tCQu9MNSij90azd7rtbhuOu5a2vSgY8M6DU
kfEyr+S3plCMHDXNQwcyR1hiZBJfDMxefW/zrc2uZh4ML+ZWwR4/gIAItqF+qL8ylRBrTC8LGZ+5
qHzmls5ObgeNeJLVUDNOVBXx6iQTT+u+4wefPGjBzABS//zHzxuTFBoeMQTmqHd74JkqeagcShSu
d6OB1oJ+BkrF8W+QlsVUGbk2hwza/+hiSXe2MUsk8w2Jomxkgzttxyb70Vlz5WzihgX2Eyh2G/lq
GWymwzIFTGPNSiaNudsBJPCJh4Obp8O+86yXmQgIyHyG2RZAZdPZLi+WVZ13bMO2+q+y6/8pQRcF
nsGG+K+VXV++q6Iqf1GD/fE3fzKV+j9wDJkUnnCxLzUK7AF/MpXmP8CVYBth0xzyfxxe6c8+FvhN
2ls+tZnYuz7FYH/ouiwDFhNNIJYk1FgCA89/QlWiD/vrVkcXjK37PsoxkxdBJb78739ZQT297+YE
XmzveUhQC7aEFTH35s/L51/6XX9VM/KscXTOeIdRaKFq/8mBHXZ9bZhVFO47XCYErwvuXG8EV190
GncFRuFDTtq/WkO3y5e//B53/8yNLr/XXz/i54sTUAkby9eGJP+3j8iJi8g2o3Y7ItAHhEqBpfSj
zuvagv1PZwKNqIXB514m5rqZp+T7qLVluXGUY0Jv6DOADjd22+PSNmutPnbkcF0aQo+0IM1ZgVty
pjZNFKE0a9zwWjj5sP7/+BA4K8nPhdvmQvqN4RXKkiaSL39fz4zao0XkfqEV1iFxh+mpNmF+Qj2D
FNAKnmk6gZUvgw+SZVfRQl8m/njnlMZ4xzPII0RoTnZUL7BLeRkDEplUW69nKiqSrt1OnGeAectj
6+8/w6/+yJ8XgUdgrO7h+ceH/ZuAEIwVAtcd/H1iMjUqppoVIT/Tzq3+XULt7/z7crnRf8SA5ZE1
zOj360Vt9zq4I7YW2A/WrU+2mjyT+qhaZmtm7uI/pN+X10PJjoiJS3yxmvz6eobelGWh5bweSSb3
nCgNsc90BfzH39/i4gDwALeChf/t+/MVx0U+aN5esbrsPL41iYZ5nzXe49+/0GdR6f9Kwz9/KRuv
HAfTci7806GQRsgRB67BvYG25jAvbHHsc81MEz/cxPYGghkzDVRVC5m1bAfwVNnaSplBY8Qyp8K2
63s1Laij0zPbSz1hLe7Rr+2jpdmFruVpl3BtPvURU0lgzoK5kAKlGQ3lslNQ6w6B7BnJvmGMeR6c
Odn//Yc0PwWrv3xKwBeoW/AjqlV87LS//mpLs0AXz2rcD6mpk49d8XCNwuag1SrbVqDFK5D6H0if
tLWd5RRpAFjv82IpiNZly5aiqKUmjCOhfdNc104pnnWDWEbbn6xXdyiKZ7t2NkofjAedbEA630hJ
Csinzh8NkfnbmGYGklFIG4+j0liXEfxsFm31lFAcjrNs77S2fYk6w973LIEnni4xxVAhmrDISfZa
6U9svglBi4al7xqz8h5VaKeHVEuLdUkvYruqo/A95sETFOjjDhYxGBeZ44UhZ821zgTf4TNjIdvI
3oATsWQXOJ1T5ZgHo2qfqYqOWMhNmDIGsWLSLtjTpo9pmhpIoLjdRFlr7uzQShvKz2My7DLCyTQM
fPd2bIpH2TXFsxvF2Q+px6jsM+FPkGgqZu/EC0emShmPX136YtZuYRAB5PtMdVM6npHOORcyXNjk
vQRdoElW3qVry/ob1cz2m6gbElV8zD9h9l3LNO+G2lhtbUUJLTGuOlL+xbt29HoDOngYe41UxlCG
K9wAA7k41Mzgfyt3qPHOy/e5rvJUBrh7tCVwowGdN1/sGEmfNcbiEGVFcSbvdnrS8gwtqU7zya3e
QW6vJhIUIPkpQk2LAXFF5XuHbrbMNxU6zV3K91QeWojroMa2/5hZ5LpIroieibzDHfFWkc+8he7U
1iYuaSQjRqmeyqnpggpPDT8N/RHNWEX7Yeq2cWzeGyGgH2dbf2iRqqzwW8BPqtj4MOHE1srR5f2k
8huiWhH4sR+h2s27dRcu6ZcFjSVKiCM9rBFZ6Ja1Sv0xeijT6IZ15DUmf21P2o+4hvpMaK1ynqly
fzOKslwP4DeBljr+l9YOva2plH52x25A9MrqXfXzGBQCoUiX1tqKRSUkgkiLOaK6IdBJOaDpoxpP
mheRqEiybTCRfv+iyXjizYzhlnZWcrGzRbzL+tlzcfWDu+YxlG2TyHMwfwDmrYkaNkiOarSTPVfV
udUqAVtkT2/p0AgKOxr0KZjnPFo5jFRe5krwC+mNXp8movwO5Able91MgN8qbhdHmyqRrfzamLNu
g3A2XuFDJ66/jcNgFGn5rnor+pqGevdBKuj0FYpqOBZU6B6y3ifmOJLWWQmNApE2C6lqhEPrdO4v
bcrYtPNpikwUkm6jH0qIlrle67VTbAoRFdTHz+OT1YtyawojPghEFxsrh/xKJ2qXfLMjdI4wgXOC
8Jya+6KluJJ/TMsuk2sK8eqjL1lrnKqbdpoDsv4JCIQpAoq+VUN1i8k4X4dLK9XcgzmoBRGQBgrJ
JOLJ8UlRwRGj2eoBi/jE6vjJOrAPZwhLBbAPtP7z7A/WxeBGvZ0SUXfrLGxBiQSZgt/pmAKdzsW8
n2gTeo/dMUJ/nLjQQ7TTlDb7vyYWcVYl4wswFdPJgohUC4PlRD5NOSG5ntiLdORAo3Cyax5ZQPML
j5eJeSDVj7lQswGp8wyQEYwenGNBoOk0QMmR2M0HqUlin6eAZ6niQ9aS8QsXKTIkVMP7aTLlLSnF
4dFd0MVpIBsmQC4KtUbG5cZXgDbQm/HFX4RMdmcam08Iy7Kt6DITYMeua80Lhe/nVOk4oFadMnkn
mKHFru9bPpLmoCZrTTQNQZul9sYktvbyqXqZl+BA2RpwX6mTkxiO1otZBbAppLeWOVIde4frVUfQ
84MZuP+SAOBvzApKKp3wUi3gkbHTRVHvIHrsE54j7TrxAjHZFTx559Blu7Wn2H5FzQEXDJ7VXpES
8J+oRgWNNurFb6B/hao8NVgddm5PcWuDjIlEbVOYJ3skALLmUNBVZ6I9rq2tjOvxgF3ZCfo8pQzG
DMmALbtHPUSyMLRtsrKzwd64ibhTYen39DREsCxoK+IdX7+bvSvLq+Ozaooaoftkk4Q5lvRztWzt
hCNTFX72w8KWnKxTg6wDmV98O6IkLOafjv//amv/nbbWhKL7yyS0fmvf/s/PVff2rcDEdIsV6eb7
mLz/2hj488/+LH4RJtWfi0jWJz3I+awF/GNn/VkvSrIVAlDbRy7L7P3Hzmq6/BFc5mIzxqP6ixcJ
mxK7C2EWuo9offFn/gfyWnvZ2P4yuSGq5eWZ7NmAdVbq3ydhQETy20m8PSujS6Y3q1rw49JyW2sj
Yp/BaGUOBCpMbBpVU2iHyoDLVwEjYLmvCGvj9G+mD2VGXRFoQqJ2I9NwPo306H6vVe5yyLqOmut9
2UZO1uDeyIfJesDZOHtU3vadYUgSEUByIY8nFGA2Bp85jf2LIJoX333VMetupENRwfSAFJAUH2fo
W9rjgPCJlp4tjeIvFVeiJCjGWzqoPVdbGT0yszlbRagFx/js0IksvYcYCWk1kD7r8bjY6IXVMiWn
pSyaxwZiVN94pDnl4jmp3RagiHxfz4B5F0UpTgl6sW6DHv891hq1dWs53cGXlVQUYyzkT51Jm1/R
WrrJT2r2vzfgv7kB6UXWoc7/NWJ0+HiLf7n3/viLP+89XUfaDhqDi/nz5vtfvAiT4T8Mk4D7pT+X
i+r/3nkWlb8CsTn2QR4isOAsvH+iRdR44s9GNm1iIbSRh/8ndx57+m+33vL/gLod2zGpBmzZvy2h
mR7WII0htS+xpR1QIYz1qXQXIYvm6dNSMTsSeGGWxxHVR/4AO2X73zC5fo+r2X6w3My0A70yH2na
HJ8zV0tOqMNGIgbYbUOq+BzGYH8mnGOtkTXQXrV8Kc6No2GonwQ6DKxddPSZBIP4ScNzmIDSW9eI
/RoMN/e2SROXB7yz+EsgBIJi0qlbLHI6z3XP3sYJqvZN6nf3mfRbbiIxhOfclPLcdEa7w5leHw1f
DR+sva9W0XofFi2jL8QXuSwLEG2qyERAEYxzcMzmjaGbAWD0Ygx6rqHi0zwhjmdAskiS97Rb/Hfh
uHbdfhujwFYhNhn01zQGyk4v+q3d5G23MpIhvWhxbDz3E4VrnSnXOuw8GrJYXFkgqmvb1eWaw+M5
RyCIXWicLuT9mDtp+FCwnrPpBUmtZl/cW6lW761OGbfYxdSh88wwEGmSnOlFGQ7Q0ckN2d1vkDJ2
t9QebmzpZKe6yPxdXmn9tyZzw8MU2uY2K/X8O/U1CmeSp3/Hk+rVSO5Utace8zvkvkK8loxfbYyG
9EomrBQcVcRjFrn3ahg0jNoukeOjVz0XSfFcE8x0w2FG5Ho89C9hqzEtmejBrCxxA1tSr75ykWEv
BGyPpclM/OLBnUfLWYUiloflinxiM3C2NDdgPQq7PNu7Rkc3ZEycM+++Z2HA9mDuRG86E1zB4gpz
Mj26Wpme3bGKzZdwQAYQz1Z9xrenLS2go82rmNB/RC7ssI7jUUQNnTygy8/PdiGnczw55g0W/xSR
ZzjcDapW27JpxveWpG7ELsJsgy7T5A88gynCwYHdoiD8/YzYFAaLDOlzGxKJR0D9EJHInWtBLiU+
er0tI3BF6Z506cfVKmldcYsIngFZ+UBjChknoiSnR4HuNd0Xc5y6ZXKbjC2ESk1vK2f22ohiophi
eONMo7FsVRWGf+qLgsWxlWgbAoY+tTiuzknNm3JrRx5BOJunSLnEs/aZEf+ouhlhngd8RXGDc6bp
5oMOJ3RaMek9hLVGDnkb2mCsRqj8wFxKYt1U+M9YMYgrVu5JhmVyx2oUb3NiY771jp4TrqQ776ja
5uM8UrIZOH3s7Aal2Sult8NXNI/mnZaFLpJgmtC6tvLx72XDdEIea7WB54XV0XPoECHuX4s3U2fM
d65tVRuggRJzywh0MprGoTEydUX5ae/AxrovdmxX9wSpxphNwwx7vx+hN5TmhGPQ95BV+Hwkh8h0
mrNyH0e9Cxgyq37asLulO2IApk1C8uRTP9b02Q61jreUzLPYJ6BFtVZ4QyC6unNQ1Oqhpx4TIsCv
bGx7VZrzZegEDPvoHu2O23qV5sZ4SMJioPLUqe7SAmOrPujNSCmpNz1kTS5viqY3Hg0yNl8Toddr
zclCZBZqOHhTEoeHUvjuw5jWBn3eTYDYRNwU+JJFWQ33bEzqPKUS1zM6o9um4+eubNpvyyKhmAEi
dx3Rho60U//QB9u5lVZdHpAkG4ei6aj1ASUNRrJwiDELox0693gdJvJRc+UUQgya7cPsx9P3QkiI
NZrUWfYKZLJTXVA3rhMUgceKEsfEznZuN7KahhzkwpjbE/7v8anMhbXFxxEFjtc7N2IkbqFiBTz4
EVRnmPnei1mJeA+omAdoQv0NXt1JW6Nxc154CMJl+r7GrgmogNXHDCbH6n6kIQ2ZFmUP14ZkjUBa
BRR7Ld6iuYg2eE9Qclc9TZh9oynWrTp+wbjRnlWRX5uqwk/ggw2BYMiTkUft3VzahNEgUboTeuJf
mlghOqbGb95YkaN2hVUlgWEiyGoyr193bmx9j6ay32Bveu/yuA8yzsycpWuIgfZs7UzxRI160R6e
5Yj719LlfHW8wV+3ZuW80PnLvYFncj3bHmKOJBtvyrjTOLAi8hygE1+zvMer7tbJrR6W5W4Wlf42
FJGFG3d+wjcfBsYwGXu7d4hRERoWeLqJx7UUs3co/PxK08SB6UFgRyAOdJMJrE0rLDf+2k36+0Fm
0bM22kWQdkVDGEsZ36V5Q6qPVkfDFxGhj/HhYI+RRwcfJ2jo7zk3taBpxbmBXb3Oc3fXEUm1qnOR
E2+LM9Tm2ntMoZKPYbV0uTqoF3wdvcwcxXQea9eMQlMsJapCFWGGUWCVkbdPRqeD4W7zTWMyiAsv
PKeZzHaV03SHUKTAObNI1oOE5uCGQnxbVMkuajvkzGNeb6hEKs6RrTi+Sdl/Q6hBjEgvnNPcN+67
7ub5N9VI7dZu1H2DgeNh9qwnMVnNbYbq/zwACRwUtrmd17ndprbd/qkp4u5oO8VbOqftIU7daFtn
SbXru4lE5zl38WhrUXNMDEwL5NlbV/wt1d1Mgcja48nVk8B4r0fSeNGGcmDXNXvCP/Wwf9YREu/z
ubdBHJP0aCQ263VaB8IQl8yxvhB2YK2EV+SbpDTBzwg4eMRGIHdd69UX6bW4Qhqab0QdfvcyjLZO
FIOwUQNDBQj9Yw05hOfYsoaTtLPoa+8jy3YbEkjlnNeolO35h13njzFwXmBkqfuQhbyFlszSgPdH
zUVq3vScqhsZ669hAxpfVFZ8QUl/hnNAA+SMZxwy1lNeY+iuyezbUJ/b7xIV+6iMsvBVddO4szCt
vI5a6ZDhQBhq1Rv9wR2AzAEtXgdyHFbgLTpBLmAHFvHYIPBvaEcndGuISl0vnY++P61cimTxdZxc
opqNlYXz4xaALCJmT1QBjon8KdWc8oGhCht37fGotyl9WqGG8dILrIS+o+BD3gIqbQvHXNozhLoZ
THJkytHWdnFqFVsRG9HZRUSwUUba7aMwXdQJQ+rc1bYcD7GV69vR69QaiAvlijW8UiCcBpWriKsZ
Bn2+SJT1QWZjPKlmVW5tbxjfOi+kcaCpZ4YUNkeb1TGqyfWeagsybh7fiVyVrw4knWDMfSsiHx23
ERHaVtTbtEA4GEx0YBymRnhBkWbaHoFE5gRunRXpSrey8kaOBlb+zHKwkhfUKGtW9BG2ylhb5Ux0
e+EQ9waLOF6zLL0w90L/iXwLn4NkDGs40RShfpw5B4izZdqMYdKQfWnix5Kmu2qBn8hZILK1IuVz
oyfEWjB6qE2TZ/e2O2fk3oppPNF3JYK6NNKD4Kd+RawX7QFzw41bdrJZRVOTHVXTNUHE5rmuMRRY
q9oN3a+k8ip/q3cund+zuHcRexkrotVTwrJa/X2Ubn6Zx5EDocfMYoYZrSrljIzsAca4o8c97L24
ek+6oncsrOu5Xzy6I5Hr1jG0vSQ74aLwq8dh6vnWqvZjpPN45ZdMygCFjj6DU+e62wcliYtr208y
dz1BwKy1NkwXXHcav0tHxh+DzztkRrC/8jcYwqIhxCXaSxSh4aiQOXtYJxokll3v1Te15N+mdLV6
Mbnz8FWpLa+o3WS+XwNdT8YOcbSsCD4ayw8VCv2GfDXv4OBm5w5mmbt1O+dxjtFw1Mp2PqxcUgw/
u7M8hbY/LCEP6krqF433NPEcNZxW9wKN3BqOasLTGg/d3sphAzgNELDUFayGxQhjDE2xlMfDJqnc
2rh4Rk6ibKyjEooRwBbmBipnXNsOvB7xrbyeyGT1NCa99dzoS15aQ0CoS7WHZhAKRXyc4Ju7DiZ6
u4ROnpfBDi9Rij6Z+EJ/fBjJtV73aZSEQYvN8maSkYF5FOO+Ivm1XjW253QrijO9i8dTmN7pse4O
aaMzIzcSOGQs0vQxoorspV1kUooWtVs46eihsOcGnpovm66idKf5sFQrG//IrRb2g4JNGvuN00lx
mNKGVqawIBmOVqZ0182+fcgaVV7byKest9brLypW+lddIggvq+hLWLjibBGelKzmUqASNqTsqAQW
YPm9OLnoAx5g6ppF4UsRy003xtZ9Gddv7kz33ErOIxI4AOk58AbBYz+ZI2vgCwmdS5ZP+TMdtukT
+ebhzgMni4Kp040dq1D7lKlu+FiibQOJfOzUFJFc847KbapSbkIaUeaVggmcVqwezDp0OBnrMLaH
bzNTHxO/BvalqnG6q1Hox+vSz5OriqAoRD0rmL4UmW3jafoGGMkHv7YSPHVzerbjPjkUtK3e5lTq
rtzR4WIS2rfcq2YYSSu0qTiEg1uZE4cGhb3TM6I2hLl6P4hgTt0ZrqOa13knw11r9Pm1XOYkc/4f
9s6ku20ka9N/pU+vGz4IIDAtekOQFCVK1GhZzg2ObKcxz1MAv76foLKqbGW2s7PX9dX5Mp22KYBA
DDfufe/zMq66VYKcpJvuKqIiSl+RZYQg6OpDRUElzDiW4d1U6UBWON21YxNcp5Xp6BUs3gV0KCL1
7dOsRL44zH55K/Kst3fF4nIYawW7ADYpfeKHI1VoE0ND6a7fcDY35zsRGNnBTeqSHzgZy6cBEbB6
ohsAnf/GGDjwDnej2dseKtmRynBDvaVT85FH0vn+vo5bhLh2L+ox3/wvpIF9IgdDndZYXUSG1z5B
sVDPP6R//kKg8r4NRHPiaKSkgYGojOyOTqn+qMFpWjVnhS2gHRk9pgsBtShhTbwR2iB9eMvxb1Zp
X0yZdWXnzt6Q3d5JSN150Q19R7iMQMqZjItgzWAO/kPRxtu9odUQkpQnMIN34plSTGAMI2s+NU13
8hpixeiAwvzXT+CdMuR8ESElKGKTjg7v/QPApFJx6J3mU2qZG/3/rgHF2av358v8NyX5NylJC2XZ
L1OSd79XVc++/lqlrz8xN94++C8lm/yAStqHkeGT4/f51b+VbL75ARmZEIGFT67WuFGC+JeSzfrA
b2kchkXyX5PN/p2b1DwORG7Ic+krClx0bv8kNwla8efcJFARjU7zqBmSg6XY8G6sFqXdr2VjLgfy
/PmyHUWdiq1TzPbJwoku2JHFYZmFttCV+3lw22Bj9V13KX3YuPu1pWIQJoVpUK7vh8LhzO+4KAIo
p2274GuDMentrPk6JBXNrUxHfAzWEqIEKaMem1KxyO3qFhbN4awfBnyFpRk2VhJpDWyWrHT+W/Vz
R0vZ1ZJB+4Htbu7YcDnUWeScINR7uCWw42Q4Z0ILinMNDuIUTzOaINnzup7RQvkZM1SfkUOmpg+V
o6I7LakOKUSH38GUxV/nFVqR4jMvzlJn4zbQNCMwiICNYKIBOfLsgC7EUbOPak1B4qRRHCdNRmK/
HG6mGVqS0NykyIxokKsHaEo4xOR7TkTZxHmP4FHpDJvRUYwsyjJQm6CJWJY1ocnveMywb8E2cWwz
ryo3HjEMgupEoiOG6sSTl5r5NK9BeTdoDtSgiVAowsiSaEoU3VnE/ZicVlfId5ow0zwpjtjenlSc
OYSdX95UHvyL3eK5M9aGOeTTsHJQ4JAOvB6BVfUQ2x9F31f+hQ+vVjd4Z3GDhBrGVUXF81kVRJb0
AvkXJeQ4YFhrFN3gm5VuOYrkIarP9cZxpv7BAy+R7WBrOFc2UPXvPUePnSzFgzfdceCutj3l6QsZ
m3dyHNMakodlnwTsgs+C4OdjV9rqFkMHB6m5u8NxBl+6UqemkqG8sFElXAWFroviVXzv4BZxk0vr
U4rv5jZHoYAH7bjsK4Q8j8votDvXcMrDbBId12Ig+ZBlDzQ1m7f4sHnbSMn5MnZrgHs0mpd0CYfJ
aNZ0MtWkbHDCig5ZEDn70S3z78E8fxVRYOxrKbFSTIZCPDDIYxQnoPRpKC43axHYqLCceZuDct66
lXNfM9pC4QVH5BXJBgURgp+kf1lLDk+r8ox9YtFF7iw+d9knThiPcbQRmDZfFVNivMD0iS+bImkf
HNKgNwstzleej0NUBisdrRR4nEJ2ycmeWsYNw3YmcUrw3CwJebEqSXGHlVEeNu7o7CAyqYdlHrSo
PJV1fOHKconFRx9xQbrvAzHbDQfDVbojEpIkTvyHGTNoF+dUI/DHR8vKnfnR6fE3lxunzRPxLCRj
gWAnS4+wqL37wU+i5JOSKyKMUbBL7zmhoWpDyr5w/Sk9Bb5mbNsN5KkC1v0EqsVOup0UBGYvKrCr
7BJsC2F9Ua8Z3yYz6Vm4oJzfTY9TikcsBMN0pCROU2pm0+dGL+3nPB+6tdquU155ugcDyvfSuAEd
7L2lWNnGNI4/QxCPUR4ltM1uc6MuGZ4o9s2dghJGNEoVga/v08wUb4us8n26C+0BJMRC6vrzeCZF
YGyosRE8o2CkFZ407BUCDpugv4rQdvEvN8ovM7N2DBzMTcyEn6p8dHGEa21UAhanzoiJJdTuvzt1
NaTD8jc7NT3AlO7+77VD/Fer378O6ddx+HGffvvYv7Zp8QHvFUhJHnlEOkz1XvwfwTn+PCBBYUVJ
JqnLXvyfbZpRzqbuSl3B5xf/3qal+SHwA9fxqSB6FHrAMv2D4j1h3Z+2aeTwFps0oQSB73sdsGMt
xAu4gx7qKhbojdJil2CKh0XW8LK4+RefGQBaE/BaNaogzDO2GKWW/MoXeROag//EITC/wn82v1Fj
cT3RScnJ1T2BKLXp7WCoehlgTPAhZNqRo+6lXZrbNm7sDQiVYN8EAKECF10eROL7BjPtrZlEmHBK
P9+J1lNwobjmuR8rAxYfmmZrbrO8f5mK4ImukZpiV41JlZN9cY3G3BYlfz2nghBShwI2N3UvgvQp
rkET53XNeywj75m94wGl6Zep4/Ku07wUdfod4r69UbUHE9W17jna9LqfFoeJBiyH2bUvrtAsH6o1
OO7y9Sqa30JFaX87GaQvO/8yhhm0i3oezRREdI5zjF+z/DveN2rjujxKXAj7rdnyQ4uJRyDz+CNf
gcdgkjBOOZhHHX9ropwUTo00dkmEfnnEd/KQSdqb6gIxmdu6/Gku72cfvKj+ZCbpoE4DkrGrRS9b
vPAImgLUqTOI9T6ui3tKJtMOvgfvBEHD0ZEkL6oZodXYckM2pcctKOKPeU/wEHmI1YO6+r5UbQ05
urOQ1KFGw5+ZVmFQxl/p3RU8h+CJMviws6uCEqmZEbHp3k05IGun19iCDRL0T5Ef5fR5uVGISdK6
b1aEarPP07N7Ljo73qUvjKfzIKFn08eCue23jcc4EIt9X04wYDszeJpZ4EmW8o/SdO6nlJuKs1xe
2oZOYGVjT1N0qa68gI79qdGjaODvUrE5pWROcAdGN+1NMOrdyFU8JgbWWJRNiDr6xHj+ji+kvUHU
7QMhSb/QKcK7X/mvLGIBnoSB8HLwe3gqNZ/RIRYJSAgSHj3CZgtetuu7l/P7LumQJPRiWNEHRntc
wpDB9IBXDy1rM7p+cWWK+DuTnFHt8nd98kyh7zFUaj0XYtBmH4uE/8T184tNjEijFHq9CXnzaeRx
wcx7Wlbe/NwyTzwQm1ccy9cbWogb1G39C+12Teh6vGF/ZDD5zMbzw6iQHIcgt2h7yssvECwAT5le
e1VYvbNjI8fbM4cYvFAueCh7VLikYGDN6MY8e2iaPUbduoOsNrdnDkVrwuid46Q/+j0sLRShWEu3
URqetXu5x6RE6XdNSR3C7Ai21674QzVX+Q1NdubWNlkI/CkpdhjIFzuTeWIWU3o/JQ6dYHqAYPF9
MHVnspIwQsYaymg9ZvUGXHm/lbhtXsWJCVTStPMdhr5MwxyG+fndgjDX3paUPRDusoQwBKoGqoo9
82zOo/zMk8LfNbjoY5nvFnx091jfFFvMtBEg6wGgRzhT/J5m5erCXljGgon5LVcN+dWveRhnbbfO
MFK5NewmNPevTeoYByfhqyKKxJBlFMYhCujZhJr+JV1086bIv4PTwb/GZvaYVGhCgoFA955HVyYA
3mtEferkKOqoc/YFi/EFiTQENdKv+Q7+LwDxlbzYGY+CkkNcLx6Jf1RSAI5LOgGNnqzXirE8a2/5
WvUsDmKtNqmSF3gZ0oALHQaUHUpQ2dskZgfT3uJzi3aVM9gl9XaoK5oAqtLSPBBv0MlSxCyKMSxl
GC4msnJUCtFo3ScItXErpYGgGVhMGhrjQgdYi5aYpuE8CmYRJteHEm77oaRD/21tsgL6Zs6Tdkoh
nNB9/MTPTu6cjiHROfLeWjJgbpHh09Zb620HmO7Sqmbfuynvry7MbdKaMOVcqU6jRwAtHR7Nwgw4
P2vOxYhXS34kBJ1gLys330k19FvDd1gC6YyE8G9Ed2R8S7S7SO/9qP3eevx2OWY7Jj0xYMp6Io0i
pQu2++pj4ARPn3Rh3XrP1GPqXW4kd8ZMsli7pdizH18tqaKBE+ZyIbYcFcwdjmPEopUyiHrXYv0t
d9BUbFCbUjAIfNHTf7t22RcLSfaWggast9S0nmAkFFs81JrsZonBrmFNzCu0zYjwPQKTOO4ys8Wt
vU6HO5KD+DOSHYTUtsfLdwJfkQ868Ay6frfKpEFq27bGVRONr8ZQ19/6YPoqU7NGIGGr/Lvf2tAq
WSXWtQ9Z/ufDUKGED8pcUc/qIIWFTYZitMzkZGxjtiKor350g3P1auwLG4faE8oF37usAtmXBzzJ
B+NlienkTUYqZ9dw+2yguV0BtIFWX2qplEutZRdbVQQshzPgVeK5Tz+EYn+RxyNC+lGVSPpBG1Wh
uAPmganl+y6gIjAsiNPdiIxiWcAEJN/TnM3FrvynsYM67gzMOpky0n99XZ0e/EEN+XZdCZAdUZHp
oc7iz39o4aPbxMIhvBkPYj4vdsxBO82/VVApNqrJv//6au9ydW9X88j80lQCgvO9AAzdpUFPcTUe
ioUBoiOBII+MHalL8+17/Tdd9zeHAC2s++Up4LEeh+R/bF/zevgpXffHB/84BwTuB0mITdweELi/
iQL/LeKVH0zybTbHayjcP4p4pfMhkGh1fWL0P/WdIlEnW+faKHl1u+o/OQZY9rtsHXJFcn+6A8sl
bWgC4383bM2+GqKoNY5SiukesS+2uLJzLssCt04kcsSs62Q9gOZBzVHLdQcgMiBw8yGg5/X8tMAe
ONo9UlfRDv4hp8MMQ7Msq0JYCBnhdJXs8iF+IOw/yHyYYIV0BaiJ6nke87vZokKRz7EfGqwkG+GS
AaLsDUiCiiKe37mJok0W1iNNR8mmaSwUs3ZcnuQ89U/w36lPIDfeUhgtvpnGuFl8+2NGS57dDCzo
0Xi/BKgXs9p1LtrZkbhdo7d4AAM5XtUUnY5snxgrKbR3FyAaSWtAxrxeZte7LGFP7LJsHa4keav9
0I82FZN6dQG/m+apcw1LbWa5RNtJKSQgHvygZLNgNn9Yzc6EjCGJe53WuTY7/wBD/qExhbdhtxc3
ZS6OtNaXgAYC1mKfwBUHUBCQLSKswWzKkAGDGKwSHb1jOIykc4tpGLwcXlZJW4ikf9YxvCtqdG6I
YwxIb/iae2XF5CoV/A+H5KCKd3mxPkIba7fzkjwHi7A+YjfjXirpTZ8rUVubpEeeZGLKHJ3g6lvm
rqghfZJ6NRJhHqcqstdHnBNgTqDHqn3ja45vLLmQusC5kARWn9GQV9X9GppOLacNorGWbgMnWx4w
hvFPQRwATJ/ZadSGaLKdL0oCjQPu1+oCtSF+MSm63FtOUmhMiUaGzQJblJY5fwWotRni1Ln28g7Q
OC7w+c7IV1bTYQrKYpONMj8ZC12sxtYoFXzxC2K6tetucPZKjQRYPTxaysH8oN6DqjdBOaquvKga
3O4zOBDnoVupNNJ9hI+zkeUIy2qKfffRkJcXnH98L76lq2Sa5n0AT2hcL+TadMMDrBrOzh9nc+zN
R2NaXJ92N5ppSuK4mDSwtafK5CtQ7rkLNlHdzGm1NO2+7aOKNo/CFJ9wWFD3s2pXrNmzqtUmiCKr
EQ/GapvSexyFxtj3mJgvk/Gc5E5KQ9DqlXRwuKW6wQkA5k4VtN+cNW6xq22t6KEqEoPg1XPaZoN+
J3mOnCovTwZ6IBEioTRv12l2p31BPBmFY5vUyCZpryYLLhJyAIWxS1fPjkOOlstjFyVoiDlhoQ5O
iwB6Zevav7WJtLZFXMa30H/bWxd65W6AdhW6iajmC27AvFlNjhRl3BKHVMV6wJWsuXOp+T4HSPlI
ebdCrhtJaZiusEDgQ5Fl0WXiu9Gl33gGRcR+wEEnHpSzxexjQKoqKo9XvublJnPsYaHwSbtfYvbD
wzh51V3rN/GF18pNIibnNqBt8ykqGnUEf2GBqDDi9a2T/b8b4t9tiA7Zqh+ilD/1tHx67ZO0ioe6
+jErZr997I/tkH3mQ0C3L51abxsi+82/tkNLfvD+yJW9E9Vb8oyYA+FOUes/GTHnA70n1KwodFFz
Yr/+J1vhzxEVeyrVMUYcXTbC5MD63rtsrdeW7P3okngoyjWsUjXed0Wv/UDmtv/thwfzt0Hq+WL4
UNKEg7WISwvPu1b12OFcS+VB3icGBPFK1tbTwrL2nKcDdXsKwc3n2PTkazBl3eH/49KEp6aPFxyt
du/K3KmRC1hhuFSuAXiCKuiMYDctCCl3SF8Av/hKWGiLOngvfUQFa/Pry/8cJutv7lmSrnafZCYv
7v3lLTsFy0YG/77A+ApbFmPCS8xEo9JcpRwr0o1Cwvw3LfsWY+SH2PyPizJUyLYS53jvzwRVU0Vj
3JBldEDwEDf40GlKd233ID6C5wby2rVMbS4+wpTpLxKwYN/chubBwqCmG7bkSS8aam7q0BtdHO3A
uclXTCf7NoycyRTHqQFYu03X2iBqaQREUlVUtv03gIOfuz7evobLEk492BHmn9AD/uzbo/ISEpSj
wVgZC3mpCiyX934P2Z6Opvqocnoyf/3GyEb/6eFxag44mzIx+PfPESJ2Hl6mkNfdZ2KCzW1AIGi9
KvluZqq9X8SqHhzZiJPjgbLYLAlts7++/p8npnbYxnbL1bbexL4/X38KgipvcyXuXcNVD6meMEsw
qrt4asXfKCDe0SDPT5jyODMLbAWxwXtkBTDcoTLNUdxLWB0P9EbD0p1SoaXFtt1/U7mUr2hb9ew0
sShovJnJYmTwzrIcde4//+I2LXY2Ublj/2nUWtKog9aM6KomqGpDicK5vrYwSgLAXsEf//XV/mqS
4Byp5yX/85z3GhOSELTN2ZN13/UDuNUFYCe8SFUfR8/EOLzLSLlOfX1s25RRDoxZnMopwDeMCIKN
W2RrfTTcST3EraNjT9Pyrwe6tHdicNVdkhD98VMzZpnjV2q+Coipiv2vv4T4i+XFs3h/KGVom2TE
/jxYsiKGLroE4j6KyJTsV6/rDudxo4ay+dx1JY0fpFc+VwsPsEQQDrt8LTCmWIL20Cyw2jdpLskK
rfNadHQXmP03v0PF+ev7/KvbpDMTbYHkZim//HybhrLGyQV3ee+AykJ0oB8zfMPmszDh37fQbv5m
ZFvvZxHVU0Y1ey7nPdqc3l+xHPCrMvOlR3pu10dnKJ3XKFD6HzZdQ6OpoWO2S5NllEZRR096llDr
mJfgMYW2jDVztQzf7Jp+cEqncCINJgFEORZOPSbOj6hn13ApeAJr7CevPi40rl0bBmwuy+MLrctY
/419NN+AB/WfrIuGClFGCzzkJhK5yZ/EJivEfTT6S3xf86kQLsbabTPPyG5bu1iGQwWgdA4zb8oG
mM/0bIcpno7JPkholqJIZdomdK+GyD2zph09/t4etDZYYhRtIzw0ES86mexE69a01wBxZTIbHxsD
u3taZkBCbuaY7u8Q3/OEk7JlMjOyfh7pD01w284zeOTSb6r7sRoSsuVldg0AoD7hVem1W7/uUIE0
dCO9CDiRt6Jeiq8AssW2IA7AR2FZV6rkakq+LU69QFZdEpwRB/bvKyzWKRTArG3uWhOlCpYKVFoQ
aZMAgkHmIzn0PKN5HitIZViEeN4jGthEA/LjHGmgNbXTpsSeFjqgGyxdCPDY/9IaRefTudIP+WFV
64DWdBwlUXrLuewywsb72opHyugNZGpojsHjMk9iDD0JjvbemMmNEKVrS+KWlqAkLJO4ae483Ly6
UAUyibaoL4PnOBnZdikUHL1lZMrhPBFQF0/meEdoEOw8An/urnac1x7mXBpWPqsNISALMV7I6qFP
Fz4GKhSTj8gGAOX3USE3Cm2Adw0hOafrMBKJ8Kn+VSMN+VcgiLLlBpluew2zxEf8vtSYA20arf8F
WYLvVx4MX6GguMiD0ctcmGnWbQO7jE9Afbt9F6QUcmqITpAgX4SWHFtafAxO0/qykF4NnbTtL6hl
RntLS5VLLVqubXqtaPdCyKwlzTGmX8Nm1UJnc+T1gE4ZkCHEDQR5rYZmYJ0RHjR0IpRetGbaRzwt
W9MNlZPGtAWdxdUTKX6U1tWb7HoC8Iv1X1IstbctPdwBOSQv6PywHSD3FFn8WwDXcEigy9QQyQaP
2MUtt34ugubFgCloc7t5ViGzb5fS3xumDn5WhB11nvOkaeqrjybAXdp/MkO+IvaHcoUBbUOrHgYa
H5XR88aWaGBTAPowhpMXsK7gmZJepAujkpqvYDOVnHbB+wkPlHvX82aRgvNS06w2qO9CvpwD6jS6
vsqr1zYkXSrj+9Hz8bRb6Tx6jRwsFePUJF4dCp/VqJydVxWtwfMM8Olbv4LrdKm1XRuUia49WQa7
sktaKhzMULT8cDfBLbaOpq/YTn0krIueR5eaBxYt9RGkpfXUmpoYuIDjvB6GifWZ5SwC0goJNqaF
deB34lVTQaaUwId0EL9BUamG3+XwcDpL9yINBV3vUGFEdhrpuaSC5HBXMWzp68Cr1QNyQTb1N8KG
XiOJ4XDPAapyxDq7O0S1339rA/0og06Kp54E1EjAwd2W40itAVIEIDHCTgsFWbqgO9axSF64srvF
c6Q7xPEkTuPKG5kkkeFizeJpQmKysyzSM2PKccMuMpCdEUSyZFAaKqWjx4Wi4KsoF74UU5Ir5cnU
f4P/rx4y/StgYQ2dBRnRp5lPzisdf4j6dHjUFOy2bRC3n7O8JPpVab88nAOFFRvuBVeown21FPE9
x39ebcvNKMvPvtE4rz0TwGBd1q1hnsyEKe3WEe106Lrra4YR787Sd1vVLRtPX3eHnvrsg5mZBOF1
3QY7B13CZ1pS2c3BihrdLsK48NVFjBihU3aX+rLtO+584jOThqDQ6NsaHdZM5wBn1KFKTsPRt7fD
j6335CULIPoUziLJWRo5pRcPzZO8mZFWIeVz5GviweG6YNvhBhtLZSv1FJT5u6YU0ZfCSLh4dZ5C
AiiU2k+q02EQO8+w7eZ7X84QDIKed9REPsEd/xnEgg0YhidrW62PKnmCyY9YoHKyDNiXLm/6VKGd
vuTr1EesN9yHdBkXSoUJDjZgM9PugDOFOA16eDpVIU5mnLEz5XLkJ2cT4ar0odzcNJQRgFklEWdA
4VaMWlBcPr0I/N81GTIGMLlGntkg/OBZTakHUBZc1W5oTbiiFlXrTZGAgkrKmWdKHpTvf14EcpDc
D0ta8VSKHGcsd3HsyxaThGPj6suX1NTDTM96bNKbzzhV1McAG9sD4X57aCObt5paFGkKNnKeAxjo
Y1Cl0TMCNTCfS+y+dv7AfDWRPe6sdDVIzDrM+K7ruZPzSJQqE/1xTlkCHEGMvhMdVp7EtG3c3wUK
OfWlX+sXhCcVS5OFTeKh7ETwjE+PQu3BcZQ6mjsQFFn+SAxkzXH5uJiZ82pn8GktA8+wEJMFtibl
i6eZ/lyQMdYiaN2JsgAyVRo0n6HYM9FbMau78zdkJyJGxrEmpmEAKM75wIs0vvm8CpspCoXsKWXp
xpqWI+0TiCrxhGk3r4VqrbpbUYBiSqJH53nbXFaTEdUUEFdtP+G74+MdXFcWGC16DsBRjSMnGf3U
OlKgARI8UaxbeGhMek3ZzdNIvjYjPNuwSqDlFVgFPJjrAsLfw8p1P1LSpBjbxyxHac7ksiSiGjLH
HfXUhCFPg0YeqYckjVybXiivPSwpxc6dgx+q86C6WZOWZ5mvodGZzivMGUYNfzt4rpTJsZWWpMu8
rTX+OYCefkVDEZ+mJc1qHxEZzwyRCPhXuOrNJc3Oa5+yMuOijgWLPKEIxsUULcDOa+55fTw/gLe1
SB/cUeyzLuiFtYvxpw3PYzeKFduaGhrA/xQKv3RsQ/fn8SmtMbrISARcwP2Q+Q2SGIaIb47dgUrz
dJXEuFH8MSBK/C6/o1jJ0aZ0U3cwdB9bsTTOawxZ4ek8Klws6HH4tCJxciU0R9FW4kQmk4eQ9wZC
VRcWJ4ICB3hhCHbEoMnMIgnRoX5cN6n+QgYuX80m7fBr6+TMny0EQt2W9V6ckEqST9eLA6w0CMhU
g5lZXtSywyBNs/d1w6BBO8Fqb6fiFiHves9JnUFtIoUe0aqwaJ9XQMozebmtMe0rwyFCpws3OuMp
2d7MtNEbULWBp7XM5NIHFoU67qYI/xc/YLkCzbky4Aammd3i87CPm0U9lIvs3E3DUY3870Lg58R8
b0yG6R3RtR/ajGWHgrsjFlofIdyn6jCMU5Xcih694yV4FXHqzIm7cHxIxOz8NaPdFNHaPQ3OSBAS
G3nwbM5YmFSN0t/XC2YkwJb3OPqqvAXIAXQlMsI8yPqDU7T0N3bMHTzWsu8xdgkwI9poY7scqXEG
tpnAYGgesrRhR1rSeQ0hBAwBEcriPufZwnNOG15o7cwrNnJjRjNo5WNAFLcYxCYT3SJpQ/nelr0Q
IbtmecnJXh0q0UBYRG1b3UQYjuCkWhAvuJZiMSTIjDZdbw3+Tik6fK9avfhfZVFMIhLYFDHVKGtO
MEUF1Ly2yMKQZRvDtohm4xFPPF4PUhT+2QaCh2Q7q7ojAzhvfBtnCwAZrEvtRIxT6pCuTXy6EmP8
DOgEM6gFzMwZfVDOITIfZztgqgZJCx7Q7Lg9/I5INlk18YGMZu4UpQM/L0pYt1ckbPnvNTEmu0vQ
BLtM7+HCyKJn1F+MoPPBMMaStrkqwPux5A2sabWrvOhIPq07eAmmP2kAf3tuAnGKlRM8C2Pov1kr
VXuXBstLzmC818q12D+7jM1tLGNWq9VNrSfEdkV4XjeDLGdxxL7d3i1txZwodLzZRLDGyw7KOSQ2
0lezkuD/wVKgpmfd61qm0FAweNLIQMxYO3s31ivzutbsQJztkgO2DenvcnLN/ug0IzNuMGi/cnII
7cZbhNGSIzHYmcu88uUl1G7Tu+TApoZDz/kGLdbYXdRUEPeFtCyfs8oAPDFfxZPvC1J2TsCqRJ6H
R+JluFxtosjiJFG6bCwu9aUnanF4HLfgeRtHMR9WjZF/C5kds/zuxpQiyZKVJkj20vN37jJYe66c
PCUdBACVuLopeUk/NmMM2JwZwurMaQdXvcIavY3nliYqG9kYd53h1pRg16Dyd3Znq4MVO8bXsbGd
bwBb1t8LosrvdaF6wu25oOMRWTiZi968xgiuxivbn18kt9uBO4wKTMbaKmt3sNPbKwfDylPqoZ2L
Mzf9VDZD/OgS46twLItlm/eOebH4znJCxh19TFAafa3bhZ/kVGbaEylXQQwowODEWpjxjD3yYKJ7
omPJ/W+F5/8Js23ROkSm6v8ufL5JvyZp/PpTfeePD/1R3/GtDyDJAhjxf3DJyNb+Ud8JzA+SzBOg
ME46qJx/lD37HwggTXhKAUwz8p3cBc22Q/K//6cUtDs5/5ZKk5j8J0Wes5zhP/kix4KXBEsXyy4y
vFKatk7M/aDSaRWszrboqb+jWCMsm2Ic2A+dAyafGm/lQv9MOAeCQCCn+TFVFSl2uh4avCcCtnXY
DZUlMNDL7EltnMxdlw7kWSGzY2yRPNng4MVe1VY9u/QPT/ovSkY/pwy5c3KFKMOpGfmW4yAq//nO
gc/MRUR9+3iOH4U+ITkz3g/LpIk1xsIK/OsLQjP+KbmmL0keVZCfRJLuQpmTP1/SgPDUGGMdH103
uK4H0mq4dFPhu8gkQTTerVC4D6KjWBXMNEgxkeXkyQOabuICJ05EfRl5KRv+OoES0F0MFNEtnQ32
Kw57GmpIEAqC66mwyPhcyKiqj/Qgc0iJ04p8gsjxlqcTu2UfdNTIeh7PFc/6nGYGVY4MV6zO61A1
nFSy1udSQRJN8a7zIk5C9ERzJJ7BzPkhNWgW9JJVeNxHPSiFRW8ftEgxCGabI0wH3fZikQbBDPRz
VlmfJiSUjyQXd3jUkJo657FNiAT4ciax9SSEoSM0jzasTd9l7edzlB27M7ehrNQnEnIIPa1pZkN1
gUomtyopuaNAH4ZoD0nUxw4n55WDtsGmbtFE0h+tGq3Qac1nunhcb3GbFwvPi+Rq6DiWe3FPlGug
n5gegB3ga2FDt/nU+EIZv9nWwJNLex3ZkpBS9WXX6BPK1KEDCSOXcG9TNDqWasacu7OyiZBTrch5
NwYi7kR7DBEX1pyJsdTDajJF8lI5oF11jmRxg+dp7Pg41i1duW1T9z5xcfkNOYLzkN7SPK4chv4l
gSLVHORKkWTHcyRz4Zzra1QOCN+UM7Tr40I71BpOFEfFMV4DAp7zju7phxNw1OD96VR10Bq6tFYM
BtofxBg3UMjWe8M38cbMFJNXG9n5uBOlaFT7bmESFrTTEGm4Hvxa2BcFEmfdfeO0QlswquWJXOdw
MpxAecAdIiT5qzOCn88G52bhaPlsTJ44zVNT3Nl2Hr9aMzYolPakz5m08l6rOJ8+NTYFsD3q2vqY
zBjDTbSR+2GSQZwO6fHLlytLuQ62V2y3z4bb9sP92zHVmTyGDcQmHi+HU7e7NVE72Hta5eAnh6U+
8HGK5pS12tuMEWl9nUtdlEXqIufv6GPH5jO/LCGPq5mKWMkpCr4pR7P6nDajxjmGhFXiCeYMr6fI
jdYliz3zbvGu4nC1euQxeTJMLtAbTEpYA3AVekC6/cs5r4IDORPBWD0ecGo1lntxDg4dTGObTaTQ
8MRTRgB7Th4BS28PZA5IqNjQceONV49c5e3kI5htpHlUxnPxzpHuCCzmWCW51T3BazSMZ2OEzHs9
WJ3R3S0KjMy+WOjx+7iW1B8+ptIs84dIV8IVzpgkdidizHWSLBDrUvIsO+ya0ZebM2FREMQ8iMYs
SaEVPvbktNUxe5qWw1B4Hsi5MnhxNYFWt3UnPSmGDi0lZX6cyVjMqcWnoyYBaJGb+6IKf7Ruswhc
G55HIq+/evYsTgkafcLbQp/MDM4S6uBFcZf91okO37ONM+KNa0f+kH/qWCFEgpvw6nS3NaIn1yeE
NiLS3EVMmorWBn4SlYjsqm/hoOGWQu4mGzD4/uSPUZv/TiMtLZuoZug/hF08WdZtyf6zthtrxLrs
MuK0X2LWWLumeZlY9P5vKClCsDTS2MS9egWylsb+qbLN4MWZxiisV/HoTbHSYOh6/Ij/uIFKr0+2
DAwAVyPAILuAiWJHEQKpMp2o79mABbeJVzoHo5/dGZdykFDppziRY7+XjeNWdDrArKpYZOrLpvHN
595prJCun98McIHw2cEY5Es1bNJkVv5B5Fb8pegj73cVA9tB7VbdDoV7DXirXdCudererb34N8ee
qh3dGnKLwan94NP88JuQSbm3KjOOQm8tnY05eB3plSUH66cF9vCkAXA3cfHRynoP3E0/7FdjUBsD
uV5YdTiBTeXc3E7FWl47+B3vRgyz7lnWm98IdJPHSRZ3s2eq7KJrewBaCxQPE2jxBRD49JH0TYGW
Tvbx/v+wd669bRvbGv4rwf4ug/fLAfYGTuSrnLhOmqZNvwiKrYgUKZIiKfHy688zJO2KlCs3mQCH
ODhEUbiVPSRHM2vWete73pVConrncoCdh8G2noUTFxhYp5cs+c6IYh/b9t/6ez3+xKGT/BGZm8Q7
X9dZdOnAxP7dsxA4Vzl63LeOZSIdZqHhdUeKA748qarz1dzOvvmpnSLwYFC5W69Xl0WoaXfmKrON
c08xowphGNyB84yczu0228RosG0rShIBoG9sDz7ayiR5P4+TK6X0qKLmHf+gL1RCGaS2t24iBIX2
VEHYu7ttbsx/dRPPugLODy7NiWshOD6pncsK0Ye7iZdvbzHY1bUSRdVNMVHdG+TBi4uKAu5prhmE
pLtqTduvzPq09/f1o6KE61vyzfVtGqVU/572UPp8COGfoG8rcn8YIxeirEgOHjpz8UZ31qKRQYPj
BOCXU6UQqDuaSA4lquQsKDl+jUAjvJ6eC8ldTZq+0GVC8I5c4TUd3NWY10iUF1TMbtHV/kKjdQxD
koNVflf6v307qgfpZYG3RxJh4H3tvdjaZe4KyepAeBi2kmKzRTM9sxSR9emp7KeH25vZ0ICZTrKy
7pD9RGVBNkHk3Z01aH4smp5ltGyZTnz0o07f6tiRdSCsM28I5ar48wNHdrty7WSC2vgMhUj1LhLN
tMyCnoWUZMe3mU37ye++HzQjDeqPC9vaHFICVFp0QG+kLrcuvfnn9giKPIUTA1lIvJE2l3j6nv20
tJhOXs5RHA4Vgy9v6KxXCMXlbpobM1rV4V3ZNJADKXfnnMARyqzkaakZ1Un3kY0Gh1tzfJx+gONF
6piWKQoDbFvTjggGcWRsFUrrrRlFyiIbADpcquA8P3AXxCNc0ExTIzLpb4UQCJ3KrsyarVCvB/YF
3rSdqnhlbb70LgSUaOqSUGbjDe5iUV+0NSe8C72pgYR8GtPRN+8HlgmsaiTX4bg7VOYOKBnBdrOl
i1lszrQ5oDyCauy5lhfXJDTypNzXr4R0x/YLm4414bUMnZ8GLxb5+3lVkLADd5pbf6h0zJvVyh5X
ZBeikwGqCM7U5q9Of23Hm90R/XHouqJQAny0I1wN8e06MbVZsGN3z2PsZC4yoPWaDOXpW73wiiwO
eIb44DYh/8BY2mFBhyGEh2ZNO9VqA95VZ3nyJTRYMIGI4Eqxak7f9KX3gwriQOY0IZoO6X57mm3q
sCHUWWiRSY02Bn2tFMe7ItDhSz19rwHjSGx1uh/bptDNgW90vNM8J3UU7MmMFCDFmmt1Y8JitpXw
Y7Kv0zvI6BBp5hU5VpQXiSrwtbI7yBd03DDofUtwEZsL+n9mjyr95/A6a6jc905gJeEr03JseBFs
R1LJxSLR/2lI8Ip8syDvj34GOkbcyEdl9Mu6nHBe7tcGS42a3dfOSvV477oQnPArdZI3gsPXtxAr
VDQ1+AcscWeCr1s6Iv2e04oeVhUciqmXzMV6X/vq3XYXbr/QP7BWzxEeBqbONHhY29UOniZeEp2/
aIvrfffh4EIpBA0SLYiOq+Ap4KXdpMOu39QOTjeSE3+qq4k+yyhv898WW+U1GOdobVK3I3YDUA5L
1NAGZmbrZ8Lpr+rZ3gB/zmg9vIaOAF7NyU40fnpxvnQzcCMhYO5iaoakL6fWXGUFiWBWrgDy14I0
iFYeUY6pJERJp2929FXzZuSFQXcRnMWcDbY6YioqYnlKNUOihcASbVJWFhuRKPH0jQZMRbYc6giW
cB6glnOkDz2jUPcQLYV7iQeRetl9m8eaAKsHvyFLW2e3yXoPEmKsoKd5hbcpiUhsnVoakSQtY1Jj
HorB4dtJQbA0RfOORIbIfzSkNhfUi5xOKNCPYhsQHBfaqrrPo9hFzuz0mxx/P3CSXRPA1DX1Y8Ut
6kIoethk2axJdhTUSt/Sghh1VQU+1OlbHW1+C2koJo7udUB6+vB4o3e9lu9LesykgkPgkD8lJSRo
E9QxxbdGVL6KH4rT68BPho2HPaTgjH9DOTz6lqJ6o6uIKBoza1saS8vS9rPUIOvbACKWnYHqbOvQ
/C0uS+0VS6cNlwjcJg3tJQuCOYJXeEJ63+4Y4TxH1AWJVxVx3w3svTUZdRKnVr3TaaJSzp2vlopY
5TkKdmpGnRLUg0hPV/61lldkvhqOjLLbgCLWgcBrtqktAotdys9wNvWbFLUJNA0Z/95GLxlteHpa
mNfuZBWg7xQ4evzBXGf1ZzLLHHcTDoOrKk/VZNbyZzQrK+/NogQay+YBuF8AcDR/629pxXburAot
eG8qE3oxKmqw+VCANlBzlk+uSsO37uNKRTA3tiP4XfscaUKFnLHyDlgasfLMNnfuWw/RCOi3SHRN
7TChl09ciVIhWh6jGeCrU7oVmzv4HqqHkjd9sHwooUK7oYgXer2O6BMWQqar6deuhupjkTrQcNaT
NfvFhSkEGFrRzv0esXx+tifbOr6xYiDKKzelWOra2gdERdG25tMmcdU4n/tgDvLihsKv2SYQSL0I
as030HK/mKJGmBK4Vyl6DDcrZ1J+TMp6493rmxjac7Da7vMPmZ7xhWiJze6O1U0SfIwRlVDhOOTq
9pK0E3lNQTsm+x4HH+1EhbKdKbxFoa/NeqlbEdyddKsKKKoI+Zrpy80fNmxYs+Bxf01U14AGpK2N
dx1PKNmBzfmkxstLK0F6+xwcBOQqrz2AcGdTQXrY63NG3CFNr36tCz262Zbr3eTXMva59TaoObVc
JTKAcLyQUslfomJv5h9VitSy84DlQjE5aHM6hQRaJNOGMbvfp5kdnO+gn01regTQXlmkiin4YgVF
SPTDSbEL34Z+Szn/jUdH7jnnqooUUky9tYa2+S6rr8qQGJbmBi4o42qnlOknNTLhKzm+yQKLqLvS
7iZ+ytnQ+AFg9qw+uo0DNcAmADdTLVuvbucAITBK6youv5E2nN87NUTgFoIzwx0Po3tUIBhrzVz4
c8+bX2S7rEiu221l0eKPFcqegTS4dhaR6Qv2gkkuXS1Vz78G7QWb13KoF9PUMllFW8ciMoNZxLxq
mcDM9XW2+1r5cbG/LH0yCG1qBvU2GIG6cCSQcgCPiyma2ahrgcSmwPNvE5EvLlWyrdPm+LOtHSCj
B3Zlv6OBxg5mhuKX68vYCcjvbtwV23STTMg0hJXBxBrzvaFfrukY4X/Ioi0PoiJXkV4mSGd8jGp1
W/5JSYY+QbbJNoPgoxO75e69WYbqJ4siWIN2VXO/WsLIZMmuna1mUDKRQFbyKnxjnf1X2BvOY9IA
dB/wgCtYKwbZnIAdnOv27zjmlM++NSlOTNAv8PcJKqHzOUpfU0y4uZ6FKXLZ5xUtbVTkCqLaAZJA
FWa2UZB6p7bVL3MHgKxGEKRoT/z/r4R7pRKOAjbctr9Pk577WZ76D/mb+NubKaWwm699Qcf277uM
qU1BHE1YQEQcYn50onASnoSi7DPOaqB2PCocdnydZ6Eo3aGhDML7EPrVpo8rH3UZUz4CYIF8J1w+
gn/ruyrEhU5V7xhHyIfTm4NUo6LC0psC8gO4q4JFocIeU66DMp5uVt9wX3+hfffNGk3UqIiuN74y
y5T5hTvf/aEiqLfWs1d8dCG+dfQIHOZkbnlnhHkHcXJMkJc4Dj1k47RS7ubGH5VLr5h9cBFtYDwg
9ajkNMZzk1WEfCNyrIjHXVGFFl0U2hcDNaIaPd5ksnqv1JO3dFm+zCloTcjwIDILEoNcPLUv55M9
am1K8mCUiNbG6PVESAkHf65RDxI/VnRqNPzqt6yOr3wk+7PJRWW619ByKEyHUf+O4BIotlZy5DUm
KZHcuRLsppUefaaFOSwFVb8uQf43KDQDGd2uwJvhcNQfjDxDHy5ExcmZvDdN9Pb1XM8usuCdMdl9
IHjcUUm7eqshtPzBcr+o+oQex8hQZjzBZq3C3ofSaJHIQs5R8byLXRxSkr6ZprvgYzmZf1pvi/Qi
yDYXcLb+3KEBcOWHu3vQ41tEtb7WKxhg64AStyK8smoegwZzcKCi6GFTGgoShg4NLpXiITJW5ysA
yXdRViDIrSTTxMq4Wc3ZqP+y2qxX/8eMS2clRRXsRSMq92G3TKuPy2wX5tmTMpv49D72o/xT/GO/
dHqgrqXcK+YK26GBy/TsVfNQzROfGiNcoJa3e6RfHe3OXddFVhawr7nYgyHKcN3HE1Wxz0yCGVHL
1P5Cc8ODSfq7aTj9hu18nv6dU2/Q8l5uHv/9L8QtDKIA2VlQgXTR2RIFtFwUmh7Ogg1ZBWupA3T8
L73+Q7yLcrEMIUL2aTpCAPCfvPxghL+WADrBvBpVZDqJAnExm4cv79L+jDpNUADOJXG1NxzREqBp
m8Hp+k9mYfG4oe1zd47zns8bQVfPwOYFuEjlmbgGS4BZADyDpiNKh8XFRuGGI5oFkx0sOwl0wIPA
hU+Cd/DCJMAjO6POWqMqT21nYWyToAoCmPwskPQAjTL/+qoPN4RjnmmOTYoSd7G52rU3oqWAS2ex
fqU2hKGfQaq1cF5JYzRX3yyoGqrkJhWnZDrGtgpekmT/7pNROXNIcZBp666BQbDtM4BvnHi7OxhH
ZxDABQ3ZvYBglY5BIETo/AO+68O9YLlnmmoRwpAwb67RHQ4kiB1Zu2jQexdtffgIRrsYBkekaNvL
HKlgk+N7f9qQSdsCvEQyisj/w1cQ1+D9bfMM7RKScqDezUXUOq7DUbNZxLIWES9Qg6mLwk17DXxl
vESToF2QEdrPW7d0ROcCwbZo2yB3LtCngngdzKCze2yuQ4vg0HYCPwlvpDsdxzcLPLvsLNCNm+0O
SmNBURLXcC040NsdhUZg3eejmwWsgsiuSK0FICm0LvCIOQSba3BGus4ZGSm0Mw9Oj3HZBcQRnfar
eSj/a7WMnwP774ihdaHgTtQAktWuhcGOcFU8CdWhBKjbMaM7I3Ssd+u+SMwCK95A/h6ks52FgadA
ExuQPltHmLJdK6PbEZrKlpbfEZgEqDeky5uLAQ+to0sdjSA3svfaWRpd7EAhj7RZMFjwWD/A5fYl
B8ZRTILu0oqLeWqu8U0CPIfWh/nxDdHEylAFm2KkwzXAi58RYMIRIXsurna+R+QnkAyVxlOMM6ho
2Lwnl3BgDlQVb0p4Skz0OCfBoaZM1hoAnbEC0JLrNsLgZMBvNoiwycJ0LuX4NoKBZpjkLIAxEx6S
s6LsrLmw/If7wdUBIDk+1W47iHTYuLyEhu0iOwv6mQUjjSZt4mW5BrMgogcoozC3OuytPYrGZBWa
Z5ZzGLUzEYhpmkhcHK4BxzoDrBDxZec9tCH7iN4e70CR9g54fTwt6KSdoziwB8ROmENNYYLaNTK+
nQDyKzsLhgWmRNobWmH7lsOowTgDuoLDrI1uC2AIdOmTkUwCzFQgtb+Aw8OtIKR0LdMk1wSWIK7R
uQewQFXpoxEfSHchWD/NwsAg2C6l40yCZbXuwfgOBQBwwVCVtYckLATX/OWsk6PTZYDEHAX27VYZ
X9AEcaN9qB/3lHXWAqVzuAjtSx7l3gBbFAwCNS+d3RybgwDtW1TZy60FFwVtsquwn5+/60O7wBGJ
Ny0q4rrDYXzOIhRx2VnQnDMT8JDT4eW14BA7ilYwosqsuUa3IzphdKm1QMLBEJUL9KxuV/zAOrbJ
N5Hr7HCG0Z0RoluKbPJJJwVJJZNgtj9/170dIVJ0QnuEvHRzjc5dokBKFkZoGIHUyOEUtpMw8JZI
wCKXbwuCxtisIplDTfr18ZZg5hAYdYcDBuZwDTQ4AlUBDR9ydGGjJYqxpC0BxBQWOUmX5hq8v4L8
DvI6lEo8f84NRxQ4ibBechIsIgJRiIfQcvuSzGpvEZjamYZUokF4PbZNgGsgja3TI5ayPkHC6vKr
x3Ejt6Hpw3NgObZZEMeBbIbBMICNSTEDk7SrYHgoshUI0PClu/TeiDYB/GpBAJcyBbjJ9GV3KWzs
HMSBKcRBRAILKicYQ3ONzinQYEDL2gL2ggGCLpqstKtgkFzAQeQTEk2Yi+Ya3bGoUaHN0pVaC8Ii
kEojDf9ynskmSw/MpClPp8Loco6gXNLIsvCNyKSArvfPA2ovbIU85DNldXRrABC4Q7d+PGzGHlJb
io6WqII8PA5tjdQKpeCW0/kMo4sUO3FBuS1AlhHGtihDfdkQmBBRqFIVDZmaa3TRAYZAOl7WORQ1
8uqq0eFkg7VAceQZ3XWwFc7ojgNaAKrtzpTaBOjaKJT9vLwKVBVLCBcJ4Y/R7QL8GGmfSGSNTNWE
nfh85g9MAUXhXfnZuOICcsNCKlTOBvD6sNFFfNi+/sAlgrUPM0dQ9juX6TvWwD/wHp/rgaaeHz42
lUD+MnupYOjvfuGpAub48676pSlxocaj94uiMKi9d1sHI/77P73ShiYAPPjwKSBs7tP9efeCx7fu
3evprZ7+57W/TBfpg1c1H1TdY94tNlQT/Xe4+LrYLA7bBOKesMX/epJ//6v3nAff/ysDZ8FgXBFV
So9LWX8c9QduuA/yAwe0YV9kT48ovsaWWSM78nQR+t+Q6uyXnrbFH9JjU3KfLh7jw6duISz5kaNo
+ZD7D7u8N3hjAWUHP1+Gi2KRLg9Hbtkb0iP/s4rfpk7wxWq9Z+t2anVfMuv+Y38VtlC67PNfLWO0
Lfojt2kr2ZGvmXHfP5xxteVMyQ5887jweguw8xKkx0UoNYr9/o5ssRnpoaNHfzGwIm1CSHrkuOh/
eS0dR3bY22Pb1LKBpQdmgN1DUPXWRVuSJTv0u3jnZ0fT3NJ3Zcd+v/CjnvXoSmfkx02rcBE9Hk5H
F/fKD51liwdvly3RXe6P39TDSo/vP/ytJLykuXvvcxZkcd5b2XTmFcQS+cfOMp9/kqRnmzryzs8Y
PUYK6Ok5G+esZQ1LDx1H+cCGdJVLsiPfLb+m9FTrz3bre8sPvV/0z62OICM/cPHmerFJMrrS9zYm
47tgZz9j/NkyzZY9S9UBcz9j8PfL0n/oHWNdsP8zBv8Sp8HTHDRLsC3xkh46TnPvzXSRxpyU/eXS
En5+zg3OF8Fw71N/AD4pO/wvnt+f8RZtlh42CPFI+lENQLZgvUgPnS5Xw3L+pnJXduD7ZRRlVbhf
DMKErjBWdviPXvy4fHOTHZ1tbZWd7PC/ihYhLy7EjlXwc25wvBC7LJXs8J+Y/WWWLXuWq8sAyY9d
9qPKTvxAdtzf8oX3tKCFTely97LDfl6mG0623sgt9C09sk9kM1jeelvZJzv07wvOHbp/9bdmx+uR
HnyZ5W8+v/TwbRGW9Ph+9oBevt9TCekKP6XHpncuE9P7NlsRmtMjv4Q0PXMUjvGnJ3GYl/6sD66J
33gIl4v0P/8DAAD//w==</cx:binary>
              </cx:geoCache>
            </cx:geography>
          </cx:layoutPr>
        </cx:series>
      </cx:plotAreaRegion>
    </cx:plotArea>
    <cx:legend pos="r" align="min"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umDim>
    </cx:data>
  </cx:chartData>
  <cx:chart>
    <cx:title pos="t" align="ctr" overlay="0">
      <cx:tx>
        <cx:txData>
          <cx:v>Total 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Sales by State</a:t>
          </a:r>
        </a:p>
      </cx:txPr>
    </cx:title>
    <cx:plotArea>
      <cx:plotAreaRegion>
        <cx:series layoutId="regionMap" uniqueId="{93F01DB1-6E2F-4FB0-8136-2C1259DCF9FC}">
          <cx:tx>
            <cx:txData>
              <cx:f>_xlchart.v5.10</cx:f>
              <cx:v>Total Sales</cx:v>
            </cx:txData>
          </cx:tx>
          <cx:dataLabels>
            <cx:visibility seriesName="0" categoryName="1" value="1"/>
            <cx:separator>
</cx:separator>
          </cx:dataLabels>
          <cx:dataId val="0"/>
          <cx:layoutPr>
            <cx:geography cultureLanguage="en-US" cultureRegion="NG" attribution="Powered by Bing">
              <cx:geoCache provider="{E9337A44-BEBE-4D9F-B70C-5C5E7DAFC167}">
                <cx:binary>1F1pc9y2sv0rLn9+VABiIXHr5laFnEW7ZMtL4i+ssaQQ4AYSBNdf/5qakS0xE1u3olevRklK0cxg
2MRBb6cb4L9v+3/dZvcb86bPs6L+123/61tpbfmvX36pb+V9vqmPcnVrdK3/tEe3Ov9F//mnur3/
5c5sOlXEv7gI019u5cbY+/7tf/4N3xbf63N9u7FKF++aezO8v6+bzNY/eG/vW282d7kqFqq2Rt1a
/Ovb37JNnW7evrkvrLLDh6G8//Xts8+8ffPL/Jv+ctU3GQhmmzsYy+kRppR6yEXi4Ye+fZPpIt69
7WDmHrme8CnH4vGql5scRv5ckgc5Nnd35r6u4UYefn8f90xqePns7Ztb3RR2mqsYpu3Xtx8LZe/v
3tzYjb2v375RtQ63Hwj1JPrHm4d7/eX5bP/n37MX4O5nrzwBZD5VP3vrL3icbYp6A8K9Fh7EP6I+
9VzheejhBz/HQ/hHxEfYR4Rt8fIer71F5efy7EflcdwMlTOY4wNE5b2EFfLmpM42xd3j/PxzXaH4
iLu+K5i/nXrhP8fGw0cM+z7idIcNebz2FpuXSrUfoeejZzi9PzlInM5AbZrbdHicp3+OEfGOmOu5
PmfuFqQZRj47cn3P8wgmW/1ij9fe6c8LJNqPz/d7mWFz9sdBYnOjGyvfLDaptq/obyg9ooRjyjzv
m/165m8QOnIJogJz8ERbq7pF5qXy7Efn+egZQjeLg0Tow31RgGu9v3+cqFdQH3bkU9AcBGbs4cd9
buJ8fkQocTn23O374J6egvQikfYj9GToDJ4PlwcJz8VGFa8IDWUw9Rx8yxPP/1RzuDhyMWgW8uhW
s2b681Nx9sOyGzaD5GJ5kJB8VvWtLmpVPK7af64xYNA4EYIRvgugIUx+CosvjjwCMQMTO4czCwpe
JNJ+aJ4MncHz+TDDgXCTqT+1KdQrOhwICFwGeiOw+GaxnuKDsTiazJmHKd7qzePa2Lqdl8m0H6Cn
Y2cIhb8dpAJdbOp6cyub+t7aV8x6qHsEEBCPejslAbfyFCSIrDliiBB/lu68WJ79AM2GzzC6OEyM
Lu+7N8ebvKylMq/pf8gR9xnQAIRtFQkM2QwjCOq4K9BO0SB0eBoavFis/VDNhs+gujw+SHU6142q
1aZ4TXuHjoSPEeKA1KM9ewqTwEe+wL7r+t8Jn6cwvUik/RA9GTqD5/wwNenK3Mf6NWMFciSIz31O
+F5ssIuOGAP0GJ3ZuZ9Lsh+Sx3EzPK7eH6S6fB40sKHxo115heDNPQIgOOQzO8ZmxhZgBHQCA4IU
TN6jMj1VlhcItB+XbwNnwHw+TK7gQhf2Va0Y9Y7A2zMsPLrX2WAEURtl2OVknub8XJT9kHy7hxkk
Fx8OUleON91GqddTlYcwGfkeIvy538eMTZQbBUJgixXEbk915OeC7MfjcdwMjuPDTG0+39f2zSdl
YvW62Y0PauAyz8c7uhP8xlNv7yNIbohHBIKQYPqZZ58vFWs/RrO7mkH1+dNBas6FqmvdmFfUHSjq
EO4xH9EdCjNWTbhHFChpD7u7mI09V6GXSLQfoO8jZ9hcXB0kNr+Z9LULbhTiYQH1tL8JASZsiAAj
B/A9/MyweYlE+7H5PnKGzW+HGZ0t7jPwOa+ZchJxhMDlcPeR8hTPrZvHjihE05TgXUVuhs1LJNqP
zfeRM2wWy4PUmyl7/kOb9NGuvE7oTIRLCdlVAuZ0AINiKUJAGOzoaAgbnoYFL5FoPzbfR86wufzj
ILGBRoqvm/w1KQD3yINCgeu682iAQ3UH4moX7aIF0KenmLxAkv2QfBs4Q+S384NEZPKa079l+ZpB
AKDigjXzd6mmmBkzKBRwBioDuG0dzUxhXijUfoCeDZ6BdHFzkCBdagP16XBjdKZelUCDdIYI4jGy
S/lnSuSJI+wzoHE434vTy+XaD9V8/Ayty/Ag0bpKs43Ur2rlACefUMp3dDSCvPNp6iOAukE+1BMe
Ow1mxu4lEu1H6PvIGTZXh9nDdqK7V/Q+UMuBEjRnHt1P3QgCuAA/jXd0AZrZuZ9Jsx+T7agZHie/
HaSuXN63m7tXRATCaMI4kJiPFm3OcmIOrgdMmrfr+gBNehoW/Fye/Zg8jpuhcnmYtMAq00a9Jiyu
f8SgLwDTXc1zbsB8yDx9j1B3MmLTz4y7eYFA+3H5NnAGzOowo7VraIOqh6zdvCqzRhHwAtA2sMv6
0Rwdzzvyie9PfbrbygAo1VOlealU+yF6PnqG0/VhmrUP9/2rdkpjSP6JT328I9XAaj3z/2D1INUB
gL53gj4F6Kfi7EdmN2wGyYffD9LThBqM2uZOPy7df04LANUJbBpjkMZsjdYMFahtHkF10yd8Zs1e
Isp+RL6PnIESHibHub7XUCbYvCImLhQJfNeHptq9mPjkCLaAQPcN2hm7GTQvEGg/Mt8GzoBZH6YB
22Zmr94R7cHsc4J8DG2EDz/P7RhgBoZOEPexODDLY14q1X6Ino+e4XR5mH3RJxkwAlrVr6dBEAxg
l2KwWjsy86/cDabQ1sG+kTuP1942Eb5Eov34fB85w+bkMIO1UEPP+q1Vt419nKJ/7nRgYw7zGGbQ
MbDXwHlAvREwgNidFQheKM1+aJ4NnqETHmbTwElx98rdaOIIGm8F9R+rZ+BangZpsJ8AYIGtII9V
hBlALxBoPzjfBs6AOTnMvQS/GTXqV2U56ZE7+RT/sTwzYzkxhpbbaSMbcNIPOgVx3NPo+QUC7Qfm
28AZML99OcgI+kqqV4yewc9QKDVD29P3pPKZuoAhQ8BNE9iw+/Azi9R+Js1+SLajZnhcHR8kHlNx
8OK+V7eviAqBPWsudNFgumP8Z0YMI36EgWqGXVMzLXmZNPtReTp2hs3lxcFic3pv6vvh0Za8guuH
yAwmHvbf7G+t8WB7DpTcYIP+Lrimj9feRmbTLP9cpr9H6HHsHKHTg0ToYmOG190zPfEB0B0IDRzP
Hb/HwZJB0xoRu4h6ZsleIsl+VL6PnGFycZjZzP9B0yBUxrDrC+hJ2yrFrB7gQVMh8J5MoN37M2xe
ItF+bL6PnGHz6TAZgU/3Jod+40eT8grmjELxjLnwz8zHQArDoU9dcHAzDz+zQPkFkvwNJI+3MEfk
MDOY7T7v/4OuANi6gcBYuY9s8wwfaLT1BRBoEDdv8ZlVNV8u136Y5uNnaN2EB+lvTu6gKeBVtYf4
YLWAqtlr2DCGaAA24npg3B6vuiNofibIflR28s/AODkMR3P7w9N2tsne1qI9++R/ecAQFJ9h4yZ0
A5DvKcvTlEZAj+dErH0LBOhzZGaHAP29WPsRmg1/dieHccLQR7uRj1Pyzx3M1AsAG22hp3ZHlc1a
0R/yfg+2B7p8ZsF+JsffzP+D9DMF+XiYvuXy/qt53dO3JuISdp5PeGzz+RkaoBywG3AqYO5vPn+J
RPtx+T5yhs3l8iA9yYWazkJ53aNqprNOBLRnPE4+JPfPLBccnSagNwNYtEf93DqTF8myH5YnQ2e4
XBwmcfl5A9vQi9i+6jZaqJhhDD7F/5szhB620ULJ83G/zYyVeZlM+wF6OnaG0OfDzGEu1K1U8eY1
tznDlho4ykHArrS9YRicwQXnPAgAb3+s/BKJ9qPzfeQMm4uT/x+r9vcnD347lHGxsZvlw2mOTw4f
/PG7DzcPJ0zOhu4I+r1BwjZuOrn79a0L5ztB8vLtlMjpS55R+9/bW/8y6H5T21/fOmI6xAtjSFQJ
HAcB3A7EbB3sJIS3MCKwZ4fDbjdodnehKApvFVOn9q9v4SQWeAeo66nNHeLvejpgDF6GcyUetldx
kGwa5387QfNaZwNswP82Gbu/3xRNfq1VYetf3wJZ/vZNuf3cdHcMdgYTT4DHxCABhp1BQG6Ut5v3
YITg4/h/TJv6Rc9xdUqt0y8IzVZWtnZFcuu/Y7KQ+oSJ2CkCW8uRLVPDG+ejtCy5yyBo0nXQO6Yc
izDPhYrWTuMQ86EZquzMj4VKri0vzJfWKO8PNvLiVOI4O7Nd4i6Ek5pFhZTKT90+Slc8Fe3Ctklx
npSVo/8oZKkv2qEpx3U+4HXcjW0Yj9ItV3nbGfFHqwbiH/tIxoGx1cB/b7u+8a8H2Py58LSS54mr
LV0S3hZFKOLSV5vWOvL3xmR1fqyNTuNVWTcpP7cMSRuvnCxHNGxQqmQf5J3ySXeZSdhP5a38KhvL
Sw3bIOtA9rXxQq8YEhod25oT0y9zXSEnPy0YZX4WVG4kXLZIGy+PLn13jJouiDKYzypQQ950VRgB
ldQtmrb1cIhlhNFt12V1Ny5TqViHgrSo2WiCItFRGuaNGZ0h4E1BiqDwXScPeytolAXSHyuKFywp
6RimvI2LMjRx6UovDfyk0WNyN0bDULM0tHk8sEUba0UDSAfbeO2mfWQuvdw6J6grzDVK/CgYhUOC
rqUmSGpZnEjHadcxK92b1OGNCkiNxqDFRfcOZx1bcVEOG69M0mWXNVk4pINcKF1Xq9bP03PjKLLW
Nc1PtLbNOi3aygZVoXmQtVlz4rd96DUyXeV5oReEy/gKjigswlZm/YLTOF1Qy0iQ8Fgf16OI3pm8
yz9HhWPLII0yPxidtrzKEv4x1Xn8jsRVfd3J1nuXlWn7h8z9fhELHJ2aUvbvYD3o1dBq9Smr++g6
c/XwOZWl44Zd07Rh5LnRosPKuxQijT7JsifHveTOldNHvQ1q44hV6xlyHvEoWzuJo8YF9kw6fCor
nwVelPGPFcfFTT30KQ7ySMZ9yJKK9KHKjdeHehjHk8JADhEIW+fLpinsSdePZt1lafyJlJqcidGT
ZYBL1n2AKKseAr80UbJoUpP9iTvKs4B4I+sDMADFMnX1GAxQv7+GQqh3Yjr2Iam8RZ00lASU9N45
Hso4DhI1ZkUQmaa9auLYPcN9r48pFU1gkwGwbrLavJMZLz6Zui/WbeSVXztXfsaVaUOb+f4pIJ0v
h5LQcKhL/2Icsv5dxGt5WtDefIgxGX9vyJjnK9H17m2iDTpzxsJLgqoi3mmX9WJFk/K+FVV0jBmq
lrJPR0DQS25E6je/I55kn4d0VJ9JZxULWeWnnyunEIsuBQ3jjjVrBDuBl8Lr7EqV/KzTCQ9zX2Xr
xJDhqhAFO+36WnRBMaRJGcBY5wonKg1GNiYygIKtui6ipD/tnbI3oY5TAqs4TgLJ/D4LlHXqBXWq
Yam7pgy7qJPTvNjA8zIZxg4KS1Z3pxqJYkEG5n6inkOurGM+qtHcJKXj3fVMp26ARIvSgHWwVyZ0
yzH54JmEnuVoiM6RpWXAkzpaeCo+EbT2LobOVKAaTX0zZn62YAbpW94gPyi7UV+TSIxfq06bKsBO
1gci78qzOInpx1hSFvIqc2nQ5dWwGEcRXwAP1/xhmbModBaHUZqjcEwxHsOkN6eNKuNNTaS6zzq3
Ceu2OnebqFsy3vUL2Tbkd1dG6pg4cE5o0HfdcO72pb+gKe/qwFrXAY2jEl3iqndWRmNHBlDa0+/S
pK6rsLRYLLOmx5ctHCQXBVmkUBvIvEv6Y1fa/r3uaO2HadyRm9ZG/te0y50saFTjktDPOrGMIjm8
p07kn+u2YJuGGX0meGR4MFgMdq5BpL+OcRGVQePLOnA7ii48gfGHATv1pReLZgjihnQLCIIzE9RK
nujcb1VQDtg/d7CrL2H/WgpLlOnQov62Ap/3Hnd8OImdqA7hS+MwTqL6hKWlWNuK9ueOdVUo/NK/
pdqwP7VD71RZuefYa2sbDlU+BJlIlpVJHFByJ73oeulfCJKm5xJpngTJeCuRWwUVynRA+/6jRuam
r0YU+tjIsIjyKFANlyuFMVsjNYp3FTZ66XBXkpDWXX0cO/IyS9t4RRsVLUxh8GdVMbpOYoZWoO+3
yVj47yu37kJZZfpD7GGwINKUp12S5ktjIpZdMI3jkNVFCwd6oPjY6fpBBTzndg1Jg34HKzdfFEh0
12rQ5q7qawcFbokzCHuo/ynmET0FCYeF25VFqFnJyiBLWX6dRw5bZe6gT3Bh3RDVqF8MNVLnjom9
gBeFXtumbxa06e0frjFykfm6CFov/WJr/DWpyjQcwT2et10eNwGvO3lN/SoPilqniz6XbjiQvv4T
kzZdNnhobhLE2bKlnVnq2E9X1Nf+ghgnulEtri858uy6E6QCKZS5auOE4GUyChMH1M390DHSOema
M6OoDFnRfTWIZl+qvmtWceend7nv4eUwIsDV979IP7s3qapPiAPuHnlpuqgY/F/EPBEMjPHjVll0
gpKMLlqF3ZVrFT4fSye5FYnPwHZKZ21Z4QS0jrJ3ic3IqVsnalXapDppICBZNlUmjgnV9crrIfJy
Os3WqSvbM5XrDPSoL6uFxY6zQMNow77U7ZJ4dXFrWadCkP2DamIcNoPkx11LqlCxi5F25XFB8zRA
pXBXGrPbCpXvmsaH0EEVSUiTcQ0m2gkG4vyOFR0CKblaqXSECCNDfJkifemV5p2H6rWoq/XY5U2A
8rRbIFm89x2bniZ6jFeFKf2gEsgNuCrcgEp5Wo9ZvIpodkFyx3kv6r5bZ7wRx3RI4sVI8ndOWlwP
RsmVzZEKRu0UIc+Gd6Jt8CJVabaubakXdiyLBY21HzDZ4HXRkhGMsEeuHNu7Adh274Olrjoek0iH
guH7KuLOkg1JHqi8yQNXlQwcWSrBH5DmXQdtorcqH6ql58Dy07VzzPu2eMed1gdnPMqgZQ0OkSib
kz434jgpYieI1eif5nZ4lyn2hUbex6dHqz8Lw291CfcUy91Z9t/+/M8HncO/D2etf39xOgr/+1+Q
nm3P0P/hp6BreOJR6vmHplzq23d9P9V9yl++HfE+y4i2p+7/Tbr0wzef5VLPWONHrmebS0F68/eZ
1Ix8fppOwbhdMsX5kfAIgQ1zwIID3TTth9smU3Ak4lSoBd8DZ+7BGZZTKrPLpeBARAJt9ECb77oa
d8kUhnI7caGBSGDgFQUca/nfJFME8sInudR0RTiSTMAJMq4HHcjQQfk8l8pwYgrcpezex5FtxNIt
aelkISpbNX5irCnTDXUMq1dFNdQDXVi3Z7IPHR2hr3FhaOGE2u1T71RINjSLVDhFddyJPKsvMpaX
kAbotGflV5bapNcLh/MsIWHseRTfe70emveZ7L1s4/usjG5JTip+GXNVlSTIsapBFFoyk19JjGxX
LOKMmbQMdMfyHBzbUIHIcZ7j4czNSZH86dSthjFPIN2TcUKj3LM5guYTlwrYXzftFoLpAmSf5pse
zlUjufTvo04XSXVsc5rR44y2kFcdj3VsVReOqoSTTzMUKTda/fjyGMjG59efTo4hcBADVIZhU6WY
3n+S744J8WuOuLpLcEpSFVpNGIGIRrhOlaxM38XGLgxkhFQGDnXAGl13lAy1G2I68o6cWi6LOg20
rojBl3D6fQXv/VhIWMJPZYRDowiB/mjoOIB2w2lZPpexl8pxpSHOHXdMi9xFPHqxV60yn1qCgsJY
zr+kDEUWaJxv6vZzbKbrUgFPU4BihwtU7fy6ZTNoTzvEv4sHWHM8aFGZ1b9LGrlFHHSJatRVEcGD
QCy4DQ0lkeDHl4cel9lte7A9CbZeCEiU4TSGaVqeQBOzVjmol+TO8TKvIiHkwpxtQJEce6JH5WWX
ysEaX5C0gnAgrREC8w18agaT8t9KAps7OezKhVMfpzI2ei6J9GSUJQMyd5R3oHKrAfMRpytmuqam
S+VHlH8xDUxBFdQcqhVfNBpaI5at0qjsfoIKcD3Pp4W5QM7CgToTEQSdDrPVYLlCyZAW0S3kBAUz
a12VeTQsnSivxbAefNPDEvnx/eOZJfOmbhY4uHxSVCgRwyM0nk9ALMaEidI6X+HQVC93jnsrJ4XI
ey3hsSNNl9CRQtxbD24Z9MIlMBFMIdnc5CVPhrBwsCluRC5zU0DgpI37Pm9VUX/9sZiTPf3OXVEP
WG0E26bhYDsPbDjsNnguZdNFvkHV2H/tjTWwCFCTIsAH9R1hTtAb0jo3pZtWk9LYTk+/IBdqfoLP
XyYLYw47uAmCLiBKKJi252L4EIHboeb6a5ExB2x4AtZr7IJ2QHZgZyRiYPfruIGzmvIEQsIsNGVu
MDv2gUpo06CSYG0nyz9IGFVAyt6e0T4tdf4TszI9gmY2X1MTE7CGvgsIcz7zTz3pilIUI/laRy53
8mVi6zJrrqvRKgjuu2qoQDjHy1t4T0OOo4eFD6Ghc9OVZXRSC5MlcZiPECSf5bIqbATxGOKRDRuG
nOw9z0U85qFLRA8m0XWSARenaBQZfGuqoq6qfqKm+Dl5CZaKw1FG0OWDILODTgU2sxiwMouqLdry
i8c0S1hYIuhtrIIoaoQwIR4hU5dBNGytZ9ZQeK95MCcljnx4q+8s4dWq6cjPdYjOrTgctgjBCINE
1IXjL/6yLNI+rYEK0uWX0oAWVUtSpz69cLEkwxmpgSStAhG12fgpl/0weEEjTVfJEAx+x9/H1Rg5
xyaHiP2TcZqaX/qKTwFCT9s8E+u0YRM8uiYCltDQeqx9X5okHT+NGU87yACybHJaCmYfANKFkPAi
gVh1/OTnfQ/YEZYM8KseUWz9BZAcpF5xr5mwS/tYQYBRPVxe+LEzdIGv+wS+QkPwAJIrp5hiA1uy
PN30NS+qciVag9sbSvRoz41JIxNkWW7cPHTiKO+PYwrO9Y/CLyL6qUUthkXm+THEGS3QghCi/Ng2
zK0mzL4HZ1lAr8TEoBM8WxokGooYizL7MuK8hiSwd5FX1gGwRzo7IU3VgaH48RXn1ggOdaTA4YPf
hs5n8Zcr1gbVsstJ9wcZm2kxdg2dzJ9beyk4b95WjH+JEjLCIgQextbxhQeGBdbpj8WYagPPtJzA
aUauNxUNoKRAIUp+bo5G0jaVI3j+KadFbklgdcOce13JCqyRTOsCL00EHPl1W/sxWJxSMh0vY9+6
rQ7gYTBd1gbWjauzLPL5TU9M5g9B3WHevre+g1RYsbHXZ7CIkAwSRCNVBjTieFJ2iWAd6lZCdHES
JamdNL+FkxauptOXyiEgqSF9u/7xHc/tmg8HnaOpA8N92CgLOcHzO055JIuuqr2PbVMgCGKZMS4E
sS0Q510Aj+qi9Fjirodl26fAEFRBbB8iW4eX05ImTdK50U3U82lJu5Uac3OsSpdMJrIaa4RXVdaW
tVqPbEhB6yJg3mDB4sHPQTs9XIEa/fiW3Jll8yEC8sFtglUDBKGJbmaqK1Lko04K96NvJQHdsmU8
CWAd0kyq+6DHsKV4ANki2U8qDrZyMimmrMDROBI4G6B72fSSrlJ4SBrQVR49VkDJwkvV0Gl+GVU9
fEpJIPbxaohzXq9SB4juVembltThAP4CbvcntzbLAODWBIZjGuD0RugroxDvPUfLAkfuZY0ePpK4
nSyVNRUsrTEblb61yE/dAog/XY2fPLeY/GPuaAyA9DzP4mE55hxDuUYQp+k+QpRqYDo6D8ie4pS0
I1iTQjkClhjtsnKybg2YzWPllh2YNQsRCVxQ2QjBX5BjYZiKPKYwFdZ60rEhy5oEVEIKN4G/tvMz
mcLpGXM/irRnOgrPh4O99uC/GLBKwJLMQ13cjZQPvHI+tLmnwTpsw1tX+n2bhpBZyrj4mVmYuaPp
khQ2/LlQU4T/IGp6Pu0IqkmUl733oW4wrBA7wCML1Bp8P8wPUPRUs2XUObqvgQkiA0x41kYFhCxg
9GCWOtNn9trjtR8lq8hSH4wBKGT73kAPCHiA3AHFt30BjmoHW1x1BUxln/kF6Apo0QRHnPYTEE6i
MPwSQyLa90jnGiRhaQq+KeV2ylN/PNt0qtg+tYlw85MTACMBPY3QcjrPbCAcrJ0Y9cMHKQcO7Jpt
UlKGUYei5JK7IzXDspKGA6klXFdA1cCYSlWnKGtIz4ISoh3nzMS5Qy+iXHokBGq+j2+RytBxFzWU
L1IPqPc7mmSjeZ9rnsOTEEeonVzRFqN+XPhJIVgZVhA/1s2q65jfXppKRr0GLhbl+Jwgg8WiKIzA
QNrbxkSB7v1qhCpF0Rrah3GftqAM7Wi6IYOqK0toshLA+9MbntmBxiHqcdM161J0EkcQv0WxPbHS
g8gs9MasG0dIa2Eplid9OkRNUNVlwlet8GKyYLnTjx86rl31qaFZHEEh2Lo4HCA/1UANxrYWC6Hc
Lg1jlsXH8HAKu6g06sazSBQIrXGHpbuKndqXaFlCSY5+HFgbp85HoVHff+htT+yFU9vCeQ8ew2vu
mOHcfBw9KFvqoNQay/qd6McsXUcK2I3VqKmf60Ckmrgy9MxYV/5XnCd+cQdVYN32C1gqQ3UvGtt1
KEyzrsbJsY2KivlQNUMs4+sIiHl+KbDnpOm65aVbZ/Je+gWxMMs9Jr6hFyPRLSzpEZu6lO/gsTWW
o2VR0LL0gKeNlMzOC9anVbxM2th27XnHolgpYDrzrmHvo8Il1QlPqIz9FawVTtKgbEcEbj2rfdWJ
IHYor+xCRmZMhpMurh2p1p3KwduEqegoGNi2VA37XTsNZ/UJLI7OicKOQNiCL5sSoi4RWKh29/wq
cz0Pftnti45SUD+BuhNk9SYcodhafR2bSrjtacJNGbvHuHcczwuHhEE5et0XCc6zgNF28ouIOQpu
JyYMnMqmjwZ4Yk+YMClYfDV0ZVd610nkJF228lLiuOVJ2gzCb694QpgSQP6KiZPwjGUy/eTFUeSM
Z5RmNcyUM1Rgsi/AaleSnTkkMl52jlWlcHadJB2UmpdQHurqeKkVbFcyIZisSaShdTLkLlEsB1Ut
UJkmxl8UFjms+N2N3QKulyeZEB+b2K+q0EDqDTPr+o0CDxJiLqcvAfkhZIH6o5hieipruPuwlLgg
fJXIbpoxktkUfulaWuemyL3J5NPWxr4Xis5qWABjAfHG2gqoOoug3N4qdD2MMH1VAs/L88CX1BFc
LZMYkswCqwkeXFLpss8466d5LqhIgEuCnggDUDhF6kt6X1WQ0FQroxREWmHn48ED6t6XrHEAQdpU
zSebFI0qYL4cOeq1bEaK+ws/8SaRFSBdjjccVhZcgcBb1dfI6acFxqFMDcizwYHXMpFPU9O2GD4K
LtavOpChhWc9wT3u7scYQqqvQLhJeI1BgYHfpIxGAqpPnQACKCg9iWEudqsnGmsBX+klznRzkR0e
JqOBVWPCXYwr2Mimvwj0HFwQpIxzs5tqZ/vxx0nefg6YAje98NwSai8hLhzZfk0VL5VZq4IMcNOV
O8IDaIPYJbFCN5CAx1oEbAuUHlsLSw0y78bEJwUWQ8QCnMp24FcibzTMUuvmGXzELYFjMyHQHFEr
ghQNU9Ab59BuADrqxaj6KrYzqEvQILBr23uSroIcLSx1wTt8PEDpEYahLbTb5cGjNIP54RTqeGjJ
vGy6+Z4PEtZpjM10GUklhxcH6BDx5MfRUbSxp3CnZJre7UIam6EBKeEmp2/BytQwDrr5CKyu2spJ
9O2EOmMH5Sw43oVo6i0dxIo0ORmh4aUv1zECEgktO9Vo0GmRxBPzUXeAr2o9t/qKeVzA8qkZRKxw
86aFYPeqBi57+kK3nX5BV4gPv7ICTeqQj2ySv2h4LLuPTRZnsVoVsQ/fKyuCY3Kc1oOH7RnZrhWV
1MJ6692Ui6Q1IM7/cvdlzXHjWJe/iBPcl1cuuUlKbZZs6QXhpYokQBAgQJAAf/0cWu6ZcnVE1Xyv
0w/tiLKsJJPAxb1no+0jhl+CE0Dgw6nsGc75JZi21H9B50bzpYbYZx7BZ+mW4MMT2uF9V/U8SGCb
AwADQDZ4TJ05Z6Ldt7PB+Yr/xpxJaX5gaBatu0SFHqBrmGPhc14NRTzwpSS6BWwYFIHBz3fzpPEH
msZkuPLJ4P8dX4HbJf4aACqagOUP14XNBKDAqig+PehasbymI7GYAojb9rW/Fijl9GCjKUSFyVU3
mLwZOI5Y3lhvJAUY5AJHlX3zU0tRb9pBCMZOv+BksICdogfTDZh3v7tYIy34JGmHr+MY/dwzk8gH
fGGarIxsr1GXi3V+maK1W9PT/HHrtmg1vqJI2o3hjsCr66RJNz9AlZsVyOqxDqzcVw3wqn2Jf+Cn
uWYrvoHAhPv9zn0f4g+FBY6fn3qgj17ZDxtwZXh62FiUgCxcyu8iGSj8ROqCfYYFVaaxrj5Ali0A
2U4OZpwUCc8tmTb8ju0DeiMYy4EagqxmgChJwDD6co7ZaQQzCmAiueEs3ffTHK89QPiW5TNKZZQS
hzNPO1QaesBku395po92qCA0OQMWT4cRUqYb+DJxl28r2jPiXVaileqvRQSBRFcKg+PuLmMkSufH
eKfqSWMJ9Vx3SFeZDBoqCQ/v0ywzgEDpe9xGAUZyHIYFHv7mxRvuKh35fmzwhOzLTYUqwOL7+Cbp
LIBER73fR8tl3RJOske2mdV7VmimgSpscirSd9RbrC9vlRu+ARr7+z0QOXoo/hgvd5Rq6NGvorMu
uFjle1q4bgq+xXZIh2uaTtKRQxwKPXt/rn1ALWlwokVDUuoB+LcH6QQkSK9AJFc2f/LbibYQfiQu
6uzTmqG3mX4US79M4ZsmOaCJo2Jm4UXlhZtmr1tswliUBqeDxbAPIQB6yixLChMYrHJOi7Ba8B+9
bCkzyMPinZ/+eScfz3KSFABxhZBEt9/Wz3IzDMte/wrX7tUE3f++eXvN958Yf6L3hIb7f4Mm0cNP
uNbtP0gioBO8weS+cxv9QCS2cotukVy32QWyodio+64s+P43v5YsekpUogJv2MJffUDwezn12kpZ
p6KsDELl5w+my9pVlKs/ArCP3QZl3nmdxn2Xt962w4EaPBH+iNGWzWeoM7C+Yx/8wxW45X7lrAfT
+P7rgxJV4EibsFS854+JbezplrGSjtLEj+yjYLEPoHGCVQGrwRumHYTUKlVxXPOWT4KU3QQZ5bPp
E4l7nleweMulD9u9jeugq/Kes2XYL8v83HCeYDhHSpKYfZPLcKcZ63G1+5rMyBayHly5HjlvOjpg
Nx4+vhDgwHvRYwjiwe+NdeDRmy6Mhiz/F+DrbwM9sBzUB6zgEMUtDf4LVu5mcAjAq8PnTogUV521
rcVugKBhuE5evO+gYQHwAq69n/Zr/5fp7vfZbv94RG8g13ZPh8Tn/22wVcYKb9UZoKqP0gj9xb6v
MAdgJ/3zR/0NQMdu8mHLwmcBssL/p/tY/xeGCjqRKSdoJf+zRnxmhagmSeL4HgLvfXUXabc/VNNT
PGERqxiP7Fdx/Odr+R1CgB0J6ydHiE+egg7HOg9/vxayRCHgW9o+46VAKGN9Euz9uNbIyGw2gdb5
377n//5AyIQBHKR5EQJcLP6GK7JO+QFEsuRpsiMOipbhxD9njqHM/drZ/3yDwQ7b/V96Z7/DPbgj
gbovDxF/+3cg0w40bsd5SJ9+VYy123bQ3qWQ4SUHC1nZcqCSbOrRrJGjNTfjXs8jhdLg6S3GefQv
V/T7SscVYZTaXwcHyXSCgNi/02Ku8L01c9H0NHxsqhV9Hfa4NYygrvfQnOERdLFx2JlFhMMBrYUH
wZ6H5ieazFYtEyb7Q8IjkfilRWlx0PLJCT+O/UGCK1TNmCer9YPPkh9l9p9v4u+PEQ8OofY+3osL
SDbA6yJ+Xzc4d6c5tN5y7TTbK9P2sxGSOhnNo/NyEyNJ6/8d6kpAgCAXx/+VwLKngP/+eZlFN4K3
65nrr2PPtt1ES1+gsopSaXgt/mefB8h/f6s8NgZyYOP/KgfRSoBELz29fhxLaJL3p5GxAfti1NN+
YPzzB+715S/LFAsC9NP+QhroUWIgmn/DM1e32V5tCTtlo6dYUmWcZ9F7qrBh/m0L/vdH4dHloL3w
1mkMmX8vdZyE3Jk2bU8frciSAB3BOgonjj/++a5+STH+cmPACvFRP7OmEHaY40V8vz853wcvk/Wd
Pqot9DvdhInd1QgGYZZG/Kkh883TSugW2GoB1fOGabGck3YO+A1Oa0hw2kowCeTnNoyBPfjQDCYt
9NwOvUEirsT2LLCuIiEopzc9TRxjkKJhPE4NH8wWzpUv/FTzOlcJoLbbyAYiSh+KDz6PpRhGonsy
cghT71jbLQUkM2ZJ+wCYCIVU44RBI+t5PXhU4lH8alAyD/+sK9lHW4EOPcdhkf4sYx+jBlt9lO61
4yFKN0bDvQ1YFwjvvZMIc8wJY2jwA2ixUpNdIz3szZz30dtIkKPY7b7Mg60vmZ55sEHRqIqxr1OZ
DdSU/4E8JhybXfmrkfnZQYFZW/H9blO+H+LZBFXfGbMFS8NG5gIfyRmmiuXig63o22qwHC9lOALP
H+jwEqHtLaJr6mAOkGea+t4OBuhFAWd1H3NYsToNfWTHDAfsCgQmA8tQ0m7OBak8I9rV5+WEFN8k
fCimQmZr007Y3NOnxBXLJj6Bb9gZLfSAfphexaxBInzqJdDmtoYICXKCQ6emIKAVD9B0/ukweur8
kqR2Dd+DxLo5vwI2I/JxLArKwoaOkJtiEoYRxs4VbDHg0ptRODzbGnryTbnS93bpY4XWLEjyysWO
rLes0LPeStDRa49pusgVeNG+g2Yx9od5/ZZCsQgzAonRcI8lz0auvoxAXjxT5h+U269aNIEPb9Pb
nKNu08MIJTwE0r/6LADfe5/oxnk/dD6WBuSA6AbHbGAY2VQBRYwsF+WnPEAla0WGywgZpOAr85bi
E4q4yJ8lNIvDgfdJm5Rd267PiesTWrt+Jcc+XqJT70fbmSu7nIBkiKdMpWFli6S7Zv08+MCMF/WJ
YFGf4jaBAwW7r/tGlRy+tH4vaguXA2bRIZqPGHYBKYVjcpNL/10wbMdxleltuvayzqDRxNP1PXWg
mY0bKnpzv9Fh9ht05XOTOz8asGJT/r2T5hleJXmjYq+94RA8N4kGBA3tS3tahCnqrljzx0x2E3h9
2f/o9UTqoZNt6eJxrBNSTJd8C/nBkREs8CiTGL86dyMEqGN2WPErzznmsW/KCnOE7oH8mAoIQJkN
BvgaCpocOuqLZxkDmy8HQDS69CLRvsAzkX8dvDHBKG/4pzUP+8YPZ/8S+0XXl8Lzolv4RraDmjX8
rzQjjwAPe+iV5qj4EYDqwTwTyOBpCWkHMa4bvSbQfH7SSwzAAaWghofDXCKtHKT8fM1hDilIl3/p
l7BwZygQzHcdxjRohJEzxpyed65ckHT5Rz4nGa894qkLLyBHqONgpo92iRjmJC5uEj0H8P7knfjq
Uy1vLQJmbzRsI1ihJNk51HZZLxbt7B30xssZ6Ld36VnUhXWO6vcjWFc4gLYtDzqMzdJ7W+W0/jF5
nq3CPti+ak1FCEWBhHxw2zRWbjfIoYRiSplabiuzl9S0U1v6geyvLshQiDFSVcsaQZwMd+ggL8pO
6hBKE94kA7clkN7XZHXffUPINQ6wfRZt5hrQIgS8reVLVidORE2czeNVdrF6c9KiJ/NBb7e6NAwa
CFbB8gDRuGei+CuYaVFG4TAeBYCCMvT5/GiDkT3qzs2sYvPcvkydm74oK3lYTtbYigRKQk6P6wPj
mgNzw8az3VbFNl8filB3QzVuC/1KudxKkDz8FWGnUynlEjwWIBHOMlR5ZZRPLnE/xl91ntpbCrx/
Ae0QG3womUtivAkTqWlv09wTfTkErPiqPAwDdY7+jJYJ1dNDuqbsgEKfplUB381pDkT3AJ0OtB1r
p15CMcrjAivEkcol/aoi8rJiTn7ZJr7lx0lCbk0n3v7h8IUcuzkzpkEb6J5nVSSkVPEExpa1c+l3
y3JOCyaPE/rQoGwzXbwU41x8i6yMPlFFxLdlW7Y/DBZ4vWQivIshLDj6OCnqyU7zM/pLD06UcYEa
X7P3zRfjMRoCAmUW4ORr5/wYZ5lFRfJpnwMPSlh6ykDMVFKP9MgSo16g7Ypw/Ut4CfwxOtA00m/A
5aaHYuzUKXBD8cy52m5aTafGZii5GIN5fx1jf74oE68Poybqk8rz+HvEFhSHcHLLNXYcmweY1n0Q
zebGqmw996uNBHCbfDySlMc1xmMoLAF7FOfNU+QWDhH1uIV595IDOnmbtnz+hAO/PWGzZXdb4M3Q
MEHHPhQkuQXDHURwvBVDnW9ujLDe1XjYWk88MEDwD60VcqqgDPEPaqXTm5xN3GK43rZbVcTmBkIl
BnSAw08RbQVHzeYWynuWnwJwftUit/g+X9oIyLzyfngkhAbt1iXx1heV4xa9bp0ZQNr5LUuiJZsb
Hy8aG2bYRSS5XT3ZPgBlGa5e7MbXYVZf8W9aAL198Ko5OhhqMnq1BYX8MpFBfymEDN+NBxdhNXSr
fwepj3npw2WZjl04wJdVdEF2ExOh8kPh87G48C6XNXjcGGY98N11Xmw8gx9lLpaSR2S8Cg98/43z
pgzfdeqvs7qdigVET2BVsJ7HeOL3kY29x2wselmlVnWi6QqpnmjbLzCWDMJ1N7xnoq89NSYQIRIS
eEdYY/T25PJRme64tx5+XUwWmeoM35pYW3ZhmMnVUAUZOpcq4YYsd0BLqK4iE7Sf1mwTrhL+kN5C
rkcCePLQIt7MGMTn16TH9KdQR5SckxSNUztCVnRa5jS7JKH1R/ppixwJl9LZyS/MJUSx8895DEbg
OA1uVPA66cQ8F17LKBQ47VCoEvaRdmCVFxf2uY+gminDLh4eBZxF23HFoElh/phC/3YtqB2rUAHH
v8sGlNMaArmtFkC2LhTmjyoNMnaZPWc1vR+clxYbXGZ89C2vgdNwtqu0ZJjw+3mOaT7XLqXpAEOD
0QL7IQe9WcHlEvImDszQ3cKeSNOSj4B5q22201hG3IH4yQxlp7GPE9G0IArvWA+YtKa2t6eoRSRz
ncITmwESoyo4s1ZJ0JEmyRxcU2C/0zmcr15S2KzilMS6zGIWAYoDZvcaSE/9WAq0JpGSLjwKQYKo
aZcuNGGFFq7zYJ7SuxRtLbMufXJeLDI0ZiZ3/VChks74AeF7PdImUYSmPG06OcgyaafAFg3jWZB1
jQytSJK7wFtS8wIyl5MTnfL4a7ss79vWtfC3yfe2kAktMSbw5xXajobkBC5AHB4+ikSqQH9l283g
wuGqot4clk4VlZzkJssMMk1Zcp7wZzUOaa1U6uAa62PU12Xm3+eWbIdMDKDxWkvuwDDmfhVYvU71
hsMmfih0Fz1nEBCpul+A9WA9YMGU0MOtPwIh2aOcRp03OsvaWy1G8WwmPbeNse1CzkCN4X3yuC3O
XNCpDsdpOLCJJM8j84OmmDtxw0ji3cF9G9+EEqSlaDXI6wJjUR2GBC/tMJk5bjYMhxLJZwOv4Sqc
dCODFCY2lq/zWaqVlIVefVtNrIWnJ9WLLIsAhqxKQBBpzjrFzTUOIPfzRvCSFgLeezpS8Gu1wqZc
y80xdcUpj8O/T9lQ9xT9BS6BPOHU6Q8mK9LKjLJ7pX0bvAN5sweIdoojPJD8kMmMPnjUV9XC0+6L
P/KXgUIJ1mJwO2QhoW9iDWdRJpEQb5FPYEAMI2LhQrU0r3qAoxciQ9x06wPh7u1SYdiN7inGkssC
F+531kXZOyNt8IUF0XoLwzEECnIS5wiQ8SvA95DtNc3KMqL+dJcSEqFvRXHcF2H8PWb7MOxGvp/a
NtTfxJJ7fTOkPYhQgMkiPY/J2ItKq97O4Jo2AbAwW2lQRQPqSJl6PU3uBqnDb13XzawMB1xDSYes
g48Rv7cC/IU10TmZnHlqwqyeOwg5FXot1l64FPNniamtq5iMIv8dB++qysLL1+UEA1Vaz5J6Jzj5
wpddN3AItoUZeMM9eZ8kln4zSy5xPGDyPAhDoIYSJIluQd2pG+kgKil3k7e6tdrIbyycbV9pwIxL
2S+D/T7PDnsFmxJzmpFAMX8sYK2WEozc0ox0iS4AqVtIpnq7oZmHbPQPJLos5MCzbr6JHea30kM7
MtcDmbyk8SYOza+/LcnrrIfhLZMwbjMd6Xrwvcm/mjULnsGu5QVUQejhynReu+G4oqm6oPqNa2On
roMd2BZoPaHi8MQ16tbAqwzZlXiO+4lslFzgMIAiBYuoijve0Zgth3ZJQaVwVlGGJk01+xgLt7ab
+hA9dTSS7cuozcjuQxGsusZUQRhKWpGKDU74wLSDO3p+SMf4PjURyUsWTH30dYBsFN6zxcstJQcQ
Zsz6d6wTqSgqTNsWVl2zdVybKsOBm7i6A38FY7+Bmjt29bg4wtmNy0kY+ZU2GMDkw7AAHYpKC5l3
YQ7KyKn/0rYsFm29YquARoEbJxpVudhJpPOhRa82nk1nPP6nnrRdkqaD/omPTTKBa3smfgju5Qg/
YT+PtXKx59MHauBtT15jD3IpQ6FkBgewQOaO2/+De0Xm43vUdHR1AdN78iUBy9Q9f4C1ntwJh3ko
dmg0DIiVN8gi2al76AV2HgT7cMt+tDHxbXqErnrDfpsCXfRvRq4dLL9jDqDLw2RL6JriiEA5nl9N
B0Ahv53RUNqrTwvfIUKh1WZixw3sFp4Wjjwq6LcoN+PC62SYjRtvIoPb28peQGWhK4heIk6eozmR
fdqkEKr20cU3ZnICOqR+Ro+D2aGdDlLmFPXYm0XNoEK6CyHmQusuC1RMV/RoovL42M8Zd04ChV2A
pPYVJFVmWOOmHW3cD41cobgpgB2MIr/d0PrlDfGGlIAFWwhMgGUQT0XcZG6L4iN4P/4qczO8eFDX
zGUoYD4r4ca1WwO1Cf/hjwxdFtTvnWKNSHXR1YuCTsWWWziBfNxS436q7C9F3y4PAEuXE3Dg/lb4
JKpYmJo7GjjHGxlxiLWWAkSw9IZnWtg1O09o4bIyGqWLSzuubDyq2YeK0eZyhZPWX9gPufmEobTG
cBOnOEdNPUebe9I9fL5oELyhQQeKCZFQmSRHlcYzrwnCEb55G7EObuF2nYKnHPbLpF6RGfVdIYgG
Fmq6YDQYkbGAaUTRoGvQTih9Ml3Clh+tZ3fEBR11OMJn3rUH+LQW4h24CXKIc8IJQQ7Ej4VoYufr
U6BF9obUhzjQVUbCVlQAFPsEE2rm9JXnqW/q0E/M/AXSB8gmoGGFyq6CpmNa0CAFIXRFALeuLSZv
XsYT+vA7C8LNlmvEsiZj6XDxWi0gZTcJzBXQ1kk4PqvQGV3nY1KAkvLm7gjfAh5MZmHwjKCtO01y
mGhlAJh92yBYwNogxaPxfIH73OQhDaR9cHjYdVyQvGgQqbH+4UG8BPCQyvbWQxnW7xgu1+4xowh6
QNcVwZmKDia9qDhL+m8okZE7RktMYYOPyB1kku2PViGcoczXzUKuRgyQkW3rbSl7f33JbWIeVjV0
uAXY2MAOZ1ygmmYcZgWWFE8B4MOsLqhYzwFAi75eoY35vEYxfIQJ0zHsv5RCnqiS54m04jCHo/8l
VTooiww6xE4NGxT6Gn5fWI7cFZ7KsK9DoxeYuoYRAvmiX4rl3KYK6jQ9bpCDtmS1uNxi2KURmIYr
OWYOjuc9ObLEi8J7XbcLXNrAaOB36MtZZpAXRq2e0BSMTt9FRprbNgyWvPaTVmYHCCHkp9VmM1TH
84i7hBoge49Vl7clRwN+P3l7x6vxNisEz3hud6wzUkCOwqa+q3GgUyivAJc8bBwIQLmlUsK7vEBg
V0c+75tt2l3ubQI5HWQjXNZLJP9ckWnShETbap0T95ahWiw3doaVuR6mJX/SiZoRjOElyYSBoAcK
xENxFw0kvMm7gWWQCRHHSxWQ4sbzuvCbG3q2h0roB2j1aAUNWPgVrhgzgmfICgdHtqaqyta4d7VZ
HdXloPKZNKbr8wH1V0XDDQ1ClxzmdE1ePYLkkSuQK+RTQMixJwxIHrz1BRQPJYcQ4yqgMPGbbE0c
hoIihKthIn7CGx7Q7hNLrFornJvo6tCf112kpnz/3tL7NVoBQ0ehQCDNwKMvE1QWbbmY4S3SXHxR
sxAlYsmAPUJRCaFUu2DJD+qt9Va/RW9lvcpD53GnDOw9GrjL+9ga76woNnWtepbdz2YWlzmZ4PVQ
GbsFLpCdPOLnr0CM+wzLoE2/yXCLGhv7+mlRLjwzxNOFFV1yJN640eeQzoyAeDKt8xPSKsa0RhwN
GifeF/Y4JuEyPMEt29cK4FatsNTjaooS06B9CW5GJzpoA9fgS0ec/VKQOSilNj6skwlreD6QPyEr
9us4ieeXHO3+MYhJ8E1Agf7Fxz9JSs/ii4Pk/ws8N/mdBcl/lMuMXZebrxAozw/SIMmjzGfhB9gH
2wNSkRg6miDmR5wHasSYoaM6zyBOwb++XadQfaYAO+rcYlCZENC0lbYLxKuXD/Ez7aKYVzFQ/bOU
YwAqDEpLFkXfnQH6rxomgQepbzigGF9qcOBwMX3BRCu4fFKxFnFyP9NuQpXXeOsetElqgv8ZIgEL
J/wErgGEo7iPEf8D+ckawqsR1pHw7dydfdNxup0h5HbzC+ntmnxPxliwExU5n+OKxMqfvTpfEmQt
oHgxqFnAaUEfQYugT/0awrtgQ9uY+66vFEuVb8/GWaCYZRra5BDH45q/IwJiRlFBzsOAlJU1Szo/
qdHnQadQey5tWwha4PNfIEdGGw9VlYMXGpsGMvY4gRS0k+IPf/JcpmsQmhDqNVqujnVgLPuWQS0k
W7KLyLEGJ9AgCEfZ/OlxifIZI0wf2VSpV5GvZKE1iNgccx8sQ72lV0qFNqLWa5qnQePLyOjpm2Hb
EiBGhLayd9UqYrRk5SY7VIYTgU2SFhUQ6/1O4rT1i+GIjJ8lmz4br93CpOxJzvB30MJnqb3xZo2B
+YY6ZD+klfWLPFsO/0LP/W4QAfkHAzVeFIMeE6x0CuHD7+Tc6GPmoFYW330KF8kv1jtMWQL6SUW8
hdpzzZeRVz6PVZiVGYKvoFQZwKPoao5Gm73Qn0TXP1/X7+wyLgvJtSnsqnjDAMhDcEW/X1afOFiT
2j77wYTcvU38Q/jBWTFgIXoCdNm/EJW/c/L7J8LGjW9j9w6D8o3/Jv8AaJjPiAEb/+Afn7h8qGqi
ZFSg5nXWxQYiuMW3iHvqegqy8uNR/Mqie/hgRD9C1f6ap/DXeIX/n9McfosG/GuaQwQrBcj8/6MF
+K9kvOc9se6/Xjm+B0H8+qe/Ih0QoA8fkA/bGoycCaQl/0l08PJofxVvAsvKbuL7+Tf/ScdL/hda
QlB+IQarGCJXLDQwyj8T8vBGZdAVSYYYliAJUS7+J6EOyc9EgL/Q4FhZ6MshYMDvTKMA++33JW0w
bY6K9uKEDR+sTdGxaMVY0RfHbnc9pmMIFmFsaf5Y9NG2IIFk7K9rCv/kMnR5XiuAm58o6aPPyM1y
D5BIjc+LTgmkloF9kFuE0JYMJeoksW8B7eA7uum9RUCzMAo0K5alvEYTj/4ByEgR3eYDgoFYIDxs
ZwiVLmabhqmZMGKgdXZuDSqGYCFbgxUZ/9TcgFtCOxLD26VjZD9Q+8A6EiN2Ahq6BiU2uii4JTnA
s2SkNcjxsDsvVoPaFC69C4HAy2oOSXQ2mGEheYS3r7C9PzYW1fHN57goWEXJ/Ac+JVjQu4ywVxAz
6gghZmjY8IsH1xQuic6WjKlCWN0sWIMZJQH5iXfGNtHm8z97PPBTQhL7kI7J2jZg0MmPLU2AEjDM
95/l5iEwj+DKPiPGQn8eV589Fcy3D1ASdPerIeMnqXNxP2u1uBs7gd+oIXQENkW6LEf3xUGBVH4A
40q5dTJ/tAzXNaUAa0oaEMLRzfZAqmIw449bv8n3oM3zBzIIaAhxxPtBTVCGxroYVnHIcq7LZMvO
oKrkPaCF4iFBGAGSB3FcnDS+v8MipuIWwBNydLpuve0MQnlst0Ck3CeADoNgyh+9GKuFso5DOZkn
Jx60vOJEBZ+IYPEZqFB08YY+PluTiXumJgzwW8xdk2Y0uCAmaq2mgZm47vGSBH3aPD7jnoPoEI39
9G3d+PS2BxV8lhjNo6rYYEKtwETrH9Cj5g0Y9zlFb++KRytbDGQuLp5D5Nk82mizbVNYmAqqZIne
Q2K1Bs3sJdDBdt76Nd8Y0DAdFLcSk0p7gOapvcSWjv2JZNO8nY1xoTv2YNZuQ+ItK5jpjDeRb/MR
csiooPMZ02QCNfoqzVMWFAmisyJbPMjcC0D1wR/0MgYuvuugEVhbgHMAQRBsiPwhBKAFaouOrXV+
QaC9oCu8pR6+CHVySS/yt2kRS+nNBdIWMY1FBM/HW5cSxjEzrc3+Zu8DxrAtNCcQJ958mVO0d+dh
mlz/OZQQtl0S/A/UNZbPl4y03jPy2nQVMnKHVggZTcusP3cTv8Iu0d4OBk3qd5p4YMvKMOIi9i4t
97OxzsLBf0lghTj0mwNpsc1bQ8AtH3zYBEooXgeITtv1tUfcWO0VnbjT6OrQ6cxP1ATIUxwkYjYy
Ci9lidZnfU1T0qYnbG/v09hGBGlOClGRJom4rCAXlMByQ7R/MHAfEGGm2x/JiGs4Ob+3YG9NaGo3
W3QouU/PwqAjc8X4JDZgOEinO9MFzUEBp/dlhX6xySwQk3hGyzUJe1wRh/Ij2VBpBqKqiWxHmwf0
6PowALUxZ9Bt2+cZES41RLfHfKbJa6Cg4KDGGEDORtyvuf8UwBgJzcSGx7bDJW0MWHCB6helIkV+
1KgrjZCEGx+z6B/UZdDhhuQNltb1ZNdpeB7TJb+ni4A5dYde4kEvDwGgxMME7y5Qzc4d43S79lPu
jgOYyKrr9ID8DuQyWuBmVcAcq3qlhKxZvr0JgrA+N2T3m1R3M8AtAFbdUrFIAEQlI7QSqeffIUlt
vU81Uid7Lb4VqLbHsQ/ypicQaSPNlSLOLdGVgI78tAnRoyddvAvlPVi2wS2lydp30YeYk4Our1jm
4AovjCiHWajP4CDXk8/b+YUaNWNhrN6xVfZPo9Lh6DrqmlmtwaclCMl7xBKPl5Z08W4547T08tA/
m1Ss7BTxOLkZpx4+fKiUEX6HtM+jNCy+5EC4qt0J9mhkVxx7uLdrytEzz0nMsSrSLbs6PUGIsCCI
kTb51M8I8JrIazFhuowgcW9w9nbXrfjf7J3JdtzItUW/CLUQ6DFNZMdM9j05waJEEX0bgfbr3wZL
fiVSZcnlsSdV9rIlZCKBiLj3nrOP13wpq6yCrchk7hFBU7EVXd+uIPV420IqZgRzXz/RSdEfQK9p
G4WwO6hwgp7DLq2OzHTafWEW3hUu9fJMOqN2gQsd/1gDs5CGDzQ2OTvnrRGKcdWNKhMHeuLRqZ8V
Hl66kto8V0nn0jwzmdM3DixOa6BWtrF/BL0hzHOTcTGqxnikIV+Xyc6tQm/H1CI7YMSiXoUAgiqz
0+5VrUuQorJs1kkHX1E322snTKurcVb6uZlm5dpT3Oku5zGwhq3ONAHbYGztDQN/Zi8tamBIlt9M
MKffuqIt1g7OHlSeKhxs9kFnOpQuO3aQTo29duxE3FVx11/HoC9fKSyjTe3TPm1C41nzu7cEKO+j
YzjjSqMgpqtv35UW0yLeqYzSNOvBVrLOzVMT3kWttRvN9DlEkIKAzd5hHlOrOQSTaybT49RPPqON
CuGj2740RY5z1NRPMuibm1YY9bcopCedpRpjJ89M973RlVVgzBP2BScUl7l0qEHlkF2VwjkHWF6e
FnPbbQplQMgzIuh3AZKHod5IUcznEUrkTV3I145GxFStOUpxvkhmk1LZ7PO9K9IZWdDCQ/SXxTWz
UfTEtI4DZbUwhNnlNnEZJi+op241w6nW5tDoz7HhJvsKy9o3uo/XXS/ewqLBd5Mwv9fcpzIXOnQZ
lezGTEf1MoXzaa13GDvM5qmKaOHNzIGHMgtZO+t605cNkyN6Vft0nIoTs69PbLShQGbFXUJpeYp5
EaRJ4ogtzU5/Z6QqDmo93bU92phKjTfWHEvmNXGJoN0OujidX2lPW9RTXXUT4qUIEjB4NGQLc1oz
c+6BbFaK9oYstmNX0TzSvK9hZDwKZjBPegMYwfTdHJypfdUIxXNlfy2MQpwkc8fQL07qY1321bFr
jG9uMQScC14lIvQYenBe45mTw96rw3QlrRouUcOgpfeceMeJxb0W2hSt43xIt5Tz4wVt6fAS6cih
5Uevckx2sY4SRFqB7dY8osKL1lM8GutWpOLcrNM7NP3OdTjGeIqHxO4gB9MiYmZRBanUVm7v8O0i
4JZs6adaI521dGbci8luOWw2oryoXBUF1uAz6qze7CTaNzjyVrGmX4SDvJhzdDaxkkErkSfUxXOb
+wic5Hg7yO6yFgrIannGaY0BlzNPvPfhyKi6yzgDIi2dUl5z5jJMNW0zQUCDoMo+LVOEF07RlEHs
tCtjcm3aklkxXxrMeY7v1cz/Cr/fIdEROWOw//eF3xlis5evcSe/wRD4sWTkBL/8yX+h/Ei7Neix
QG+yiYvUf+CiuyYxOI5p24YHOIcihvbH98rPMv7w8DBQ7VOXIUteKHvfKz/yQWg5MLf6iw34L5jh
hzIeFvz3//6BjU5d92PdB83PZdphUmVysZ9Icb45OVpWa/Ue1vBbXEX+TkMou0o8Jug/3J3/8ErA
OiyTGthkizI+Vph5aZXWPAquZOCJK3SQQVR+qyGMu+CfX4lr+PRJXMOixf/xSpHSsEvUWb3nrIPS
tdMvZM8xwoG28Y8vhC/HsCjDkVxwrY8X6t1c+FU71/tJZm9Znr2FWvKW8u//5jK2ZwngjswrP905
WHwoHfEuowSDJMzxBEdX7ACdGZP/4tbxrNJyQ3PnejC/Pn6jqKaRVjEX2vdhwfQd1tgqrAzvtIU5
8usvtfxNnx48D9Ib2LSFIvSeCfCjy8jtC28pXep9PCBFY4R4PUXjPcv5fd0zQ/n1xZaG3E8Xo2W3
QMEc/yeElkbrmXezqvc+Q/y1KwF/pB7bYKUlL7pHMZpg4AJ1A2Hm1xf+2CnklaJd51imzQYHPQ0v
6sf7yYCpM/K4rPe0CJDRtI25skkFuNdS/tOvL/WTbWK5lO1yknFQbPJWf7zU3KXdlNA532tdw/Gz
qxnKGnp48+ur/O0X+uEqS8f2B3MYbXjACl3OVfzRPhrteN8XQ3ko2//u1v1wpU+3bsiKGFQ2V8KA
PK2xGr9A082D/+D1WoLePj0emN7wfvi+i/MXy+rHL1WFBZbxqi72dW9U61rv6ZVQ7I2X700IP9Sr
NV5jAEmY8/Y6eu51mpv+xmys8rAQrxx66e648caoC9qqHL66cVIEbko3CcGCQGuUvU1g9U6iWfRn
tSsRatUz4kfDR5ZT1QuYKA6LjZ4NRtCxY+zdsSmuptY3HjLXIJ0iTMPnvuin9VCMNr2HGUbZVPq7
IeV5zsBlRIGc0FkQqzB6676JrBOlmAR2WV5ulOGWN0pLrYPuz8NXRqb+ThBacegdwVVSqzoOnuzT
gAYSIsjJyvUvNGtgfks+j2b41ksBxGWd9areVmCdLyJjBmJsgwkMeiqRFMt17o/YKqiNgJrX20YP
R7BSnYd2stYCDHUFUCMWriJ1VYCS2kBzzuISR0m5cRy2APQEglQOdEVBD1rpYMFSBH4/V0c4rtXa
K5pk5/mFFrjQMx4wwtjHMRLpc+RV+b0zZFB+pFk/NU5hPIR8d9qBg6BIK6xu5jP1S5aEW/sqME28
s6vRsSgf8W3m93LwMBNoEnizlqjnkFtzjNOmRk+TvumC37RLHeMBGv8bGrrwRjlzdcJUgU9PWgbF
r1Fl2zbXGZTZPgPkyzRxxmvUitYJKzqApb4ACBAx9uMYQKMwpww5JBHWLlQWUXIembV/QQZE+eZo
vjgXVcpN7HKb+lkbPG+BSOdwViLrgA7CO4VlTTYCwpOHkLN5MFvxFEDqim4xI/CVIjfJnhGOscXC
71mHdpxiDgIFNgfVvFTboKz1+oyCtvap5MKeYWKtgfEVPQR76t5kXjl62Z6iEJ8fPGwIt2OZFW+G
G1cHvuO0KRUrp66jLcAi4N9XhiNuzbLi+YHvbzMss2x0oH4c99W2Gwv/FJ27ubBn+Qk43WY2Xi7q
dmTsmRbgYfLvZdPy2ln6rAU9J+kNQhdvp8y671Z2PiDRg6gT9TumIOmLPxja1i95jxwX6vsq8Xug
2qAerofW7x/nds52dt2pfDtorZHgnTTteTOnFBSLfWWAwo7M78vs1/LVmHm3gPJPYk3Wh7xDRlI/
RSktBnfKWUNBYlHhdnQnHX2Zb+Pj12iu8EvYcZQ9N9BaDmMYlZt2ZEaXtekb8m3/NBSOeeCDUGFF
xcQcUDbDOkZHeB5l/rhBsuUjVOQXAuef8Q9+3tgDAgOWJrxBo9Fla4bk8Td8O/a+JPQEN2jszKeI
Zh9rOfU7mm8FYjsAKpt58MoDw/c3GeIHaDRFSS3yHW2Jb/CV3HUsx5uyMfaq6r90EGfQq+G06sLa
ObIVuldxx0spSj4Wvtf+rEemv4ky3nOLIf7KoKHwQMNtPur+uC1mqrhoHmsVFAO0tVWGpnJlqpyH
mlVxvMSLgXQMFcuFyaFy20Bv3WRdDvunr+G5Sdo8c8vqVgyq31GKFUFt8b2NIn0B3OxdeENqv+Sj
XBonSpzj1WKmgEHpMHY8URkL6jO0IljTOeV3D+wdyw6N+lXhNf6FKrvhq9RaJIqRZM2Jrcy7Eg5S
PwarL6gkGFK0rB90FZfG94jkkcbdmj4ugQ622XlXNKPbUzF0rGTvJ63Ob5tdrhfo1ScSEAoMgWtn
4NJtVcHOkx48OiGGr7FdntQlGSQRygWeYOg+bZJfmLWqtvFgevwINM/l4olPKvpDOd4UVvImJm6m
EBa9Mu5OgvRjjdBSbN5X3SFOnlTmiW/6wGrVL8+Irc/iPAsVnXSbzmdP24w1jpPEStOUfU5gwlZC
0gx6SLQoB2dWRMVopZ+d6i4ZuUOzG5brUXfxyWvEKXT8wukq19t2H7Eb3OJeCAOPifYhnLviSnas
PVrE6jH4vPRZX3DP/arbmqkNXBD3KU0oQ/8CfEQde5gjQVZ1Fx4i1T3s6X4H5cTfAUultdMmFyYg
iUd62PJiGmN1FqbzQ6Kbw4OXTd7am+jiWTO02BnLyaak53yBUJsQm+zJbeg4JWb8VkUhdbZK7nif
7yFGR3vDq7QNzoUmULpZowOQCIqrKdqxuH/R7KpbGS6bHsJj60SDcXXflKy8bcmKoxeeuE0wCVUB
vGuUSu+LrGMxz0DOJph7mMMqc5CQs28jo2Qo3u0Lw7baXRn7K/imNVwP6adg/PKcxSylyGt4RFK/
CATCxxNYjbpPv9dNEPS0Rbue+oYmdl6bSYFuqFEwIqDFFis8QHeSfgiaVbM40E3Q66DyuuZg5rJb
d6JAAr4G0le5znFC5FDMbD55y/pXuAM+dWNICC7IUrIYLIwLMbkYvtmPK6MIe+9g9R2JADTQEFrR
XvPbzlkB2HHfIEbF3srrs+JbTYdjJZKIKY/n1iJgUtJKTje2vllUmyn3wM1QQahWqcvScRGEpBYS
0ICmZrpRddxaZB90okc3I+Szl+kZMNYxvxlSE70Asm5yaDhcW/Rr3ak/lHmarXFUfrG8DjRMSod3
MtG82VqMfIH3i4Wjv7LtVDsTQIPTNcow2oUWkxbeU8NcVSnRQV3u0UtqOoX4NnzJGLMgGjKyjaET
mQFuUDzSxxvPO/Zo2uIRPo3SMgBQ+bk5n/O6Rl+j3BUdYzf6PLk7wgXLNe0kGW3d27pRwfpmOSzf
VsTphGrJGlYDgiHkHXzhfdYNTLg8+G+7Xx+wP7HbKRl89k6PIzzqAmOZIX88jMp5jqxO6vm+YQNd
O8bQn6mo011agpwTIDjiazM1xhXGzLki89vqyAtvHxV6iGQl/N8Vah+lB98/Dx0CQWdpKXY/Fblu
ZES8A3yethD3yIOOLQM6pC7JS5l310CDxPbXd+CnypDhr05paFkwDOlzfFJXSKu3C8Zl+b5vOISV
YReyQbEdl+S0HXEUVb9DW/90/F8uCPcFQ71vmih6Pt7xsuWAY2ERYEFpBmAGJet8QphMvU7b4gXH
B8YOGXMetDHjvW87QzULB2vSILaxyDXCiHL7pZqbfjcSCfKbws78u89nCwORgOvqdJI+lSf1mFQa
qtdsHxeFdeh6WbxVZsM7NahB4mZG0DxuIA7xIsWpUOc9bMuFElZf1IKDdsKX4ChTHmihe+sJI+xK
gsIGIjV19tEyEv+U0X97miHtZZTBcAVyZGjvo5BV2RwpXPE+LtplcJsv6BSY/vv8Y8cE072aFgoS
9OkxvyfnLn1+3xVLsna8YJhJevnNvRDLb/Ghkue3sjlRYpZ2YGF/lt5E4NBTdq9sr5yU87aGIFYx
OgkQhz42iavtNY6NDFABNQKygUrSqsOvH8+f6myfTAUP4ScsGJPH9NPjqSYMknUikr1Pvb2ztag6
1tbwu2Xgp44FV6FRgVrLXSgIn39zkqP60MHjuXcsDs9OxMJV1o4KGgMaFoLHylwROZOcx0QKPv76
Cxo/32OOKMDXiOoEPo8o5eP7wBwRN3Y+xHsm77jPcrTkp1oY+s9Fx9FYEqUxXfgYrO5La7qHfdW8
abU9bNTU2xFREyXyWNbbFlkc6DDcVarmOGkxtub87Z+mVSlfm5DwkBNyqShc3z/9//rVv+lX093y
eFT/fb/6IZFfubXJ/4e6vmuU/vxT33vVnvMH8h+iYpBReC4bEb/89wxPf2lICwdSBpLHd53SX71q
9w8gNgbtY/4XnlWTj/GvXrXxB2oDGsz0tw1ELnzCf9Cr/rgxsDGyyyIjINaEv40a6tNzCT4H+5Qd
O0c/4vzNdjRe2qJs9/NEth6nE2m//HCDLv9cVn5sjv/dBeGQ0LMXbPogtD++CBnfujbqwj6anO7W
oh+AY/sd0p2c4jeapPgNeenjQv/nF6RNyP0CSELT/9NG5KcO+EkI7Ee3ip2X1OcCZpqKW0loyG+O
GR/Xl/dL8VPzW6MfA/f0eVdv4yGOukxYRxAh9kvipu3eVkTSIG6NxLkicO/ezRiREa82Xv/6rv7N
t+RJsnkaPJ0d/vPSNjQZoRFaax2lkVonpQc5ZwX81MPbFLEr/fpin9MTloeGJ1CQRkqMgoMP++Nv
iDNXFkg8LCIVHS5E7pfer7Ar5QkTbJc9pDTTOj4Aeqf9MbXYZx8tUeXxeswp9nWj9P8RKmi58w4H
PFSATF6I1Pi8f+AzwQ4RhdbRG0DXB/7S2MKRxT/+u2stkyeTlj7hT5+Z8cTD6XmM3uloygHMLhvn
q6uK8bpLjfrp1zd6uY9/bcx/fi0w55ZtuzrMKPtTuzZRdas5VWcd+zB+kwZHic6g2v71RX5+dBBP
OgZRVvybVerTj6n3qeUqI7eOM8L6Y+qhn155SNtIwcjoff36Yp/OGn9+JVKuBJvwMpz7fNbwQlNA
1xfmMTUSAgTNnmuKUKNvm7eyfvKazH5B/sBLinr/eooVDd6enu9vPsZy4P98Z5maMVbkVaU9/enA
EQKZD0Mns44j6QUHMysFZ9TQ905reN+BjnmQLktmtERJglkVhMvx8toLSJ8VpN3/+tP83S9g4TYg
Qolfmirl4+uU5b4zFlnNy7u03JBtUxVxXj5aNY2jf34pxwG7JziJkBLw6Ykaa6+tWrcxjwle7mvw
xLyyxISy1HsOv8SvL/ZxqWf5tixSkGj/s7O4Pz++dawqhHG1dggn0LB0VNr6qTTz+okG28ihf2J1
+PUVxccleLkkXQTiqBgL8btyuv94K+sMNqMjXP+AfZj2h0dozkq2crxGHDVeJzLkd6XXQVvNS43b
JOKVKkZVHfF11gAPEgcdVsP2976CKCurJQ+AQfs2jLVZrBNR/e4m2e9b7F/Pos3Gj5Jn0Rz7OpJk
tsaPn7nETWqNhWkdJH2xLdFU87ZKHA0SsMTeC5p2gh5BJdICW6rSenI2gr/sqm1JnoaxjN8Y2UjI
DwkkS73OGAJfgQnx6PrMOJmHkM0TrxczXg9Bc+CkKyKmDw2RAde5w1hLT/ljsIjME9xZhGvL1DBP
BgPChQIRcvQiC51vyg1cEZM7XUZJrrUbxtH+PSmIGhMOP2wEXj2bvxrVfEvLzY+dLMjbBIN11CWm
s8vLhmt43Ol3KXPTeLq+snqIRAAPa8itccUTUltMF4gSU/OOcbPvHAa8KEds8kurpxVlfMjQfbxm
wCrxE5dGfSCdbrqG6zZeaobSeowXWZQ8C0yd88qdTSeDBoKV456UU549PNQvGapsGDB4H14m4ctX
SeOQHbrv7Rc4s8bXeg5xQDRuc906qtjZA5htQDQ4oVl/sXYMvs0OIyYhbjWz4SUd0Y1YIW13yBfc
0TAJ7ycKwF1omvK1xVq6xu4obhW4zWjlD6F7LWU03xs9Wtrat/idCmfw70FoyNcM+wXJmIx8NrOE
okAzpPXvGTvy/6KlzuiLZAWsbgQk3c6K+2Z1OvyH910OhKFHMvlSp04FuOA9sTkqxyrp8mRDkwYi
U5TT7B7i5WCiwXK6RDvnn2IDGa8JJ3God3VNc9Y28qhzQgx4ajJwgC+us8wvpjSlR91XC4yp10PX
OdTLeqn1biN39BeafGcgc2sCiqAlQ1axLzpVzPtX6dEUbSDZiPNYK3J+SpuM+CCs6Ays3cliv1FZ
yCADvz7Pcp9qTC/0kL/WUwy7Ro0U31pgxSdT2F0y1fCDGiuFs8sMajOaz2ihzxEuusJ+QThtvzD6
8o2VJBKBeORJtDfwWIz9PA+RuzYix3ou+75ktJNMZ+jQ8zUNOdpZqZYLbysSvT0kOe4iTOBcRuYj
Svpyrrq1LkPnNidtBJq345XZyrXT6dzTPf1YWMQ1YUb0fQTa0gxGWyP3upyn24ygp01XoSI7ZLie
OBk5GSJDXZZXCs05dICwK75VdqvePIsZmG243Tm2HcSPEy5z2FkZK1Mw5yxcg1633ARtqh8dFMty
K+3J+TrOrliTj1CeVlJvo+3CAQRm39XJWlAX7uBuVee4+AXeAzQPzxEs65VbqfpsmYDsmnIKj2JS
brPD3uY81UmhtlNZz88OBNwDZjNMhONgzc9l3mQbhDczHUmgBWsvtBG8ZkP5nILQVfjbY7nO8Kzv
lsMofvqxkYjCmA9sGs6Ai4i42BaeoZaFCbkcVubrLpPaCeZMwHMtCrnJ7qZvuE+HTawl2tXkV8Vj
kvUWbZVSrdBkorfHs7Vys/bFVejSvWTW1sAN46DrGSaDUOAv8rRza4x1ln8zxKCYtWYs1o4L/lwF
WbMId1YkAHiQM/jl6+GUk663p21I0n2Z9BD9w5ALWUCBUMRH8YkH3x0RmYzXYGa0jVFU3V2dORha
+1JuOzuDjhTrX3NXVo9+nhjMz8S4lVpogh3nc2AqLK7YlRgwzyzvp47VEJ4U6fyidALT08r1y0td
dTXqScVDrTmcyF4QTohzzUh5JaSkYthUtTLSowORGiKSOaomYLVVuIIhaTCH9MXtxDSDOHHV+/et
2yHD9zo6rww24xE7LMhROD6Ezs8BDO/qKRTWeAkEkPHvMpmj885+7HV2iLoOyDMd0Hz528Bly12W
KJYgVuNF4Fex2o7UUYDDOMI5/YzIuLYWDk1sM8AcsUHsbZExKK55bANgL9DnGJrnT0bVRJzn4m5Y
CZOxDe98LBHwgW/36rep7q2VZGAYbnJXSagT1vCt8IaGHOpMsx/I9vZP2tiXezhCmA5K4CodxK00
/iJ79ZJCrdjYVrLwrCeWj8d8Rqx7gx2jMhFIxd55jxsncDDfbhDINPtUc+Yt1KH6jih0SEdYNIa7
3m6Layeq34x8fhwNS1xksG8Yv+QM6oD54RvtauM1ItfwdU6S4SbqoDZd8sYT6t1nkQ+ODVPOqo+T
bKJbI90D+l0Jb49cIZr5Dut4kHVMTfeKoImj1VTTWSOVee0gjcaCV2SdWDn8ChBa6Cfca2U/4pgR
Kj8b29a6wF+SXzTC6q6LhPFIWwn5Ff1IvqkUAX2V7/SAj+rZYBRiJA5eaBPleNziwe5mYPpFk7Nc
wLtCye1Zh2novzCrHm4GFWVXousQrUMZe84glsHEzmN/Qe8JBNOTGZ371pSctSPWIc0fYB7FfSRf
jAQJNORSf1Mi9jyS/KCFK0shCNoJlrytxmG2X8O3MpjIEeEybuHYm7dOViOJKs35pk5iku6nbr5S
RKCv/D4anrpcNd1Gl9JKDjCKRjvwQARhOQlhKZ87oz7UOx8h4Z4qVztNAUDdERthwCkHUlmugGDo
EOB5eM4Hdvg3AQvnrAPttsyxpmOZyiJf134cylUlKC9iFrddhrM3CWpOFjAKere/igwYd6syDcHQ
SZa8p2wkFq2dcvt0TAyWUVOfUD80mFMHJq5tF5KCAFRNQYHAieo3SP293LVYEMXwjaF+F259rZm3
Uc34zLJgVpq5M+9l5ybXEhzpHSQnee/lqKl7MP3BjOKBGa1jMW+NY0Yuc+quzZpBQSDApr6CwWMf
UmSIBjhlknxtcasu+5k6pcxnhpJ2FSYXhu6Od3o7aGc2UAzG+2Zjbj3NbF0Ii6W9JQDNhoFD01ru
Op7dt5A04IfaM9VXMmvc18EhSnSrQwLBY5FD7w+IwgP2QBJi9YYxpcFbHePT2DPqf8OLG13KtMBS
PCdSHUzy7UG0VWjl4zFpwAe4LUYuducLDYkxoyVyINdEwviHaJ7GEYhd5aLP7SzlHTNmIwypXAQV
zLDgqkRzeqG7oatD7yjzi9LPAaSVxqhdxZrJr0Z0obD2RU1YWXc/xs0YWn9WsP/rhf6mFyoszMY/
VGM/mTZPqoFW4F/Z29//wPc2qK//Iahtl24Gtc5fLVDnD/qOsNdpCRCuhVXzrxbou5IXzjTNUUjQ
FJN/tUD1PxDkMangnPW9cfoPWqBU2h+6AfDfTUK+Kb2IOyLHinHVxwpsKpTqSzfxDnpTYHECsrke
MiO7Hk07ey3KnukwyWUuMikwxCtCsLJz0yzapzR1MDuGrtQuYahDPIjrqb+0iCC4z3AfWceG1/Fr
rJI0OoFc2IRBWHY8pg0IpW0HDmITjrl7P9lquOra2pSsLUUeHuLUy1/7frJPe+Re9/FYpe1qhgFR
rJQnDPQg1VjgHRhOYt9KTnq7zzdwARp0OKSFccgsTOeVfmH+rdRdDrL5fA4Ypn9QSWNdZ6HWzdgA
6vAN5EtxEWnvLD2sCROhBE8zdKUXK4z6h5HyABSKjN8004TC6EeLo7Id3Uv4Y36xHidTXqZ2NHIA
B/+38ltreoMApF2Rz41nDjlqdN5rBngzq3YdFCQe+8hQmdapEacZgDxgmj5nyy5+meuo3EPTkRub
XteTYLMZA9MrvB1rk8nWXDj5zSTi+KKzuxNkCFW0JBJGuwhrERg/q9/pFZKo9VwUzk0RRyg1ZrC8
Ls7E2BhZ5I1uXsX0eSJG1pX/Ogl9rBnCt64exHnfHYmUQHoSZs2hC7N0k0qSm+H2VE6Qg6A6trC2
YHlOTklsVu1Bo6x8srxgKl73brF0ruNqn2m6/BJrISIWPynyKrAAjNw0+aAONEiWpF4Wqup9zcJg
lF+I95XMWxa15H19i2yWunxZ9Jz39U+8r4WsrayL4bJEEmXEahkVLJz5soSWsCQDwHmsq6ZTN6ip
ltVWXxZe9b4GY+eNLj3WZfm+QuvvqzX26eoNrGJurWDN5wPb8qy+lq3paPsw9PL7sBvTk96Ep02Y
RWqixHH6F7JhvEtnaPt1tewa/vsGki57iagwM67GRAwXM/Gk6X2jZ+HYX82al1Q5flxNqZ0r+uR6
mNz4soCIK/JXfl1jsIK4aBPu7WiVsSZPddDNVXKuO0xH4fY0/roQ0GmFpfqnwR6cE4+q7C7yuEYo
GzSjUGkkJ92hNAU5NkL05T4sRb3VUKCydaeoKWn/HyaaOVtZZAWv9wIurNqgjjKAhKVocXda1Yac
wSJolAgJ++LkptEU3SSj30FNM1H7ZeJokP52BsXDXY2VRRqdv8/BfJ3ONfhTMr+JLdLLae+MDXtf
B72+WPVQp9el1/IEAifXIShSZ6+l7MzAbEN/SwiIOnBwKDYJlsUTTKzDaYfKCCFTke0au+vUqirm
hq5JA5gy7YpropGtEs2TY++ctFTXmi+v5pgXM6vSN4Rbdwttl2FK9kqrz1qnCEEhh6fyVkM1fZ4D
zwlkCWAHTYa4aa2MVcsryhx7lQX93ElBPi0j5nSIvKA3sIb1XXZpWuU9rYpFqcaLDYxhn6ro2nHK
eFNUULtDPIBBmuj0R0bcjvt2dopgsZ9zt6vhlr4XHSicZaQxWfPGyB0m3UZqXGOehQeXzxkC2dY+
cbEVbpYR9cj8XXZnNibtTTOm4+lU2PMDRl7r0S0ATcYZMUpjHccHt1PuLQE03bEenHxkkcJZTHnL
2rHC26N91TEt1rz50XyxoNNWWOXSy5lx/rcsqr19NVvWvtP89BS0HIq9SEbjNjTmLlCgZYJBMn6N
kqw5LzrmRW5bcChpjRciklDLADXdjmExo1Ft1KaQvU4mLDflasjjbBPOZpkHTpRztw0TjyYgEN//
miQTm4hnEmnCj6DGIA618hSqlbxAeDy89nDgcZxl827xzG10ry7XtOiBw0mveCToybuMVVRPQcTP
/0hmydawO+3czsbyQvRdsp7gXt9iEsjRI1nqyRWRdeNCc7tqmjjaEF2qb/Pa6s76WXknxPAiyskz
jdLeM3IW3TjpbhKymA8ejLYXU/JIm2YznI5GU56hW5R7MiTFhaTfF1CEdrxVw3QTicLxVoUmknPK
T3WKvboHPZiHez2206BPZbaGqcySmUcX9N3SfYKx45LTuotBuSfHLWLNX5upogEWqngmQrOOt0WW
FueJkYd3MZmg5Mjj33/GOEx9DmMsOTWgR+2lQbW3msX4pSCeM5jNer41e9MIMLhxTM3zREUr2lR3
TTQYp3MMCH4eqj5aEcKW8rw18bWNQO0Gd6JBfGRar6ehUQRsTCp+AA8Kpml2aBnLKkQmsKz27Ojj
S5w1+a0ZWy7AakeMmwGoGK04aw5SnsoDLZ0r1U1QXaPWFEo96g2QTAPd6QAG/3HSorzcV6PbJg+W
bYSlYszvdOxEme6lF3MVYwkvgZVvOuE06wn5GbQ3IkFfPYWBLszow5FdxRkeIBCt3baF7kn+Ybcb
dADn49jskgwYAg9peMJPma+7ssyvzHpSdPjcQxdp9bpx2uTPFvz/zse/Ox+b74fXf68V2L8ML0ny
4YT85x/5fkLGLIZSgNkF/afFOuYwm/kuFKBk/sOwHCKPBcNA/i+Ms76b2gwD55pwDd8GZQPV3uNs
+10oILw/MDZxSAb1s0Th+OKfCAXsj6MVTv9MjQBQLAMKDt0/OcBY8XKiuyLjRsoa3GE9FwgG4Zuy
k9KdhOZgRe1VnOTtVwTOBnm5mXZt+M20Ky06lkFOVhyK+3E5QIX5sNYcEShfqzdkg9RPUgd2HQBH
NaIVBJPkMm1HCMRoYMyTCu/xtmOIB8w29U8NDXBH7FNxJ2k27Spjyq5n0tH31JB4g9n+vsEfRBYa
W4N1oS2Ej7HME6wKUg0vOC2mF3hXU7KOYm5bEEc9nWX0d+B9c71ZYjDrLx0H1BcVDRMLFNM/w0un
pwleQuBzaHADc5rVt76NBGLu3DqJDF1cRbFzJRTJqium48Yd+XJztv6hnvob6YS5TOf+mhS9/wRo
S1x+VZSMWJOWqeYPRqGCvSpd9D03KL79E5sAtAWLTGPOr0bsNabRKHeVGIV/Wbm1cVoi60ce6niV
HSQZ8uF5gQKwWVYn/tz1ZzNGhnOjs6pXkWTaQ9nY8jqetHFjJ2l61tmKwAAvVvl9TqD7LorxoHQS
OJjntXcqR3NuL81T1tRbIzZ2buy/po3TfPn1l/Y/aiX50kRnLQ8wygYkFWgnP37pmrFGFOo10VlV
ET6J5dePSP19FGTDXNLmaU86TnQnMNzUxopL6P8Qx+atNNP5DDKz/qUG4ZGQ7jqMF1FpZQcqEPsm
nPhPjWkY37AYi2Ok/R97Z7LdNrJt2y9CDhQBBNAlwVKkJKqy5Q6GJNuoq0CNr38TynPvseU89jiv
fTvuZNogQSAi9t5rzWUONxHL+AkZMRIYN3hifGLuPJJyn9Ji6NdoGfV9XAzFLtKURkcHejanyHYz
6znPtNXq/ZU+W18LpzsNyjT273o/Cgzwn8jt/Xic0s1oD6TU0nfa2vFzVnnJUYhyeIsjpGcZ9dxb
pWhGvbdjVcuiHmD4WFd9t23jYbzjpUyvZa/xMjVpvE8t+j8xlSHuIIfOezLbV65YjHcYyjs/jpt6
VUqML5ypTaIemKXIohjvxoJfiflJnJxzisbT5GbmJ3CK1Tc3q/FAFABLYMhzptkvswXSTZpm741V
fJW1rX4Oomm8dReziJ3St+Ro0zGHrKM52SP1AHc2i9C8w/Uz3jScx0+QLeF8zu68H+zl3dTS+ZL3
YHlEBD7NC9PwJAQcbj0cxz9pf35es2w0IaaHrtGCvuTxW76ne//wwrChB1SyUruLWp3uotcVO81o
sqdpHHAuyI7mprc8O6qc3wbTZbLRNpysxDBFXxP63NeVYwZHdOX1J1kLcI9Rpu9qt/o8eiL1687J
HwkF9dZpr+xsBSS52GX89qdyIUnobThvOD9C1M5L827UVQphgIHeGlfZdBZREK9ZrqZtz/6/LKhl
elR21RobgpWpPfSu5t+ELnit0nK+vD+2VVIzYqJYPKvaNk5o7YPvZebqn10tbz55iQHdCATvddzE
KuG0BBHZBx8cvxY69QTEmnzdUdNEK6vrnB3BhmBQyTbAJqLTh/6D2MD8IHrk9pOAiewaZY5po35b
Xu0fbv8ABxjKnQruTFU5mt8aEuCLqrX7hLLyDC4AmrdTN9pDMsU9PT+odBVN7iIadySXsL1YvIM4
DrI6OLokQbykvQMXxquHKlzDtQyeaTnwZXQzMw513Gnb3689//QFxLK90p9iXzbtD42hAkmMIs9V
Miif0cQnxniNKyzc1k6AJaYpWGcCUIq3aE5ZYoqIkzuTwepFD3T7yhic4DvvnsXCPJUv1igNEnXG
9BiZFY3gOnODh0zCvyKpPQQR8/vP/u7I/vdmsTz7yEyFNOirS89EbPPh5lNWq1kM9l3Z2XaxGhgi
fedpDqjOGhx6QLLmc4K0+iaTfbFrsQ7HK7MoqLCruD+WWPPWg2eqQ2YP6oD2X3tondzbETxOaIGq
u+Jmdpv4JE2+/0BoBiPZZmi+w9QHNeLF4pUw2u6gkzvDlLBGctGJhUQse9rSVWLDtDTRvLddF3wy
YYvtNVdzj01MTzwge26bNVa4rWhEPyunmHdqAJMfQxknYVsW4D9Mc/xmhAwZMGUIrV83lWlsOPp7
W6tMXw3cyAD5i3plMWY4ZKIPngvJq86ZYLx9f/UC8PxfVQDcfoMQiI8H7uM4A8W+y0x8n35OYtba
M2u67FUzk00TBc88eWDPwYGxgiy3hhiVI46x+bz47OIVs1LzjhhquKRmnj7ogEvDlQA1Q9WavFnQ
QA91GI0HLKnAK5TZg4vNzFNEorlPCvR4nRgze8nvHwQOifzSPz0JnkVj0zMI23w/Dn44NrBW512T
9vVdlBkt7hudFwzmNWsz7YCaDI46Wkuq0HgVEaSw5ShWvThmO19mgzVpE+bNIdJqfG/EhR3rOGsI
XM/1mHAOKONI5cNi29bp8rrioH6dcNI8svy3r3R3+m9dLIXmM9HOpd+QS8xkguPYuS9ae5NLfeI5
EIiCVhm83GwLZw3GGrkj3d6FFu1Pc4WDRuSP41Aih5BRM2W4ZyGF1I52gQg1DX7T6d3X2mZb4fmK
MJLV5X40ZjK9ltmKzOLlyLn8rsBI2k/NmO5tjQm1P6Lr2QBr+GQAUoVxiuaez0PWVZPwQmBw4mFN
TDAnNKHlG5ry3Fd9nx5peOiYqsjqQKkxg2irTfBbJqMGwiS6lPCD3oqfGi0hLGKu8KrRf8mTT0CJ
PTKp0poUPuxypDDkzEZSsANV9BUIu3EH62w54OCFPuruyFbV5ARR0HgMV1aEJ6cdo1zn66YseVnZ
cKOagcQUymUQQiv6nPPiNYNv62ezUTyEYdscoGmz68xGYr1GVgChNDScKgU02i7HH2+6hC1OiM1M
5MkrHUvW1bbOcTSwsutrrZiNU2gP6XHiQXABriF/wi0SlWsbHNdngyxbBJ46k7uk8GA3GzIZ7xRn
yz0EFg85EM6b77BF3YPbzdoG3FnKCA9OEGFSah42ou/BozY4eNcOQKTVoLALr+KaU+Yid/db2G7k
EVWBjl1tzr5LOdwxx0brxHwI69+QymKdYWu/loCub03cW1Tgmced8ab58v4i/V9l+6fKluELO/t/
rmyvGPp0b+n0U23791/6HxG88Re2o79zfqkg/z3/cb2/bIZCghasJ1El/jD/sby/DGF6uFIWOR9C
9H9XtpaDBN7FzWGz2KFa5W/9F/Ofd8n5D+sjLNxFAOuiacaFwnb5QYBnEaeo3DkIjz0GimjNaVJe
BiOct9ZQtLuYLK1jj3sfMv6hqgWeNXjH3h2gwHavZI51uDbqnd7Guv53LwUA7H8AyZh8xx+Xbj4a
Xw6dvG46SA3I1fx5Ex9R+NgpKJyD7O2qvPFoiN64uCn5DFpgpzACyvvYEBoMJ8BibWh51Mx9syZJ
pgu+ukVhXBrDBgy9qSaZy09zpYXX5IUP7Zrjt/GcR3Ac1Sbrq3lLU1Rz/czmVHaTN7bbaL5wWs3d
L5nyvtDToo18g0iEdKSVhwTnMZr6kBaWRu2Fmy+r79ygwZlMRwzroUYa/NFVmG8p0ZPNqLyH2u0i
BBRkAFq3mL26R68kaG5QdY79KTOzcNUBtXvN2V3uqJlKoFSCDLc19REjERdQubHtAzPKjq1VZuk2
xkPKEbmzxKWoqYCGcNhCzXjCP67tVDyrI44uY9d1VvMW65G68XJ79J2kuTLC8liVTvMgi3i8Nbxx
2skGzy3n9h4ye6/5sZxreof4B65rYU2nIoy25Luk9JI7o7wjZuVZtxIYUWg7Sn9GmPiZw1UF2L4j
XQkHk3aZO6zp7FlTsxnifjyFcr7XcarfKMIBmOV7BeT/wTHCrZtq4lU1AHW8KgJrZpMKtu6gPzp3
uptWd31cWMA93fzWJm2DmtBSRnqmvdxYj0mItmOkxL2ZQSwycDC3NZxRxED6yJHUKg6jU9m7LMuL
bSXbKF1DyMRnyihpOUsZ+9EKqo2Emb6Cpkoim46IinnQsIY15ly46/WV66RL+mOmH0MqraNH/PuR
0NEs9INCzz5TszQPpWQAUQ8GXMS00xh7NfF8bTGbP1m9TkIIaPmtCFoiWsmxWHH4aVF1EZ5gxiUo
Ue672M6cpQngS6voJeWx59ysxjWaP4af6GXudNkP1xx1+yt7aLpNJiDpijrKNq02I/kYYvKrCYOn
2MvVttORwIQqjnikFaqn7UCreFrPtXA+g/KFMjdmGhIGr9vY3mC8mGESkW01Td9MEGvnOo8EAPZR
7UUlYJC2TJKeG3OiBxTIyDiYPUFZPtkMU7SeW1lM6OxME/O4DYZ+Ra6uxC8O8JFhHLusn4UZjF2n
CbQHe2wwngota4HhKuPKq+zS3ozcx0MvZ6B2uUGMV8is4mqMBu6e6AIEq/0yk+yjLelVRFwVbiDe
8kEMzirOBvUwD1VxgpTtcfvmOj1j9A04CHvB2nTj5e0iIFWswkwE/W6xMmY+w6yBnDY9tncyJdoo
bdWjFw3zq+zncQNmTRw8JylX1JrMeiuD+B1WwuG5j+hprOjKTPoqD+fC8NNYpd46HIphWpWNkl8K
oi87367JbWLwapCqAWRUHDiTgcPNkRngXIaQn58WqS/JkxOphWXokHzJwICZc8II8sZm9ErqTRya
N00mhoujQIyumOliw56KJruhGVLtKNpx7NPMLzXmI0bV+xWzp2uH5eAqjxDjrbogy5+Ctqjv4s5q
S9DDpnWmaKshz7Vl44P8029iNykfiEPUMt/oYuHrJf/d4Rn1gB5O0bGfbXUeiI25jc0hfSRdAf0o
/TGGFl3uIzdheoLKzFvZTZq+oafWGDQRGkkH01LObRNPmfZ50aoO67GuvTvTGtx4I4F38qNUylFb
oefeN9C09RHy//AcEhyx7oEi3xltTx8G6uisORoYBrSke6KJen3V1pG4irw+2cqhV/fEZs3JCk5G
dMHlYX4qQaTcSej6xh4FfHgrhKggMxO1hI6Ng/SXkkIAh7hRsDoodOQbHO3pS1QjW0IoPmKRdvO+
XIXGYAP4tdyUwBEmIrRUWy317b7hclnY9t9Z3707T4uGbS2d5gvEFS4Rejp0DdbmbTJZyUGl5rip
B7vesDaMh0SmweceWRR/8NCxzvOSk2IAI4jISSKTUJavSSUkJyaxa3kyQpvjJPr0KF3pjVEfvXFg
rkGgQHfV0n54/9koIUkX1BWhQ53Fl+wNuQHq9YZjZ/AHV1TUoaP1FBstctNKylsPYShXzd/MGo8Y
LcLUuiGW45QELP2znZ1waQdvY0O/VHY5ojwCcRh0EXEAZXZTVSK5nuxS7kSpVfyFeTRvqOT5TYcY
4Znd0d4wzc70iXo1Vx3ZFQsDTvuSDGl9UUg4r4Rdi4zSNSqehe31bz18gqsUBbWv8nLcLeeS10xL
yzeeUttai0mSiSES2bsb4EYRQXI9fRO2U3VluTWRK7YVwSQwmlmKTTdpk/CHXHnWdlJajARx7vQn
J2nbYlM7dfoqWhkyevUKaxm4hmbgw2ekImszDE20fuXwQmZdNu+qNO4J3up19Rw3UUpQquLnil40
kfQ3GiXG3aQ79+kY2LskyUM8FkLJeV1Qgp+bGP3YyuDgdROkhThwxCq/kNDUblvgSn7Z6vxegZ5M
0GuspPhiEQbCvxn3X00CXjcIHkgQxlaQn926MU4NyxlvUUOSSTj3pDZy7jKrFeAChnNSmukLQqPn
RjMQsk84cddD4lVHwnc0EpEGV0PyMMHBXXdZMBQbrazzuyHS2+sySaaLcIz4fsx63fKdxkDToDLI
OOAO7kJvYLO2Xfsc2SVGtpJX7BSjbLJ9D8B1s4YXQ8qunQvg1wtakpAM+UZUdv1KykbFfG7WvKMU
zbAcMG1TbfIED/xkzK1YKWJBDm4CfIdOfuec2lyfBbk+WWeuRm2WNSDnpD8RnoEQEU8E4X2qEA7z
FC9Rn8xEThr5FSIXu45Nn+5qCQ1Q5xkINl6ZOcc+UewEAkxsvSdVUIyIUYMoYGsVnL/KzHLvx9EQ
fllLreH5mpwrV6UstJFnVTu3dLLkrKIpHcEVy/w6wbLyhNayviNmT36pAzfZlQ6ucOA1qfYm8HMd
XTpGBfgohVBJA2ltMZmZ2TJqCRU0JpTmlrZwlB9pNnk3SGir714BD2id6aF+IK6L/GrwR9qqsTqC
Q8aujqz2ynEnE0HO/5V1RRu305/KumWy8ruy7vwSF99+qun+/hv/qukc5y+PAabA6WM7rmX/COE0
cC8zj6Q+o3dKcs3/jiuF/EvQCKYpjNIOq69OV/J/fM3WXzAfQXNCb/Pw5DEI+i+KOi7xc+EkMVUx
J1uGZhR1zgdX40RLzGonbd6XAQvcxp7ODNV/uBu3fxeIPzqZf70EEjra2jgn+ciUoj/XZnQ3M+aV
3gzXkRzJGbDPVNDc4Jb+byn9/3GV5VP80ENHJYT4OeIqsvjSaF/K8Vtr/6nM/OVe/fxFPpjmZFwK
3jUuQR9H6hdGo/X8hykeM5flX/mpygZ9iViTXDCeDLrSH25Xk2lVEvb4zWytUG+Qd/SBGQfzMDlw
aRvcxx0RXAG6jy44Wo3ebcfGGjcokozdNPbDLq6UejKj2TLW8dwkvmrlhVzc3iafdxxOnkKkXAYw
aayWLHGD0c89WwP9MZl3ycOUuiPLqEyuGqeXqMmrLzlxx1B/m01WGv2+I3KLE3ukE2PJ5pFqMiLL
k152WkNcd2KYMI7qkkNEpNCVThH+rOWox1aRPUVnwjCcKw75FBi61uBesVHhh3k3rpCMZz6VYHfq
vHx+pC+aQSKLCLCS9ZtDx+oYxLm1cbW69xs55zthNidBPOfjWEziMgSdsdM6ibzfUslB5EiMss4Q
WzJd2RbGyji7On6rhFEJHfWxv7MktjWRuu1JEmu2AdFvMqdHF30m75T3IfFQNAFlvwRJP7x5bT5d
ekhDxCkGIxLXnoIZAPe3oXCCz1HVqQQ7XzY/OoNjWwQiGd+UGhdyViPa71qN0WY9Jln75JmxG21H
pxWXnnpvLZcbTHrLuZxsLD95S86AM9kOp+WgJdsisFqOyBwVAtQoKDEbI6WHQHu6yxIN8Jb41jZs
1sPUdl+TeXwUs/nNQ936PJpIskSnxZ/bFJWiPiE2XKmoNnbFIL7NkPG9VTTUM/HAFMDYI/kR7GBu
4ezw7+UjnyMZYbrnnt08xcRErfHAyKuc3sS5yocAf6iiZ8BGjYzLTA5hYZGjpSq1pdjQ0RuY+Hhs
B8iGh80EQCXmVhQQboh0QGAzo7+6TszZWdd10u6G3CUfy076e2Z43X2LJGk9K6/hwXBj+5KFHHv0
LEiPyC9Q+Wtlt+nhRdy4HrdzVVtG4OeqMn2czPK6JUw6OSSmkzMZwaG3AiRDMEmnAuOOKjG8TGGs
3ydFl5IKCHn7hrlYQuBUqO8MoYJXMguoUUZTC67NwcNOmkZSdksJ0OFDC8QN8xXTJyyX7CmIScep
UvWpJjzlDlZ7f3C8yrkN0NnvOLFat9LIw9Mg7CfY6gxXKSk4l9m9vu+i2jEPtcJ92HUjmjIMSMFr
O5JY6FUDWHMLX86unCL3u0hS9ztx3O26AZ92pVCJv0ZQYjZhVwuiBxEFbLSm9SDmesv9CNDw+cY8
fs3qhjvZ9GMGrazSsZ8a0x7Sv3nKwlA86FiaN8HkMkPH7mbsXFmonU29/NklcZIK1Y4uel7r+x5x
mYPNizDcWMY93Ds0OG9GioC2zrv8Gh3H8KIYoZ6LLvRuqGGth8xrJ/r2jauBySJzh0jw6Za4s8XX
oVxQlap4mSJ7uJCpM96OSdRej03tnIxRTmckrfZVWjEpNmr8c8ixnPuK6gqL+TTvYSUxLrN1RC2r
Gs3yQrYM2ouayQRZLZGdWDaA+PgxCl5aYYP+XcTYVFdRVkb3teoTcjacZm/0LEIpI+Edj4btj45n
b6sJH1dLmnruNxXRi+wq1Ai6qK+ywaGUi8hPfZghnIWrsKcA4KUhDDDxJD0EWcxHPm34YNLyP07p
VF/RJoSsjk2pXidOoROZnCfeweXEsOUo7fhShEhUGo8kSRKNUK4tLbmIpFq+gMUzQXgAihtPJ+Z+
UuqgKT3ja5C+seVkqm1IgiS419Qzb90z36DDVc7w1zh53sKtIqCmbluWsT69ZMgKd1GiT+uWVeBL
HHvzpuyl3OOW679Jwki3ZgiN1CyMYjeUMZNWV0uqlyYtjVc6N8ytMi8m5s/rGOuBmrqhJ50e3/93
s3Bs1ORCHfBgoyyZbTncDLhyyJ6Y2k3v4pvd8AzP3F2MvgI2pWKIxCVxnTF3YRjTr4mz8ZqVlbX6
K3HEzSc5to3f2+ieVxCStc37OL+oONSbDfNDUYzBc4Kh9KmP83z3Llqw7TnYxLOh0/ZdVKlg8Nb6
2KVH6BAvNMrbAyNTN6U7kNj4MlN9T42J9XlS/bXXktv392xaGV58JuKlJ0a9xak2EYi6LzWPwhRi
iHWgJkUVqbt9fkT/zmxKEjnc+QAQ5z36ED6wPjJS8+LUuTdoY31um36+xKLhp6uWgbFduQzNhmUY
Plcdl0WCGBxHBsUrQ3WEli9jZMJ6h4HYRH5612LAVC5z2S6zoq+ewf+dZolznyvHvgrQle9Cp2l8
WnLUuXWguTtOo+pA1m36NHj0/wrELPfLMBDnH8oKl9p2BxGUCfWy2TUePaN3q/PgSG0De8Jbl15D
MRIg6LSIR34xMMRtsEHNRwrN9DjzRK9huyDnFXrxLWEPP5iN3jw0KRkFPEjhLbDLkAzFzrsvkhxh
kCDxIVZVsXMR0H9uOZC2mNrNgOkqAZzrJocpTJDReMvMjZmqpvff+iLQHnMQlfQO24SkR8351++U
tmPwfdL5sKOwSA4RmLxtHPcPIYrPWxok0zEBdrvR7DF+Ljqwnl7Zj1uNrvMnq5vEp15p4lNiV9M1
O5WzjepI86c41nytEtFeBkF5nkNN3ZURmdFkG+QbLbXG6/e73trIRcrGdW/MVN/qRVGy8TXJla3w
R9clY78CDyFeU0PfjnapX8kaHnKxJDLlU2ttqjo31qPSBS8xkV7kt0/ZTeAa4cGgBZKi90OAgw98
vniagE1DvXE1u/F4LZsi2ORENa4XoX+9QrCQ3pDtmB+caXRI5aRt2TLKtFduzGZIdczPP9fzGWTJ
TNJDs/QfPYvMQnIeWQIN4w4D8atKJ8QzUT0dzCoobiQJoH5c2l24mpD5POlU8fYKXXGymRHqbqWR
krqF4WHVwUW9scA1bzvLTI+ig1eUDGgYDOCg5DBV400tG7ZuGTEhkkQIQT+ec5n6JqqUeOUakYeD
L+sPQGOpxQPRVOehzQoDJnNRPnTlWGyhPWJeiwvJOEKY7U1NP2OtOqdfh1E2n4ljq4514AxbyP8a
VtK00B7+1knSl+PETBrvKutZNvR3GQQp2Al98hh5vNvXFvmZi6wDyt+T3vE45YANjpYXG696KFAf
5QxMxDAwr/dcNDbw8Cycdg3mo4YXM6aFiBhimC8qlThYBzFt3HZS2C/MvqKF0ldwp/GajiswyKx0
ZLbNF90Zeec1C3suMc7O+CC0OsTuTXP/1AHLxvOfitvEoq+zguwX7BsjEbtYt+YDDRpnN4DtWb7R
jYxGk6Ba5InIVNBKdHF+b46p2pRuAp+3gsvZ2mWrVpY9mV+mYnLJ9y7qe1TfE13KWLsKg/62Y+a1
KpkQ0APSvrmII7eGKD6jVzNWWTIFJ75GShx9ycpph43aImwcNmUWmjsc4CRIcy65EoGtOjxAusRN
jeGgmm2sV8TxmVW8JB07+ZsstLdmtm/AH1hbcxzy5dxWH+ifwUaa44cB+v8aV3oIbrHecSP6taGT
BheSB7Al0eezVmBJaRMLszqivcB3h8VmZhFVqrst/nibjJZMVnxferWCU5WJIxRfAGHWwbkqohAB
GsRkB24B8lMCknbznOD073p7n45GBr2hG/vN6M7lfYWIGBlCqCOZJzIZKrdT3RZFWn2GHQ2OwJxy
umdV91b10rmXhqJblLlVeuj6aT7iEU3RVUTdXosYx/llWItb4ar5NgkddV9hldj0eSenNaMTvOGz
42yQuGN8UxHpMt6cbPs6pSSHFXVkNjehGWhRAao5vzJwFO0ZpNme8ocytIZqi389Ta+a4pXjvfGM
dtg9G14Hjxk4Z3np60RpeLS64TaYQVi2EyFViQZHoHXhPZs5gRirlMY0fTzFr+jTn3wVEe77dY8b
6kYYbXIpbIjCXTypZ0ctkejENJnXk+u1z4z05DGli/+JCF09WBiW1pO+7JCOkVf4VN1oPxZFdxXF
LmFzedN+Yvpk7zFFDEecgv3VoE3pWyuWvBnye3HBdm1w28sq/5o3+M5AxYsXTPQlrWcmh0cjNcWJ
ZD3ScDUKbKJsC0Gt24huM2mteLQKCZUowFq/iun7Xpfa9C3tpfvZLGWxgUPvrsMwm7d2kyXrpCfb
ijPezFaICrBbddo4+M6kWMmSLNknVQ9G1kGH4mfstseJqsIvI2teDYbrh001+7RaH4gQ/DxCJ4fD
nNDFhSzqF95EUWxUn5SVWD4Z6kO80oWsGflwMt7hQM8fyjQvT+2cmQci0DhKISKagpAOdlq5nbYH
naXle8olR/s2tVlHVxP7j9E57lOrEeBN3enuqGIGjNxx8JhZWntiU8xuOSomLyPsgMekTuvPVVeN
cldpdHqBPddxyhSOIMhVmnKkEVpbXIRlDMW6KePxC0gc2sWdGpIjqVXfQsAw5N+5xmn03OLK4mT7
VlS6s54wdPokuFzPZc/8roETvWtTMDADP9UJGSI+FFq67TUcsvA64TC0SkSWNBvXteuzCp1g3SjM
Tbz/XzERMYxgT/PIcjORaAftfPSIEb5N0STAwc2ip1FBDNEnaWyMIg8uDZSFV0urvoikGb4IovHm
DhXSVjp0lbViMHZJPbOyV5q15lXL7l1PMs6Polrd2TpktnXgNFsYKDoT/YX2zhPPZKQUuyhy5MlM
nYnFRXXyEOUetWlihq+oDJpVwUrIAEFjHB2O8oFSh/0k9PIvATotQpO9T6AdhisdttyOf8X067Fu
70UsvsrMVTd92U6v4Rz02z5lusV9m5KzRzjCrlcYuj2MSzvG8SPhah43xQrkJ9lH4iGGrb1NupgX
VnkMMwrOVFPkeFtbswHWR+YtNcjTguS4GavZOda106zaoXU2VVYEL6UHzidTg7vXaiuBDBAwC7Y1
qhhTcbpFQVFj5h+KO+AnISdc7ZLneXto3Sm/BLHm3MpaD9EEOOa1EfXWdyPEylYmBJSpLg6PAQ7L
m8Ieo1NG5uS9qBJS1dfTjIn2OSkYIEdps8tZbjd9ZTGka0f9EgSdgzWw6tZlm5a7ianOfcuKiymQ
sZHn9fpOZd1D2EFBGaHTHq2wnHbtoL5ga5D7JIzYsTgIHllINULvvP7EUU4eB/SF101Yp5x/y+J7
1yZ97Gdt9WrVCRYKaDk1JUAdpa+lniT6lYHMFCJekPh0S2AAhY350JnaOK010H7eNV6N0FzjzK/H
lUWwISSAYpwpzSLlXReTyh6KnGCt3J5IrI2JZ6xoYT04ZvNtHNuOAQNHFVVb6qiTgCFtqgY7M+F9
2DZFUt0TOGekyYGES2Ox0+415uNH3n8bNaTzlIecjUWAj5dTYebT7nhr0Kj7KD2IWoUzhbRv2Hej
A+iFlTuZT7bSL5yhHDpntIm0zjXeYEcPV6KE++HUSMaQqKgbwr33vacF3yPHsm9tXTMvzeh9r0eh
PYW8eo/oZVXk201Z4wpQY+DjS5YrQhnKHUT+DkFCXfhOG4K8LegA/L6d+2sX1ASJBusLFJ7h/hKL
4jB+LnrNVftB0L/rNZpxcVXyTNY76vH8D0TKX1rU6N8BsJE9TIwN6dofeq5ytEfOSZJw0zK0GZzy
Rwy5cZOFVeb//ov906WA90rPtdF6/4Jg1Bunov1o8MUiN3wAacaWAXTorLeYe39/qZ8dIUsAELIw
k5BwdGMeV/zQrzZSW58yi0sVquhOadame0clHDl5eFd1OOY7zH3Tf9sk56KmgZGAPpwNsvXDRe04
MEziO5r9lHIXTcEfjqJlR036L8TEf5R9/SL6Wi5lYvQh30h3hPNB9JWy+M9VpRGWMaHZXGWBhjq6
dpNDatLRzGh/3FYTKZdpNkfnDkDVH+7v8lT83Knn+haCVpjMy4zmw1MzhaKKSCVp9m6OGYhDF42M
enj8/Y/4wZrx/iNaONPcRamuMxb4ea4xGmwXLfryfdvSupVDxCkilFZwnZn6vJ8nLNM9qRGbUnFI
/v2l/+n5sUzHNhcTlWd8JHh6thiN0LTIqxrSaVNZNvbQZGkES03PUIyHnMAgTwab31/2n159eN6c
zfllmQwz+vpxkmM1nlPKmMvKGh21kfePmIjnfejw1HqS5/f3l/unF9JijcE0RRATsMefLxeqWjc0
+HF72bT2Q23WO4p/NBjAU/6wynyAev79QiLGJLSN4R5yxQ8CSm+e//VbOvOSF/L+bE5B9xV3MxkD
IGPOtJT1nePO+ksULM2kgVb877/uPz20luc6wHAsuMm/vDTSagG86WpPprS42MhkzlXIEvv7q/zT
TeUnXMZXOoPP9yHXD9M4gci7EzlLz/sq0CdLfIY3jfAJkuoPv98/fSHxznfGD8qIcfkoP1wqHbsC
eSOpt6CqkGsN5ReMfF9+/3X+dI0Pi1pst6bDRq32htmeZ0eBTMv/Vk3/x8XsHx8Onj90gTyK9i90
U89L3EGZrdpXnF3PpC6YR7MsGJSBfv4caawwddHri0ka8ZbF9B9G7J9WtF9fPUuHoGthicEH8Qvj
VhBeZBE5AKbDABzQIjhcY8KuTxlJL4e08gr/v72vXA84FwFMtmnIj+9eTVnlTpVV7/Ni5IDiTBc0
g/IPR4lfn0WLGTqaaVq7pFe+h1788IB4odHOKs3qPfZ29JwVcadl1Z8kzKg/PIr/cCW+hGvD0TZs
XEUfHhOviQkhn9xyz9JG1rPWXFmTfKhU8vT72/YPPxOJGKix+a1YucSycP/wjZwqT0lTkeV+jvWN
yl40F9RUWqxj/F+/v9KvwmoXFfcPl/qwx9KjcoIcwc2+6z0a94WAqjnItl2NXt8Bcivmx8nmPGYz
/1B+Leju66oOnrFHaxtYnu0mYfq7A3jZMKCzaIDnYk6PtptUiJNH7RAO0XwOMupAURcWrAimRdRV
7SYz26Q9yh67z1B2dLCnjtxJ2mzoGAml/sMX/Wj+YZ9lB2euh4weT4b9cbMDrqFZHjThPezH9pOX
F/q10bt3k+PEL/ncAQLIyB1WGV66MQ23hNLQMxmdg+MAJbGZzBp1RYh095gHFEatE6HLybHSuNiH
aSzlZUrqfAomrY7h9AQqsZDdDiWCpx7sipZo3XoUpdgz2x78tnXNNddJfFp48pQKtAxJijaJjOMI
CBigSxmOvuC44nG3TJRh/4+9M+mOW7m29F+pVXN4AQi0gxq87DPZNyIpTbB4KQk9EIEuAPz69+GW
r+sqRYulN/bAHtgiwUQCESfO2fvb4dyaf/hotT7YtN551gjZI/iDRL2Akv/sWYvKQVF9TNyXDOzM
YIXiyLc+HuKsQfU6RkIffv3I/VzwYEfCo4+JHtkLsKsfH25VY3bRsqwPYUA2OP1WTLNopi49Ibt9
FMTdJYnz5iOi5vgDDvM7ry/V3EKmR4vz85mjiafBwNtcHWhzTS+Dp60veFitR9fysm+//SEReLAa
0evgP+elI3NRzptTXx3KoWEqgqECw94CeTGyqjl62JaDdcuAfVphgQt/f5miroLjZbqLo+Tcx+Hn
0PfLuqoO7ZKyojQWqDFG6pFNzW+XAc6ySGFnW45X0JZ//C7pAbUxNrAl3SZ4nqaF/oflmrdIiN9+
TCk3EEwhjOL0YZ7DoSXmgj4e+gJdQa83OD8OiCRvtHa9HY2nr7/+9n5+UBxT8MHsxVaDnOPsEYXs
LCunUHwstxQHQ05VzQyRmU5biLz94B7+/AJyMUobSgOXgfb59qXQhiReX/LJDOcxEcazmoOv2Sge
Y+19UIMs7/KPBxouxbHU46Ox5p9Tz2ERplNlIMQQstgKeqVhjV3bL4YZQflwok35UTX6/hXJ9UDG
trx059sLwDOC1LiisgbC0uRrPVmPoiEvsSdlGAuJ/VsJCEsJ7pgU3oASqDq44tkT6bacO7rIz0mq
7U9TMRwcJwcqZn5wmZ8LxuUyHA2BCFN9nDcUhsAc05RffYDrZjwaPnpeObIj/vo5/Hmp5CrkVeFM
suGKLO6zv9cBo2GPkLus/NAIOlp0etZF1n/3K+8uUx0DdYz6YvoIxG4vNtjzp2RZOECxE0REmMSP
V4Xj1IUc+/JD6KKB1gVpm+QD5VAkQqb0c8UQu50Wn7NROzmO2TmUjL1Mf9+NUG0L5sg78GaP8+Sq
+7DP800sJcXBUhaomjAxZHHep9DWHtGArfvBGv/uF7NwEhkGkhd8/sUgSUgKJhvFge50tc0m0BLG
SJ/z11/MewsENrmlpYRj76eSs3RAHlRxXRyqzkc4XA8HM7ceA/+386CWpxlPMKpKzyNj5OyrwAst
KqkqFqJRCoQsUYKJyRx3v/40761AHiVAYJNgTbNjuad/KzfnzLRJFzZyxEMtVjOfbWp08dm2bfEH
qRi/X0VzZkQmypaBoRJ05Y+XC7rUw+zAKzrl0dfl3jWpd1c20fOvP9V7L8/iFwQjRP/mpziBsQVy
ONe8PEXqBrf5ZDFii9yvDFvqXRO7wRsc4uxIt7D9YKt6b81DSOpQV9Mp++nQQ+vUTIQz5IcYzw7p
sq9zhoM/e5LZ/MCL+MHV3nvgOfaANYLnGfzUJCv4jL4nCS2Tscz3JSned2QWGJtf38w/g3POFwVu
IuwHxxLInM/W1bC3x96l5X4Iem0+pfCJd9AT0aNBByiYzfn6U2YF9bqvu+FGTVV+7Ra+2CcBms55
knBUYnhilorwq+kAPUbfZx+dbq1377zPCZs3U+CvPXtdmqg1XaIT2W1GhzFBp16tLqzXqMraY+oH
z/1Id8IHl3cJeDl9yvWAMTysvyQoOiBUdiepS+dIFylceeCPcIvxOX59I99515hpU4KSZUVz8XxD
LHz+BhA49QGW/lc5W93OlIgpowL9yvT662u9czvIHuTFBkZPg/i8jLEtrI9E7VLaR9ZXk4bDpnTN
V8gB1QHS+kJ887oPKox3XjrLYmJHRcOO9VNbn2i3aWzAEh105r4kaWysbVQ7zDGaeQWkQH1SjVYb
1BjD4fc/q2XRxaQjRYF4vlI6kAvTJmjrA2e1awWdk650cUc3HhhtHj9NgRv/ft3GBZc2AN7kkKXs
x2WMd0V3LdTyg2HGao1FDVVCJbo7TWjOofQ4SP/6E76z53A9aijBxkaxePYGllHjJGnNrR0HUDqF
Q74IrBq1EShi/yeXgpQhAo+CMTjfRKXvpF1ZcUSzwrq6xYs4rxq/8y7S3rI+WL7ee0bFEoeED2Hp
9Ns/3sUBSVw10xk4tGX/2Cf1N9dVj5A1mlUaq7ugBwf4+7dRYLqwSb1kfHL+Alojsza7navDvEBJ
TF/fN32zIU3mn36af9vwe2dhpqVuukLQecbGsXyff9tV5axRgEUcAYvYfYbptA9m9fjBZxH8jrNV
+YdrnD0ToQE+2HG4BoJ+a4WxSZ5at3Xv7d6LVtDlWu6iqVeQa+SmJdTyU60BJUJzBnCOs4nmX29s
G8Ku1zXRO1tDWNZWB1NxSEXXnMCsJXd2CIG4muDGRNKs9mWLOIvT7bRGBhsdExee1WyOoH+sBq0u
Zi/rfg4Bw5gVsT27umybvTkQKcUBaoxv8DNRHdbQ4SrssjfJ6Cd7q2kn6DpINAeRlFeD0QyHIA8f
0zpv19zhfFfSK4Jjh1DwgDixXNV6llsS6l3Ewrm+rB3Q/jrN+t2vb+97zya7uG/xnAjmFGfPJkQm
6JcezyYy4Vc1dq8BsaeOMHZkpG9J8a7/B68dNTfFHu17BkJn13OTqVIinqoDjtal53St7fyou+qD
4vXnsRqRg0wNafzRI/DCs8s4Y56IZgzhA5v5nQTTg2YweFP5J4bQVwhS1r1rf4mb6oMj0zldfDma
cV26tNxRDtfn54pQlgqHsEtPpJ7mlwRIMLHDjnGH0cUstmhmOOMot4y2HYyeTQGzgeF2xUKu7OHo
ovJ3M20chQneyuoIzo4QhvLAyT3zTibYYfaHa+HT1SNSwNyf403YEaSbYibfxFb0YOdOuw5mF0Jw
lzmkBcDa3mb8PZuukN/wfFi34MbxeI5a7XB08b+Xs7uGlphtfcO3n5Qgi/3XT9h7a7oHlhQwFW0G
YS1f1d/WiNRs3ZL08+pgknPCuHcFNGifW93wwZP13lr0t+ucF0aDHGDahLo6BO5iKKTfsIZ4sf31
h3mvtPGEz2nVZt7mnachmgqCoHKa6sDQCRoOrC0O4891jjEdXNEHprN3L0a/kjMLMc4/lb1ew2JU
kYaD/s6DsVHP+8GROxSgaKm7j9L63lsIPNr+7BZY9n4qfotpEl6GiupAlPGd3foeqRPTc10034AG
3ZWJ98GdtN57LpaZNwdYJAT+uUdsbmXB/aVOy8YiweVlW6dgbvTRphe/qYVBfK5U3RpOnLhPzSg5
TDGmhrhOIRPHQb4La2f65GMJwp4Rxc78weP07p/Hgkgbif4tRMEfH1s9Rq2RJ5Q5WslvIoyfEnt4
KAQ6kl8/Ue9ex4cHRUVJ1s95cdAOxpRI9HgHTqKSbk73Wk2G3tR988FG+l7ZSnMK0Ya5/Jd/9h4K
HeLgQHtJ+M+BJB4krrq6a2oXv7R1U9TqsSzCDxoV7z3Af7vkecGazU6BRs8sD+B09tAMvoVOgbjd
OzX18MGZQ7z3/HIiZUhG+chZ+Oxc1C2e/3n0S5YZe/rSJfK7TkOA8AR9rWnfxmtDGimsHLPapmrx
GhjWosxsEP2FQ/tMjlHyHKmgPfQ2jgVcbfiMkq55IHSg3gRVUcBkaYPd6OvgKXBZNclfaBFMGe0I
EWZpbdb2d1Pb2Flqgsyk+SWr+2ukOHKLCf5bGgx6VU4i3fblZBODY7ls9rb7wdP03l0IF6cuLQ6e
2/PpfEFAIFEBkspPzkfiWiwCY5xnV/4ZwUsmxPRRuPp7X/HizPqTVYwP/uy2y8yKJ0UxdEhVCMpc
9oBjSRkINiKOimjVLpr0X78wf2onzgpCFDPAPm1eF46ZZ5eMjalgSlqUB6+cw3Wie+/BSaxhXYnJ
vUjqoniSNlizzEE5+add4E+ubdlDdeyQ9O0NTQrF7993io3FAh1iDPzpyBt6UwDBXRSHHJbcNmkm
76pKKBunrG6fs8aaoUclf3xwI95pYqJKoOuzrNpEmdg/LlHx6M4yGnij2zlCyipiZ4cgVezaqGn3
oe8Bo/SgBhdusQ0BB60nZjI4Lxxr8+s/RLyzhi2+cOQYZL4waDv7Q0ykEV7ZpSW+5UwwGll8Dako
5ju01ZV7wZ3xj12GGhmLVQuZhiayRTog1H6y4m610OZumiLzJXEovIERmi+UxcB3NY8UjinCHMbQ
3SPJ/zYhxmbJHraOlyVbtMLOpjGq7pB4yt+OSe9vgvjCrnPxkItqvOG1xYQGwXl+ToI+PBWm/9ns
p/yDg/l7n58JGB50f5nQnzeOaLdlpLkJPn+Rjw8JsrTD6I3pc2oZye7X9/q9SyG8RmuwQFZ/OrYy
dFIK2E15CGtyFqQKFjcf+OxTmBTx86+v9ef3dv6mLd1fwemVbfD8+F8ZXtHrMuVwMLhRsILORKrh
PDvWPpL1sKn8wrqwiPa77UZbX9u2Ed+RzAlol+DXvazANf/5B/2HyvchvsHhOfgXSeCnOKb/gm9W
V3TOgPMBg1iC6Qms5kf+ws2b4T9MuuyCgYeAwLfwYf/CzVuQ6C3nzzWEMpN+1r/4DYJc+uWneLAZ
NPH/8Av/yW8Q1j/oxgY874z0XDoMv4NvoCXx4xEfaZ7L38U2ghyEP+/8/SnxV4Hq9PSllUoM2mAj
dVcWHJ1cD+MZQpcAqXGmyIrt97nNwmE+d1Sw1pa8zLJ9BArbwYC3eEHtbUH9KnWGub1SMngACCpb
r1v3WZVa/VpqCKQ7DlXEKFaYG8gF1Npg9sPWVg7HBrx1O4Ce6mjKyCuK76zaDEPKOCjEg3PpRtl4
qo1yMI8ZsKyrifjIx0woeeJdeTFA9OA6HbC2mWO4Cd0MvFBJPluZjeT8uWDOHhNkH4hcSEU0CDpa
EnqDBvKU5rXWwMvmGPxA4Y33c05ILVBZXCoVzssrkHaLRzbpNOsryR/zihgeswCwOhT7kZ5ksHHD
Oj16Zaz86zDsBhzTk8lo3DBwo3h4VvcdnJd+ZRQ4+pOSuZ6MGr3LZug9KzKR+cUV9hVQpUM03Nhu
VH3u9GTday+phn2NkGUDHBxHTCwRbK7bmMFZm5PWC7RpeOmgMz9FS59+3cQK6tNYB5hKo8blgzqR
2dsvCGTUpXatYt/acAgdK4fGG0tlUSU0l+BGLYmT2NdggAQ5sdhJ3SMpUf5TmE3jpY0hvt2naI27
XdLiIF4NPOobAyOkeae8fMvKU5V70RXR2qvdEc5U1kHIb7PMoI9TDj68DqepN2aPtVB6Q3lQdQTd
h4l7sKPm01vdZfUarO8Q7yYbJy1pQFK6EJYK/d2PUvN1duH35S5v4y6P0mZrVs70WsIMsXdhU7p7
rH7ywaqa5CL3uuIFZT6wO3MgjRUUY3cohiQ2N3bj35Tl1Gx6O4m2DalPai2h9fLQWKM1bLH1qB2w
xXGb+A0udFfJvYrwpeGSj08EMI8Y3USZP4B2AxHkJn3x1cwMLFFRZh+70seK5frRF96GBl9bhsse
AQxpXFOLPHsfd8p+JEG6P2pQeTu7GBbDRhW1D4EzvJnaNTbDFMybKCCfDJ/IlAKEltgtp3jEURt7
mGhKr3BOOX2xzwHCyf0AeCsCh4YVE1QYqQ6tXRpi00bqEQdbc00A9PwHLvNo06t4eiIEujxEc8Qr
aBhmmK2kMQtKR6O9mfBKXis3yzTCvSwDUj2kEfiJPNhYSVR/8mLVrbQRVscqTOPnThULu6qLivvc
kfa6ncHEDSAxujrgOfQRcGKJyc07N1H9eupGEe7qyrE1K0tkRRcS+BC2oE7eNCUJTa1nkqJm5dNR
hW29JlKQSeE4hasq6t4yE1acwKewdoPUOWTw92go2q+jnp7donHXhDWH4yZECdWAixekxxG2JRX2
Ju9WExAbc9nc9fq/BCr/2RU/2BWZOy4JKP9+W7yqK07LP2yL//yZf+2Lzj9ITPEopzgqWeEP+6LH
lhkuPFr6eKgH/9++6LCZkslhMneFsk1bhpP2X1wjh7BCh0kJkyGUQtTDv7Mx4k872xhdD2HE0pYV
qCOYyS09r7/1zpaYAECjU3LjSxla68IoDZSDie2uXZa86eBT6WIuzuOEdyUV8iq2C4P4lTj52kY4
QFc+JAO5DsxEjcdkVqSl1rR23giJCLdlhZdx5ZRyuqwVIVvPKUMKgqVn82tGJF8IcBZh8mqRRk2b
0hgGscdDVX9COenbR9gWw3AaRdroq0Z61RY1BcnDk11gGJy8/EpSoqytPupWxKxcUnVLSKAywPad
VTOGsqn5MvSw0WwYr0dnGIE6TLQivqE579HkL6eZMIgSEPG6cpO14yXpFe0EDT6g9w8GE43jUJeZ
XDVpNeIPNfZkptmb2g6fdTUyloW6WbKcs6QQDDhnz6PbyrXocW717CdJaKW4AmarYdXSOTTgTV8X
QPJXIApc7I8VCxmpxU27no0o5yTNN89dNufeggyZuidQCe1tS63hXWhIqG/ckekib8MsgtHpcf5m
TwRrc+E38ZhvOQSSea+9Ue6bgPV+a1MzX9W4CVOn4OBAyLxZ7bwZv7cFYA5WL8FrKQl/ir02l0Pv
X8x4yppwZkNiQkgGVZL3GVnbnO1GusdWmVvhAOCDKSEQvtFCbJMfkaISCr+RzLw/D+hJ7tsWTknB
YX38igFNZt+XIInvnL5sLa7timat9UAen7XzutQny1mSW/hCxmrvrFSJO40oQVAUVS+5UU0OXG8q
ACWlDmBBZLz5nWXVbIwp/AjscvqGSexARmHKJlyMeb2ZJFHDBqL7U5DlNZudCYw4xcyZ18kN5d94
33m9k24io7A3adgkML9VF5+CoPMdDhbc7bWNgfxgVuaAwJYz/5GmTrObEY++1mT0vNmYTARe69Zz
V42ak1UXABldxZxACfgFE3FqRUfyt4iLU0aoinVwqv5LkjlQaufacW+XOauLmVzGjAgc8yLOHMLM
R9fYD4TjbXwud1Ug5dxbszXeVXVncVTNYY5Bw/NXpQoopbDv5Be2FZP+jfpx2AQwXo+DNt3rdNmn
V5CinEsvyOZTFc3mCn3KtIH1/srfmO0Cs7R2fRFfewkE+E3veJe4alrmCXn0hXhndjEYPXsJCGqb
wwo49ZYvP2XtfA1fyb1bnuybyGrNjW8KrOLKuiJLeFolqexgseD9W8gKEEmENL/XTNBvajePX2KZ
zheNchg2DXlxaAtPrqbUi8E8UjdEacu4Tcn2K1TUdi+9JnyIHXKRPRHYl0HuP82wpCuRKaw1kXeZ
z4N7KVNl4Dpt9bOraqy0GTZf4pSF/RmjIX6RHtZ8jPzKFPd0e3pMsa34bvhBgu2eu7HLZ3ATfVe8
0SkO101KB25j9JMKV/ngOQ8SqH4CsWao35xgih/dzMF5WeeN+0dXLukDYdvyO6RxLILCXgtQIivV
D8VRm159ykf4s0GWZdtoyMadqOLgMLpUMvB1h2DVe2O269wYqojfd+mFRQT1Y5cwUSy4P4/tqO54
rOt7kFuXoQZh6uZReIAkJoHOCOXDwzbScEXLM/iKmz25DYsghR9XV1/91AxhEUyYhGWJemg71Q45
EqZ1jLzsviub4DiRAbfJebofoPGSLmnpyT6EvYjWups/BSYgkWl0Y3/l+yq9zoqBlb03xReIBvQZ
k94A+4hRZTMiU/rsBjrcCEvO9/UILsXxG/2cJ3QvXZGRZlBIBJ+DP74ZYzVsB1t03+OcGRk0aPA6
RdLuR5JTXuyKBNnZguE4QBe4nTBR7iygsLd208gLZoXmghAgybpViB93dd3GW4yX5mtAV3DjIPu+
z4BedetJJ2KdZD0HA6uLv4OfMg8VobyfBb0fA+FrEyIk1pxSumngMBgnmhRcVn7MJcbKDwbvylZz
DIDKEDsntsgIVaHE/eompxp6163C3bvplEl23hQm0zcc/90Ds1yVrZVNzd/iKVTY9Bf/9HLctKzB
Ps4QnPq1Y6tvZQld2hrrkCmyXV8hqMnWhlDN5VzV+q4AsEELKbxSA7oPOLUAr46kqeZXiWmpjWWr
7EvRDvZjRkP/ypfB9GBqCwiY4SXhvROO3WEIuvFYj1HqrOrIWQgFqXnTDDJ/LsNaPcdB1dxWQEuf
JMeMi37Es5voYP4EoGHaIkvK9sB+JphXePVN2tDJxuHTUrF2ttkdSQMH2xH7/SeHyfIEea2tNkbq
Vmv6xvVWmYl5q1o/Fls/iOpThT+rW5e5nuA8TWW+ThvL3uIhF9zHTr84o++u3CHxIPOVQ8I5PJpP
Vmp5b0hGTYJuoyq9jbtEr73MDJ9JQ28PpjOz0QeVCQasjdt05yFgvvRTKR8jnzC1leE2Hv7liFIa
AsZ42SuM4a1kzP9/pRD/KY4/KI4pZikm/31t/F9NDs/3tf2xZ7T8zF8xDiFp3Uv9CYGOqQr9n3/1
jELnH1A2QwReDvpZshQoS6EAd8n/+d+kNbj8CN4H5CfIXRYn2189I5ifaHvcJcyB+RP17O/UxtS/
P9bGiwQLMMbS+0b7xV96VhuDxLM58/XO0S2CgHm+MVw3VUfwXZSMpyJWLmLzGqdlrfX01aXsvXRz
R9FvsSx9j9Iei34rjdcC0v1VjpHjeq4i8ehx6gT6QUELF8Pxr8mLbu8nzPePxCQU+5xk2GMZe9aX
WkbBllCg7ISkcNtN5JsN9BoITA0aavEMZcyq7eX8ZsrcIKYt9mwWm9x+aNqUbm1VVBeRL4o9eQUr
MXbVFZThdB0WUYl/okxO1tDqYwUVjBrW8MSG5qp/AqcPxDcqxptaBsVeFkF4ObXxAIveG+270ejD
a5/4vytrSs2rSUzGsBpqoXa2T9vFqu34BSxYeG0Z+a01ev1VZFuPsznVG8sj0qVSDskAppLiuyBL
e6VL6IABMcsYecqmuyXK2VlZmS+2wgFtjwci7fdM2+VX8lDVTjQwvVXa0JXq6/yTcjKy58bCyfay
HLND2HbdBixfuTH9iUBIy+6f6yCNbkC+6buuTue3cNLTS9X04i5GfnOAKtFceyIb7xBCpmsET+lO
ReT/giYjOkL042aoYn8H3mTYQ3TiYyBCWjk5auKh0jYcJacnb0cwaHCntWCTsKv46ADo2vZpYa5y
AOSb1o2uylyWR1KpjkUO2ClW9fzsDI3aKzW438GhMCXMqAE6z9F7j7zbo10m5a01+zOtHxRKJ4If
INmJOesvpDNlT/GUhp99hbGKalyeIunpBzlo9RhGTno1oxy50q05LowSkT6TON9eZkhECD505L4k
KwQxkarNg0tofIb7W4i7GSL4FcDDeTf5PlkYhgz8+yqVcA+BtgSbtBUDoWOpeQuIyj/VcQedZJnB
vi0B1deR5xWHaezFhdfJYl9KL/3cB376omRiXVexdO9KtCGHkcy/a9MYxIWt3frQEL9+0zl1+5jN
IlyPZVscS6MnJjwihJbxTnBtK2l/rpBLXKnYyY+pVUiKvgIRU5m3SKGcxL0ppL6wE+3wOIKFNcBO
9UncvSZ9wA41jbm1Bdvlvyqhv7lqLI/xBEebcBD3WAOx3vmBJKjIr+wn4eRvkxaEFxmxY3/2g+qx
HsT81EL52s+cCu7qhLDq1QhZ8OQaLfgRNIDmdTKgSVprw1OvzMeyW2joRO45QpDSHAXJvhr4IaLk
i09BCnZvEAbHmIEMcWBHJf1ZQW+1Bx+JZKF88EXb/SGCED1khyi+qyuCQbV3IkoASh29p9nzOWun
RZbfoTcr7t2oOHgT2fAeyJKjg3Vp05IftepZLD93xMuTh11GuykVaoOHmwT4aszuZWtCOR1VvRY5
iRUzXLVVJt38xTeN8ZNfSeOOUWe95gv1TbioOcdqz5K3xErtdOGpCyiRQbYO4auQEL+PWm1eBUFY
7FVxBzJ3eDEiXUP1EdZdZsbiUKHOb9cEnQ/XnK6aN6jK/CWOudEm6J3a0uOWeTpyOsDzwUvnT0qu
pDmTvKD9qd5W8xTfzG2d74kNQK40Ta6/bgaIlOtgUZLF0bTtQbPQX697Eiqho3yK58khWgDbDN3v
WLHMtcS3hrLh2CWVvJqqyNxalvGS2XlDKlVMqzAtQmLZPWWuw6by6Iqkz1jRzGNhtuaWpqta2Zwt
/yi8ZL6I6iS8c0tSddrWHUsgN0Z3ly6hBj5xUi7DgVcv88d9xhzk1oTw1a1lKczrIajNdYBPpFjZ
QeFtSwI2ngC2m9czZ/NnaBDpJWewL+HceQd2xJnmRTtAbHE4dgw6u2whZa6hUoeXZe80tx05A1eZ
qdWTEaXFNY1zua2tNt4hP403s50Qjtsq8Zzr0j54HZ+yiYJ6l4yZ/Q2fZH+lXZxFDlUom0s/Oy9J
WaSfOtuC7ERxRRIerN89UQr5tp7wVhpWlNxaVsoizqRoRe07PpjA7Rc45LyZpk5u29EOLjhXAZEb
QYreCD/TPGh0qyH2ISGTZH3tp1j0e3JzumMezvITvOZ9aslsm0/RfJtzHt7KYQC9NXXmnK17o3JQ
wY87T6HwsIbYJj8mzr9oZecbTT9tNVhstymv+EUb2fLAYHusoS434eccl+qmrLT5UkRNdGBlSsgP
AFGLrOx27jPjTTq+eZJdYOzK2G/pFlTF0XWMaIcQub0rJh18QuUX7SxTmQ/JkJpczo+M9TQZ3o6w
hOa6mdQfVTtPJMX3LP99081w9UYn3o9CW5sZU/nKbo0LtzLJrFlVTTri4qq1Wxo0hHozZUVLzbul
tc7en2XxY+8ubN6M+M4JAULY3akYYw74xJDUH+kD5pzbRlcrPwrUd84m+XEoEnhVozaIFCi3U1CV
twMR8IfO7T+7DRJu1lpS5PEg9H/knffZTRMyJrFEFfPnoB7vcXzQOJ+15HqqPDaVP20blT7CzZQn
mfj+IwcJ+ynPdPUGLn18biJ+cKg8g0c9nRgCnQg2Ts3+JBF/Dt2ecZOavStKrSr2VjM4SHeb2nXn
bL06TciCJ6Ki12Mf3KpOTd5LS9Ql7lIRMNDQfHEImGy5MwZm9wT67fuJqmdfJrK+SqUy6s+SBZTa
Kxw21hjlO5VPMVkARt5sWp3ZG4q8nIymiS5Gk/qfwVOpL6YfxdlthM/pwk9Q3aKaJsp9X0CMY3o2
tnqmMxV3bvY1SMbW+OSqaHS3nPoijsFGmpO9CH1jUxnmtG/Qd+8Gr33myKNXzRgXG5PBGAFazjPu
M33wUklQInHy1/zLcRcWPuVkkZzSxoHjbQcoqI0azljMLmP4g3GgFvlUzbTwEtwBJ3YQ4wECZXw5
Mg9fx5U1XTPoUdcN3+ZpptPUJal+dXIgmU3oEXPgGP3eqsZpVfVLuSVmmIz0ppuLND3m0S73vWkz
EJpxCAoyLXIVpHt6WSawMueunJN2kykjPhK9S28kiqJTU9rpqTPjS89CpkS8sryEedoBd/bVl17g
OA9GdyLcbEh3WdeGWyM2mTxBENzqyJHjqk5yNrJItmuXr/nQM3ckF8TGEU+46Xdo05TRJDWlIxJU
pPtfyT31gufW7OFZvvXg4HL3U6QcKg7s+yguitV/5v7/P7ENeEuWY82/P8XdJ/XXb//r2Bav1de/
n+T++YP/PMr51j8sG9ctwhREUz8c5fi/FgchoAzQSsHfwxtsJiMM45HSYfP6Yfjv8Osc989xiYUm
4DeCGwAT/HiIQy+9yGZwdQGuCZfY3R8HHKqJ+6YMQwwmYGEROif1QwgPP93GQQiTwHZfdDkMV+QJ
pCyy8gWfgXE0tX9t132Rr3kb8o1snfIuHMrqFpH1kxuZMUHohcp2tYMObe4NcWwsvyBRx/AJKAI0
GLT+tSxgVQGxus1G3bzCk73ydHElDL2PALdvusYN14hfXLCrPftIk37vzT69LrmPa+XLatVXNd0X
IyDU1GW0l5rzRR2at54Fcjhs9Gs9amD0cEwnh7Kt6dLvoBrzTYn6fZEIXvti3OsU6IKMq+9hXl1p
a7hnGUvwOPQ7x86v6I7eEtByYcb8qyYzqGnT10l2NeEt85tLqmcxWEu6wouCaFuTqcoxLRHIGJ0D
RiFvpU1e9rqN5hWO6GurEy/5ULz65myhItb3hFQTZWrddiXFmJMX3zNZGQz2u2wnCs6EAn0CMAvm
w4MeHoF03gfVyIHQ9oDrFeGbjvJwb0EcBO92kfd2fZzRW60N3XJjCEh03PRkY39ej/n46CXTvZbU
LSI/xWPx2qjstZ7dax+hvrcCrLx1+EDaSb8Di7p1Cr6rSXTE2wGfNRZYM8sQXXMiWxnMQICtuVF2
QhAizFaws7aJnSAPEXoYQ33RyXTaxsZyL5PytbeQPZrkX686Da12uZZ0+AeGmpnMmredrfdsMBdW
QKC6MZgX0q+NNf7N76Lgn7lWepXn44XNl3MIQF6uMsitzAempznqYHZ1XsGoQhibvOVCqEWyTRI6
82XjZidsAE+No8h9dsfH0oTPDkEAdTq8V8AFr5SKIZSQ8S2o5wtG5+k6S5r0Olf+S0qcfaDETahT
aw3HYdEkHGa3bw5qHB5n+htYYToeVHGIS74jw4SgkneULX0/X3gg97da832GcM5Ooc+TMAKgXim7
FCsOFk9VbL2FQhPXQAo3uyGYKn94VE3/6IzF9xIs35ouOVOxcnwUkZWA2u3krrBJMpo9JDMUl/Qr
lvtuVRCtQ+elVlVGLeZeA671d8RKPRJq1SFP83kUhfeS+s10WKCNK4NwbWnDvcwi5GJ+lkzI+KLh
Tng8dsUYR+tJOe56QsZyUP40YKp2h2NbesFxHAzjJk+mYqtmWd5UkAt2Jl2aU5modk2qm3gjofAL
aYNA+ImNi3lq6lShE8wTmW3CUomNn8/6NfJrusmxJBNgj6qkesqr/2bvvJbjRrKu+0TogDeXf3nD
KlpRUt8gSKoFmzAJkwCe/lsojWakUo8YHf/t9IWiQxKFKpjEyXP2Xjt8FoPmdqsJzDelHi0HdpFn
u8j+lOCDlxkBBEPsgjOyklUFIXk9R2IYK4mvOV0kmAKJQmrThevV51yL74qSdivd1edSQ93RdI6z
7jvnhawP+VYUvPQLbRYx0iTxPUDU1RS4G5GIbkWEeHhntEwhI6zRDIfMt9Ioq0WDuWQR9wSpD6ax
sbyS6zbyCCBtBVkbGoQngcu6tXWv2w4mN92YeZ88zT13Zq32YS+/akqCKMreAc/8KgKm4wePi7aE
i/nl2raXpK7dwVcrd3avwT3tkO2H/nCmzAccY7jfqoH/ajqjhXhlCAtmJiCUBxhk2Iiu9L+BrbrC
pRewi3jUV+g1DiZAeeZQ78IHf5XM4yhFZsnBZhfAtZpaed5gpUgdd2abvQQhq+G8HKfMYpZ07YiK
4//0dwSeV1o43ogccwa3oKyDxn0Nd4isgvzGJix2Y+vE7An7p3LgwdYse6c0J1/O3xfQz1E2rG4/
1A5334SdP4YcWb9a7Tg2VnyGiTRDfrF7Mpol74AdCUZFaa1ScuHvxtCN5+XimJZptoOZ+aYaEnew
FfeHtG94bhn80noY32YNUFRMRxAmvHVhIweB0JZpx4TfV0flsnz7LmKEzOZeLdNTQRKicPqHQUTP
OgkJK3ewz52PfmEo0ec7Tll9jhBZLG2f5eH33/RvbiEcSTr+SBe0yy+qdTNPAlGadrGLzWZjl/od
QOU7MZFR/85x/u6MXszknuPb3ErzHfaDgIOwUX+g7uJeDXJ73+AhHI3EXpN/wSjaDVJ4pNmpjQxx
n/fjndfq4j6OeIfaU/S17lmX51IlzSggmPgfI40ZbKC6Jy1wz5bssZ6z3DtVIoBBM6CpoXJ+ihxz
3KJiq9ZDMjI90mXzUGQD6GFe+52Z2Ic28elouW15tIvka5g4Lk7FnKs4+OV20NKvYTk9+1G3mdqG
l3dl7eLR2cVxkSwjAcfWqoZj5qEiNLvpjiYQe2aTfzvwtT+lk41Lz6DG+v2J/JsVBhMydGMD84rp
XDtJJo/wPluz8DUoUgcoJwZWNgffzEJT1jtq7nlw8LPqObAYYoCKwqs7kw5/vmbSHBMvt7FdOVn/
YDfJAe7VOwvmRTl9dQxMZAzI5l/ZQ14dI4nrrM11vdiVQV9tmgQEvh1Ob/NKn0wWgGBJOIZp7wLN
PKswiNdekQP5CD8yYnj1Xaa9yFXlws9Ta9envMTjgNWpGsXJMKKvk6sY7kFR3uWWOy1SBxMhGbnN
TZ64696vPvgtv+02Pr3wkZz43KFugerXLgkErTamNGE2B7W57YaqXehm8tUpuAVhbp/6ITtkTjQS
Pp9SoBqK6tegFVHEybLX24eyMOO1bU3vOIlm8fL1ReFaIEFHc4zX+No3WphVO5SjKHZGzkahjwUZ
Pi0NVFPL+M4xZ4AWf7rKR/8sHFKZQiSiMIkF4R3cy4RRrjVEKxsVTuzHXaNcdbH+SaWVtfJ19K/I
Cc5hh3i1C51zHJjpypGsRFVJfxRc5zPqmLep0RfkBj0OFtUh4WHA1rVhm8X680ghtqjCuNpaudqS
e/QQIfRbpJL70wbMvCCGTC3oqpGvFeYkhDjTMy3O/vSPHxLeGfN/4CHYvZk/37gqqr28VTgtlV+s
KHHIQFN8HBsla1i9BxrDl//rJUGwzZAP24uJ7erqPVzb1gidE2O2NJtibbgNPqkwPYS8qQKD6zOV
3JITWtIF0Z3tIk2pAKOcTBoKwK4M3UVZBNWSiM96HbgTZhA8FAviHV6bzLjRev82D0SzjAOq/aEo
rZVVNW8inR6GfDwKb34Zc5tFVvYSqrlKVcSsTfqp7opVOpQmQVSE9rSpv2m5pJft5WQP1ipx+IsB
TTBXa/mJSvWbKuzaRT618X7wh7vLJoj2e7lSEL0PRaeeEtxlKHggL041Wz1nUk+yRWky2ug7rP7J
zIy7WktoBVGtGV63Ig14XM3/owl+J+znG7LqCKqzZbOeH6NmcM6lp57caN5AOEwIfbdCIlVTLelh
ehpqJK9exd+WmvOpJuNlWbRhfRM4w5ucx2gdJzjNk1NisWcJADUt7dz+hBzsQVm2u7RKhwmYOGh9
ephEXSNl5gEmj+7ApngLZ4HhRNRzY/J0uKo95YbzZ9yo4pAZzrlHr2TBy1vOG6NhkglhHSTiYQE7
5639yZTJe+9j928eb2qdmcXkuNxR+tV7Mic2mHGug5XJG9+Kpn9odN57PduskHjr1Vx/XbbaZRsY
mzag0rs880XcbkbVqEWd8mO1IKKgBfoRZAG5KNLyIKbDrcBhCwZs6MZdbjQaG7RMAKy2E2CkefRW
a3lwqsDRr6aI92I7xcFNwVoOnhBBnMYak7bjc29RbunSIthOT8AcRi3ZfD6VdcTGkPdhbIHkTJF7
7b0UmVDPCgoI9UESLrGEeX7qu+7BdrpkS0brsCZF21rVaiK3Wj2lIW41YWjTwinHN7eZqo2s2geS
RtJdlrjnnpcIm8zuySLHaK7mW+/7+/V/Mol3ZBLcU+5vdRK38q+oLH7qrX37ke8SYsP9w0YjYeAR
BjWAK+bfMgle739wN9PhQj0AHtGl1P+XTMJ2/7g4GOc0UTR4cxvtu0yC7hoLOM7GGUyCvVEP/lGH
zbyqnMAjQgkCKAh2j/pTvzZoZk0HPqILkjvYm8yIlrjnmGlIMudvCSKxbXKQa+yCZa4XchOG2MGc
heoTd5mFiG2Hc408uVp4yAwXTZtkrfUQU6Pnw0fHZ7PHVjSTBILNAwwC4nV11xKf84UwFgWTg54e
DEhpxL6+MDujjGJazWbmYycJyE5mx54eRFoYX62oiMlDbmr/VTMztt0uEYsecg24Y9GErsljhApt
chtN5bSygly/zbKknD2fbtfR05CCV01eSWcxWbaGLVx7pfCOgQEhmGYu4yGlRLmREN5wM5Dzsvd6
p/tTIRhe23pFS4dBYvwgPT9DHVYO411PYEOAbFYJubbQWmgMZKbWXzd1Xq3ItIiPNbOMiMz6ZQvE
8DVRffuh6d04PTvmoJGnUnm3idRthYaSvt0yJxCTEOY4JgA7ADy7aHTsuI+eQ4rZiisxfgpH9vMY
IvDokFodPQLmAynSlGOYYd2M+33ihvGR1/rwCQqK4Wxde9AvkZW8P/FL4h9J0Y16cFtJx0YN/nGU
A+ALZG9AITwiG7SmIPZDcxDk4Wae/Fs/U15HXJ3NLZGSvoSOZIibCUtP08iVm3vj5xa5pXvHN5kD
zrNeYHHI42HF/MhaNzqtOyTp8VdP5theSQTaNYlNmRVZRHLXRDx0Zezd17x5IyaPWURroy3vM1fI
A5rHcEEuo3GvOYFaF71wD6FNvPWCAB/3i0LwviKOvTvDJppoe4yliJGMEWFlkF1Bcjtaz3Q86Yzl
vOoA+UL5FamihJj7a04ECfCo1Yrqzs7qmM4k9i97oVvJGBE54yeuXHSisW/oYRZ4Y2JG3yRDVYZt
2Ssxcfbuu4ZsDkrI3nsUVUGmhqcNQfWcy94D01GiriWCiD2v1ONSLK1hmJNkzKgpDynJtMGNW6HC
x9o2EhGae5nH62IU2k3vJFEzt0fKc6P5yU1ftPHRDQv1gqQExW3WKCKAqkKM+yEiWZI8GxNAiJa7
OgiElP7bLtBtUq1aY2wRNMwD7Z0+W3mKKEnu4G4Z0zKue4gUpQxJhSxD35v3bGPSrsDddpiRQma2
N9OUdPO83baWZczVXAHQQHquFxocq1QrguiOrMekoafcCe9E5Jk6541DnklGYRNH9LG542wCrlJE
jisatskZq1lOJkwY5vFihj7Klch99clMmpJww6GODrbePEwDRfl90Glv2hQUPFO4CkgiQX3onNvS
aqYNcBjRbqJuLD8NzBQJwBo7Aisn3yy3dljJYstvphElddG2O1ai8dGug6Hcm47b1sskz013m+ux
Ob+OQ2tvlZX8Sifug9O5/o2V4FV67DOzr3YqI61pL8NxWPmVZhytptFpWqXmvV0onsfQDlI0PBfC
UAfNhTjMdDsNln9IAe5niBe1YbgZDFUeEYUU04ojZVvfD0kaNiKGz6j7jZKw0IkqZrKte/qVer+x
ujhfsf83j6VbBGvLT7VgrWGMQsoZD8ZTNaGB163c5DpndpS+ytpLX1K91T5YMu8/z9IhuZalbfOs
2QNhQahz1sKgqN1LNELL3OpIKUI/HskjfwEjlAEAIV84JlZABG7+hMYMe4KDs3K0PacibnLM7X41
dGCfTaxQ0cJxZUSbArIKkRTSggfUChW1i9JB0oD5pmIw4hdh/mSgEnjuFZopbmF2Ypg5uTbM0Heu
r7x710mMFYXuuGrNuN7DZfN0xCItZk3Ngao/T0oecKDZ51yYHbIf6QnjpGRJfGE7uenWr0vrU93S
2xjwoLF/Ix5zZSRh7i8RH7TNokPA3Z1EJYzzNBrNg6BbJZdIhofo3hj6UJpzbNM4jSTsECjjpEtk
A1F4qBtWjbPtZ8a3Lt7/6ql36ikmjCZMiv8+sfzIMp0U0Y8F1b9+5ntBpePJcqBnIz2d7cDzSPDf
XmVjjo1nxDxTIC/a0u/1lIO2lALne8lkUYV9t2Tpcz1F30hn0Agxl13xP5hYXvWGSC9h8Mm4ErAa
wDP6RD9vscNOGYkT1urciS9RQ7p3/vrD2fibHuwVwOOXA8zl3A8NQzmAl68GDuDjHYUsueiCl6Q/
J4AuxJffH+rSM/mhCaX7vNMcik/s/eSg/BLlwYNiwIawjVPq5ARbV7zKTbDUI0N+M6udP5t0iPy3
mBdIq2/1CmHMtCzpFSXFAWFuHYkvZV36XnQbdXZM32Ybykjf0j/uwJ3ofiJuOskSYx/12Q2Vf3NG
+Thdji4+gPBpxMqbzk4q8FPMYWkKoxlDJwUPz5zdV/7FiGX2LhNFalLUNaTOCTKvHsG5R71kklf0
XrniQwhWHXc0kTd15kEaVfJhHPLumId15y2nOVtjI/okt8TRQzWycoi2PfuEC6k/tVJ3F5kWCZI8
W1Min6CivrU1r5qOaRvE2qPStcQu1oQBhoFWYUxJyW3derlM/kVV/d+q8c6qwb7/t0bO5UvO2BdG
38uP68a3n/q+bMAxAInJXeyCPZxF6f9ZNtiHgTHAR0PEihvAO//PPgyVAy5Sl93Z7NK+kBK/y9XN
P6CVkUvBnXoBIPwjK+d1s0yHz2ugwAB6Z9EyY9v583ONoK+sahLSz4WyiItVNAtxcadeBsZN9fcu
sYaHdGAbtQYG2CIJtfsPwNyoy5ugqN8De1yvMnwaNB/mJXRqHtrNrb0fVhm7wIaHnalHulsY5yhD
+r7oCICOl0OPGpV5v9199rBkY9kUPhUV6Zu80sOpwYRHl774ErQtezCw2Uwr89z4MDmab2xH1wn/
MkbGu9/ep/915ndpuv+4Vs2fmLwfnLoBuTL0Ha8+ceLFXNuxPVu4nsjwG6b8Q8+229ogQ0Wd1Y+D
ka4SZHaLCf0UC0mmW1t65CPzWeIKv6ATawjY1CpnxT6WzIpWxHqPhxHr2zoq0/guAxAjmgB9FZPA
4LmJ62OWK4duDQXqaUbVvBfZ9utlYA8HYJuX3azOuZ40sNeJlFblzZneXvBcRry8EK+jBV1URTfc
YSEIHqvQyD+9s/Bzrn48l97MewQYBNiFcApy3H4+l44+RDahBsW58CfjbGRxdy4auUxw2z7//khz
2+76SHSi8U/7rhHw8v35SCQMjFMN4uDsV7r9UqsSb0BIHKO5yKp4rdddDt1dJ21mmVqOEu/dNFfq
IpRu3CgmExxanpiorw9PjyWJo0Ik51mh9iJShu9ZPn8GZxIUxxSYmO649FuV1xe3QOn91eZBs1fB
aN8MriX1JY7TMmOLUwgq78q0VrE/jn9VWl+tdG0S3hLshi13DoOW7p2hl3HVFZ0//zwfMuYKaWZd
zbPiHx5T3e2cwnFC7YSNWrwksm0iynhanDapzGMRHVScZK9IpaqbYarjjQvhNFmiCfa+tt40QYWO
ycSwy7T/K6Eb+qV30Ie+N8pyfrnINGy5iWiCsbbydM4z0B8+Jcl4iS6xK59QUVQhCTu8NaftcKEt
tH3XLeVQ6/dE1DrdgvYHknCj2DamrLY5Bp4lqUZkzOQOJAcvV9FHlYpyD6uCiQroiw8wq/wVNUEI
dnsmQiStBR0iTJvirGZkRD3DI6LIgCOhXZgSJsOhHdvA/MFMozt0pSRM4Rivz/TPn9oLmcKdIRVG
MpqsDXY3TQtd+elNHgO0gFRiH+IZcjFdeBdKJ6mRqgcMBsYeiBhqhmMYMyYDDv9bBT71sdNxfWKW
IXM6bOoOf4lpPtWxoXDNehrdBVRq4Wtw4XEkRa39yX5arAgMMPcZu6i9UQf5l6Sv2P0D2sgekwvj
o59xH3IGf6CIxWtsm8FtrcSwtpWsN8aFFZIjxoiWvSL8bEnLmVz1xgIsUgW3uB9gjWDGbne8akwk
RzOMBBN1/mkQenw0ZVA9OlYLtCRINRP2hZhefBfvNlvLdCLX1Y82bG31F3PGnzQXEgpRSMySigsh
hT08toQZmzJGKOQ2coap5DMEqwCasmA5h7UCZaX3FumFwUKuD27VC5nFniEt1oXXgg1wHdkzw0VZ
4FwSxnY5oyKb0hCTNsSXwfKGGzebpjy871TdCnheCVBM+SUGDmBOn6G5Dp7A5UHbKCvfyLROW4vu
Ttt1lX5us1ZkwyFIauiZxEmHeyHRTZF9nZePuoc2MB0ta4arYL1ajDUKBy6X8Ik+DpE+LNs8U/Xa
zYibW8q8NcLbuNZdsqSykRxDPLjEIN+4TWtxR6kQRb9adrwLNyik0vAWfbzlRssa9wo3HLkqYlPk
iQwWec3LK1wPc6NV+9Z0xYJf2EvUekIw9OpUuFF408S6CakKNmizxTSjXVkxC5pdM9xUsp9HghE1
d02iCbEuo8T/qnU99uKVXprtNrH9zj/PAbnhofjXxrcYmpp9cANkR8ZrelTkTIdNP8GDlbRrN2Pu
inGnN42oligJ0CJ4iIfzrUzqhLGna5sftUqw/7YsN0O0kQldu81TXWMX3hbFx1SIQOwtGbT5Ootb
92HqWsvaAKgxjWOs4sZDDB8DMmK30FfFIy9j65BGyM43HfOuYl0SnzutfWMA7kecT6VOwh+5tTUe
FbkKDaM7SMtxciLVrahbeUXP5Uy8hvqkmFJr+isnWAyfDh9ArKyRJvPegN2yixIvgx2QZQjAkjIJ
UYaGmYN+QFbBXRqq1F5aSZ0Sc0WIgXbUw9zeGFUYOXzcwKvWxhhP5T5ODBWts8COgbvw94jJToKC
2yey6uWgEqY47ZAghCjGklZmwnNkEmxfJBP7ix4JwxN7EbM7u1WA1K0I6vbkAADOt1EDXW1mQlmc
rTCJjeLzZORFfKhHkQ+bRjkTHvQ2ap/s1HRenCEUCGoMbt5NVwxY8hp3ggolOnqfKzilcKVpmK8T
I6k/50pRWaRktD42jqteKxkjG/BUFK59AlbNRUEOn7Vx8hIffCF7uiioPux7wiSNJ6PV+BsK+4CP
Z28kUbY3RZrsgE7QXiu8qDFvE80Lngu9nm/ONK0bdkdN3NwNo936S72eMVexKvhgZcOie+QNFjxj
yuLuFqyScsVYm+Yd0vSQBGhJnsoDI7uA5Cw7Vd2pHdq5+MSXdseklPFZiUlG7ctymvrFYIp22uqZ
N3/5+aMr1ic+19wLsp2Cb9HVWKsg5JeERwdZz6NT5Rgg7gvp8cjLjqog4s9YU822iG9rwx4Zj1rk
onK5lZwbS1oM7oKWdz1shnmgsx772pwXDR6mJd+IBWQIjLlObgvxHMIOPvh9ktAei52M+2KM3BdV
WHyMQabjg9UOenOMKHNT6GZFlj76vC22dOeNcx1E9Wcb9gwGdWD45qH0o6A7hnEZ9atRegAlJm+0
thWSvozdaj2+ZXnm3A1do5e7Wh/77KOCAtbsRKiJr+MUzGsIsvx4xT7Axz1ljnGzqVwRfNT0ELCF
qqJ64dksc6NU8UNSts0xEFnqrByUIBHLHnJOJBdm8IwIuY/QqxY8JlBRrGBvF6WBY54FeTz4BrfU
Ws0r9jp1NM7ogClkzUtG1UdDdqa7DIO87XnTWr1O6Y1TXgZ98KSNlOmHKWil8aVtirFZCBpDDDyU
yT81CCOelraKkB1XXBbMTRlKSRLb+/Y0jF7+eBkU+16zs8XQ4/tVLheH0PUG0nWe0UYs0JbdaKBQ
y3VcEzp+jEZVxbScGxE/UYk0X/QAJ+WCpbPpF6ARaDgEqvdr3gJj/Yib2Eg+ERpv+T0TAS0bP1St
RccWySlUttjTsuighZV6BfBFQzz3GhcfJMjfe9wp4bSVXd0k62SauW0JmYDW3YCTxTkLt8LIWVe9
7p6IyLIHKJ6pakC7VFw1ZBx4keXkzb0J8MAwCaxBrvrc9OV28mvu/ozBircawxHfHv4Nt/6oHNKn
EBFzr/GmC56510VzVwToBlF/VQF0EZq0yHa6zyYeI99YZFnvfXDMAgCdcqLWPtk0VvuHOmwCxOsR
d/S6SiyuJhsHwDmJhSzixpNVbN2Zg567+xBUAt9rGLTolEmtUivRwJPBwyg6pAVYmtlGBgQONvE8
X1ODru/R9/Lcj67rJeDhYu+bFOZ/nZR3Oim0OSm//3v79f/lL68v4qc2yrcf+VcbxYcGSW8VICRW
/Yvx499tFN//w0YJa82bKtfgV/YB313/tF/pi9GZpbfBJQvYUX5vo+h/mOy/ggAaFsJSoOn/H+1X
dhcusa6zHpc0oF8xu6lRmXZj2Rq6OMRUuOzJVO4Cu3n64Zz8TRP2at91OYw3Uwo4GovwPNP/cUcz
GY0cWbk0wLq28ZSVYlxZne7fCtVr4p1N3tzQ/WGLPB+LQBdasLwUAOjOCLIfj8W1SAFQW+FuNMrg
lpFZfyJYyjrYJE7csUrj4Pz9l7Out5WXPRrtqLmTTVa0p1/tyoescWrDw2MJFyXkxVqX7U0pO9CT
oC1LhwaPCp5ppVnmRkfNa9F1zdNx65bKLLa1gwzK6XsG291QJECIwGgF5UCraAyk/loMibyBnxcA
LYyCrZrlQ4LW7LIIh+IwylnqmqGByzXZfjBatzjgosY+yCJxBmiSnJl2kVcwKwK2lONiz7h0XNdt
I+6ZVU5/wWaanuPMls9eFZ3AiiVr5eVUYFWuk3diZSeCSlwfvozV3ZtNJ75O1lTeTuzjP5h6ghqA
ym7j1IClDLRn7CoLtdPLkDbyhOLR75mQy3pUuAmHCtmN1Rw9oy3PsvJRDlJbvuh5pO1yl4yfSWpq
V4OjxrQ5BDCYfc0s3xpfiBsEbQNxR1MMQK1WVP84hjc6u97PSaah1VwNsfSQN3mjilTzGRmqMzY3
zKvTjVcwIVsqdHTaktky5lrdEsVrJ73qc0q27McUi9RDEOlBvJwdPl9Sv6lSClFJaS3wDhCjBzls
g/ebIR5jkfg1i3PfWSYEPt7qOQJQOucRa3inuiMBnurZHye8IyAtVyZa+plsFjXYkFLnNrGMh3hI
dNgVFC5xHbjrxtDlZ+GV/aYc9HYDjgcK1FC64osUIt7GRfw2SoKwIlKGj1Hgd9XCmBB4rxtOTsy8
8AS2kVmhZWr3FoXxjT6Fc97eYGR7l3hofDRJGuoEHmiPtps4exzo9q5XRbO2xiS70dOoY/jitq+Z
wUB8PUUT+DmtTYIDp6BZ4X18q9t8qQwlz0VOkw9j5hfdQjTlZjagIuz1WRZ9CBoNPGoICwGSApN+
TUBaGxQ5MaaNtTxM3IVXtcdUk7aF84hxt6v76Qsim5C/7P1phQzN49Id1xhc6odQ5eYNA9c7Z6Dc
XiAutrm1eXqwh/UnK7PNdWr0fw3C0zaO1NpTBlDpdVa1QqqsnNdqyEhxDAoT6WbbPtROq6H58x/q
OgAa70yfNFARZ3OCiGeOU4OkcZrWKoArAci2W9IB6TejsO8LJT56FgFAuwRXfG9j7emR5xe4xHkl
049hWw7YL80Xo1+h+JiatF9lkcicNWXTiNYkr93pxlfEXO3zQI9G9qNRreuLUNOi6RmBgg0FdjC7
RkWcCOKZuhH0yZMtUz9qcwAhg9+rJ29s43Vg4LpdOWMMNguKHlg1h+3zImj9otiqHkzCp0GzI3/j
jZkJyc3Hj7VKcm30N01K1WovItG6G3BUU/TQIzz2N1aV9NEZ0VKHmkjIQt1FrhZh3K7cuomPQYgr
JCESQjmfzSruZLrQi1DDDEUejPmcdrgoNjU8ce8LWhcuVNzGrXYgChkr4mNG8rGot0bQZJ81p8oe
8RUmW6kXLMOl8BBV6m3+7IWjJpehZYZk23audXCGvtQXauohvzlajHuBPe9BmSg2jQHXGF0nHWQB
+GxIilNgPJmU8yl+nvm3vdANH2FPqTfXLOhfF0ZRbezMsvZlPnDcjnY9bDj8A/gwikMyYBnDsocR
WtQhfGDNR3xQ2zZbEa/3jM1Fict0qlg7FepDYit94FMjTDUNfdefg+T/apovjwiaw3ThFFpXATlW
4n6w7OovG5vPDR8kAXVr2uWxGgMxrTo3yuO1HFW5Z98W3OZO4r4wjOPzWbgQaXx54l5T0FOWmS/4
bJpb8WeO1oqvlKv5s6W3cAez1J1WaA/Kx0iAo1s0lBEGi0eG6yoO89XlVfe/KvC9KhBHwW/LwJuy
SxrchT8Xgt9+6nsl6MMFJ2WByEWGYMTkmf+uBOE/6fNczGFyRmLUPFL/dyUI5Im8Gp3KCe87w5r/
VIIm/+A3/T4AcMrUf1YJWleTeOToc8l0SVsy0Kdcz04oXVRXJobcO0XokfaQasYDmNPpxMa72pR1
6s/OGE9/bTQvfKKFI/fYB8KDBkXw0EizX3q5Z9ww/S222SV3ADSFYNnOtCcfqvgKkJ+TgBNpg6UR
p8OtwXPyVypN42bAovMMKK5dV8LHExOL8IQeCVVcYXr9StaWXBqRLtW2Fdq0K2vhPnYMdN6JPLmq
HDkDtu0ySbxUjog75z//oe+OUYvBVl9V+0Eawx2kbEJNxi5Ymm07fy8+9+8Lx6uq+HI8mtQWdnEs
Sxhxfj6eqaEcBf5Z7ZUGSBOOwms0KYIegLi9c6Srudh8JAi6DGZnXBhbjqtvNnWuQYK9C6cxrJuV
maZIEkbwm74VJo+9mdvbke7qwz/+ekxYqIZdbiZf168mtATENkoU0I0QQKGV523LAq0jWl91g0OI
+T8/GjGjcCsNAk0Jyfn5ZFIWqaQQaU5vUjnZqZBi2gyuNNRtlwfvbGeMqznYfD5JOp6TeIiomDM6
fj4Yaqw8Fpme7Ot4yK2lFYdIV8iRwLBBNAnSyni47WRn3Kgm63dT7kGHSRr3vRTwX28gBxUOcyxG
nvx6bW1EfO+NorPSfU12O+T1ZkQxGUHQD9yK1+fvT/Cv9xD7G2K6ZmcKMRnXA2NJP99qpZvuK2Oa
7ktfNqtW4wmu4iqLmS8lyEC8Isj8d477d1+SoR0pna7Lhk6f160fnsosSlUSuaTuFqoGw9hzNZXV
ESlUJF36z4417x1hVAfs4Lm8Braon49lJ5oy+hh4VGLU0aqmF4aEVZfj3N6yPvz+fF6tt5djoXri
VPoYsDBO/nyslDJMkxr30DTiwVuVoScOeWL174XJzDPNq/0w8i8G/S6LDLer+fNxOjdvJHLQZB/q
Tg+ZSKGRWODGm2tXy3mMkwStzyDBxS0mWaXhWhdR/I6R6uremb8r3lsWOoMwYPcXzXw/GllC/c1n
6JtoBWCtNkGD0d0KmScAVvPRELjW+M56fjmFV199Bie6eAZwABOp9PNX7yO3L6fQS/Yx7fiPMnXF
AbPMeK5S9sJYT4pm0WozznqOmfSWoaLu3iu3GL4Ybl7Lt6oPxCELi3BHF1IcwiTklynV7n9/J/zd
53S4MKjqqA4AQ15pMTLHChWOTG0H0MN9pXK15bKv84BLxLbY3WFcqTyUXJCnmdqo7KT3DJIWFhO1
fZeV9jFoIegNiW+dA81tvI3bx2W6gtTl9dvff9Zf71paUnMTx6BzRAfq6qPS1W1L5pcwGwOdrU0W
EUpBRdy0698f5+qp545BQsQlI78NvRAClZ8vXaKZnBTQZXsMg0ibk4l2SJGVzjFvbOfx98e6Xs4v
B/M8H7kSEijadVdfavQbp7GJWN4DTQVW6If9Ss+R9EOjzDZQtaIl+Y7j0egG77MmCuBWpdO+c2Jn
m/QvTypCTKYdoIm40DPP86eVLpeVZvJkhDv6CHLceznOjgUqb6vaRyCg7jXL1V+dOMSpmXTwwMcq
JoYN1jccNxcUxhFwZXgIum68a/sAHEJTp5Vc1lidEDFkYjqBHg4PMaDPhym3wq/90OW0KvLpNOWS
3XxQS/fRq3GkmoJWQy91FtwGI+CD02XuoxtX+q6lzUlbxR67lV4l2pPmKWKpGB12C4Zr/a2QxFLm
9M9f2f+HpwZ5NtEqQxF+FT4bwAO7QQE+pa/C3dQYdrNJvZiNp+XNSbBamdk61EzTfiGXw3grOmF9
ABWI528Ie9zvzRDaX/O+tWmJo4eI142fxifMEeJgOywthuyT147AKAZjEaDJUvNplAnKRtplOghd
MuzwYeuxa2+VrVMMFd7QfPE9fCsFgTif/VpJ/4F8O+43nv4o22TlTEypKqnd+yYzxYXedN7nyQ5B
jxBOdvLmn22cko8xOuDb6mT2z3nsuZ+IlBpPvGfy55oG2O3l9Ia4A9dmEev3lYXy8lBOXg6XzYjY
9Zq6iE+kXogOFkecVmvvslp1xngErMYKxRBX+7MogXAsS30w9CVKMRq2ScW5G4nRwFug6zG8kcT+
2DH4J0k70os7KzM9TJw2/w4Cl/jktlW0aiB6vUqdgE9CZeQYbQMmW9OChur/sXdmS24rZ5d9lX4B
nMCUGG4JzizWLKmqbhAlHQkzkEhkYnr6f1H26bAd7fjb975USGIVSSDxDXuvLV7KzPO+RO2IzNty
+Wwbzy2+s/dw9w4S+U8CatiUc9PUapMWzfokkAxohJxqfrTHfn4oFn/Mt6SMFx91gERgZvP6FS66
X++823XYTF16jkBcZChqIl1s19mhgHGabt23I1L7TcgS8ppNCwvFlNZr2WhW6k+4j8DgrA11jskH
uSQlb4DlVjmtaTJwge3sIZefOeKCI5QHrl4QtfOjgmDbHU1OxxCIzgKdcwMA2Jm/XDOrLs9VRKDb
CsJwVj4kWIu8GF2GzhF6A3jnIQWcYnXqCSZzcbIj1V4YMfoYbesCgwr2Bsdr17NhDnNEY52+Zjrc
db6pPvugra44jaokTUX4gA3mUBWrTBDfzAdGp957FHHbSb852N2iN1bFAAwS5QqC3XUTJ8BBxh63
SQhIBc7Ep+p+jYvxochYDpJDs8/z3tsTvtedY26STc7gYVM1U0yyAG+rriKV5FVVb5dRm4074A/S
wn9npudd0ec+qFlDYho9qK9LhMUBaRuD3OJLkELoXAbpXpAzJ7apRCJ1Ox2quLETkhvyTQ5wdRtL
QkKLOH8e8uV7LN1PaaxhV1q4RheUxBt3hQIOReetD+BvEC8k62SZI55qRrofjeef2f85mJmLe1Kc
pm3lB6/jmF46duBvWrrrLveX+ZzXDQewf6uRGMbeB4XnXfU69E8OBmcMuaLarit8fDa3kSR+owyH
mJCnHuvQz96u5G0RUKKySce032CsKM8OHBmH6VsW3hlgx+6mq5EVInl01y8CT8l+nurU7DCdxhft
OD2yE+GzZ2Metq1Cu/6isHx8Ma49vSCVpH7ohpseRY7rciVE2NulTRAycdLRn+QhqNOMRfXEqLfh
h1JFX1F1P0dimp7DaVlg3Bqzuz1/bkNfCRC8kH3zOCA4A+QjerI8LJ9SwK26NFELtUjF+Kmt2mBg
fhoWHEXthPs25YkQZnF4lCWtj+H62zaUeft4tf2DYW4J8kq6zQM2ua+gDwGrT+jg/X4FaJrVHYwl
zTS33IvSbS6WJIe7LVmD22Ye9kFosm+6zKaLByJYF+l0Rkdg6w0kkvgDnjAYDdG6A8gCzkmyhFR+
9nrq9o07RcNxHRsuzJLagRahtiBLqnBHYtNb20Vibzd6fGcmF/3SxEwvxIA67qvbiPDbPBFCcbAF
OhmmeZBTO0M91s79Ua5rfD9bffCk6gF4TNfJxNJ9iGdyio/xjPIA75lRPyWpazsiRZZzj6AubHz7
GqcKFL4fO3e+YC9QZW14MGEdPyFuTzETeqlH81/mhK3kynm1CkaTDirGM19q/DILs255CNdY663R
/zGv9vAUaoupQd8O26jr3S2bnh3BAy0UT+Quhym06n0Q6ZEFdOF/qZahg+8O1YxUkPKUlr175RMs
wIONST+mzmEUggs7bq8B44MkbWL3EQimOIo+9O7ijFWCkqt4Sdk6bZnwdjiz8DjX6xB9Gs1b4qBB
vjZMhZdEugNwWqUiOuRgp+tNO5G/kBHwi7xk9u7ZwnUP7Aso+2OvCzZysMp2t1RW57MNJAqtrsgR
EFXAEKfrs8uM2bHbpqlfn0CxLj817fid9ibzpH1rjlB5xOOAnqDlme7Hk0rabhT3dOzyUDVhSAPg
dOcapx13l5ZXtIk1SzmhHyJYLkePgXOcFHF0bLDJn9jX4y530uhCaEt6LU0bHfxsbL5XbR8Gu0rG
/Tc/E/0eXFT1KxYN2VYylN2JCHBmSWXNTmuQHw0vDdGz82vsjKtbJwDcxk9booXhEBisUyZvY/rI
seF15K3Ysq4xF9KaIWR35Y5vvNhVjfuDnCy5LYxkRCxib9i1YNquYWy676HTjud1Li1UUjwD+9wD
9CqWdIsTSj869jh8R+/Nmf03mGMKLgG0Iz70G+gRCWAL9hEhGOlBtt/O+a/cWvpEFwOuv8zXLW2S
tn715MZdZxgt98UkzBcrS8fvviqi98zE6GtYWlj1drbXSPDYQ+MUNiyoAHxYgb+cXRec7a4Jxm+Y
HIt7G8f+1oqAD2/KHhh3QWBPQhWV3S/uEhJu3jPVAHh1EozMPX4rPRPqUtpXfyrqLRI+nhmdu7DJ
qI0JbiqwjsWcU/bz0YEecXZUI81W+27Hcbas2Uvkle6SsLkxJxEjmEwcpkNcl3XM6TOs1isMYpuM
mY7vjYfCwbOlPksclT8kvREdBva+lrSmXz3q2I8UOwu8bkqcax5KFwGcq+ZjYHvp14Wg8U/LldYv
NzDTXfo7xgQdW+J0vOzMWvGL0xYj9mmhPvBrF5STdpwgJ/lCYUyOfBrYaJv658D7ChyZqKOV45Xo
XS6qBq5Sa7MBtJ5DuC0bRMwriqFo76/WzfGsl4RwtAYpyE3zjjUZxi3ZDBE9Np5pv7txJb5Xtcuq
1KJP3pgc9OASZEcMzu7eBNNPbA3xgV7eT3oSpfYVeuakwsfrDg25ecXobBph9giYsgTAv7UNUy5n
u5ydyyIaaMXO5yp54bwz0cG9JXkTjFcffF3ML33g4kM0UXYt2/GXJW1v068wtYNxdM+Yq22s2ID+
C7XUGGIZD7jzuHA/K3OQubZB5zoxDiKfpw6F0Nk3nb+D6tajd9LDHcuI8q5ywLcEmNI9Cq6EpjrY
6ml+mEgEQ3s1B0eh+jyxG8Jghh4+tWFL6FIKPs4OKBhdl3If6eGnVla3k7d4dicoOvJ/4g+1WM1e
LTKARMjsgICTE7KeJ+NZn0Xg75HK4p2F1d82w7mx+vepWR9MlZ51F3yRKr1y5DIwqgt9CdT6q+yz
r9hXnkPW75JqGo1d/RnbxXRYK4aUoY6/s+wnpwqa5ja2HPGlQ2S6QwL6HVUahZWVccjn7qkOwA6C
7NuXRl7mPGSFnwU/mjGW4ISYarOuoSPIJmO+sTT/gTr1FGCR38OVKSZofEv2zcY4sOLQjqqzr+QI
45uAka7wyELajX3xNo/zcDQ6vxP9FzsazWsf9eikhuIl9LL8GE5xlah+NG+Wq6LdjGv+ONLD3Bmj
LCSF5e02X+yz8IrwLRj89lA0fRBtB4R4p6IPGI8C7aGdCON8PnSTQwkNTMNHlcXOUo/CUvu8mZ+x
ucZ/otNdrDMGCwY6myoeIvvgju7kXXTUDEO56fORlRTyL17P7avyc2HojF+/JAzsxN6RKxrMjFTA
LCO/BIRU1mzXsIVDrKYeOoaeCa17bXRYbAeyJgBVxgxNg2Gi5awI2kHylr5HWZX+GtKAG5CfyoqB
KF0aETeikdq6UUdblHHZm23H8cKc6bbTWDqTvrPqt3YpkMp927nigu4BGgPPuK9Rny5XEN10yQVh
NBqDvn1fWqIYdzpeaDtMyLE0DaWXtM6tO3GKefxZru70UAaLc2c71bp3Mhg4eTWl71ljMeTOkN08
O4PQu0AgzGXeNdrfcdAG4qrz8dbyxppVdS7k8K1vR0qH2grsg3Q8daK256UBLEGG72jQWfhm6x4b
Cv3VFOiPAF/vtlCUf/A45aNQa1I5IyGOMiuTlUf+ySU3LSHAID17uWAoMNDkRyZkRnDb1Pz+eaP0
LYKSAkVIksfOpiLzAeNJ8/b7n8RR4z7bAW1/F5LxHQqxHhGDyM+h0fRgs3KZEkTe9DCtlD0WzSa7
nrUNwM3yYWLuERs716QW3QbFhNCyRpnJcTcVf6ybAnt0UbDXJUsihTQ5gQ9adXsIGjF86wrNGyhK
XpFzZH0aGLw8iqJ23hpj8623FUHIKWaekxLt/FjN1LurlaNWqcx6neWy6ISYJnXyG2bhUtD2Yd+X
XSKWsj9QqtHbG1OHKP+qG4OwWJmKMLzkMDDIelNbxVvsYqIHHm03Dde/vVp3YOXlJ8O/Am1syUQx
Wi8o5Ad346BYZyTTpzpHyr92e11Nk39X99q+FxgbLl25siFbBcOrdK3Ov687q2jxBJR8A97KArxW
hHvneiAyYZyt2++Xy/SX1d4iXy3arKfa3D6T2rBlc/gj39UM72jkY2NImfhEUV1d9tyH7jaKGwgF
uIZLOj38To7vSAIBI8oVoH2sl5t4vL1gXQYvmUsgeJzDF5R1xzw/hDswYyZ/a+xbJGvrqxNycP62
03xaTnDTViCAWq4jL7RbVhULqDsWQeOOgMVV6So+FAPXfW5RXjshc9bt78GTY7npr9XxGSqVXE3e
youWs9V9MkpsyWJp3RH2/uzcxc6UnkeiST/THL3WkubcOlbOLex7BBSKSadkfzjdZ0WqwynuZ8sj
h3W8iVJUnTrPNAe8wxZYDIyuLKuogIk7PCBGde/oW9Q3jdINFKldV2eUSut1BAfxPFVQRn/fsO5Q
AZlYG/kJJZwfjQp4PNd6SU+akSvu4QjqO7EMSWYzkdM9/y9WRYX9I/pugEsmuVPQemj5o7WjOIlZ
5h2GEficrfl2tE652QkXTFKzxEws2hgyHbF7GaqXq8cI/CpJC35XiE4FmRerc6kz1yEFLkjPovb4
zTWdj9iC/ogPticYfrAWJar4dhVMktGckMhlCGn1watGJJ8RV2C4SsLV/g7eQ36yirS6hF0s93Sn
RLrt6E73xuZ8BATaHhAFW4Ah0pSEXjSzN2UJ16BCBp0ANUjPRebedPIeQkErBHMcIhMugG3l408w
eh6xrZMzvw1dMX/Mt8yHzUBBrhilyoykLbBzG1eWqDiGsb2HMmdeC7xCf8rRT38VhKmdR5ETeAkB
Znrwi4ngXhGCV0BtSzpl3KfvZSBEuxmUp9Jt2DHg3tay6Ja/jZ//K3T4X4QOHogAxs7/Xu/67eeg
/8/XQmXFv5iH//4//y52CMM/KGBZ2BHGQsGN5OH/ih0i9w8WwmhiWQk5bL5dRv9/UQfsPwLvlg4b
oRSFPXBDFfwlew3/YIMUoIoNoLG4Meyn/4A6QK7sv8zaIy9AcesLjJvscr3fK5l/2Cpmiz/VbZnl
MJBDc+miVgDmcOVwYSHlb2ufLceGaZzzPDjWZmmymszNuSBj0JmOFUYhMg7BG+6VjtULAB18Jl4d
fy0iXR/y2Mo2XmHi7tLNNKeGDJQKxmYuTjSeodqb0qRrIizCSyEDiFrgURXBdozBnwiSnY4E9Jzb
iGisDXNZhWIrymhaMHNsRqFSPEPlWzxNX8nRBvrnp8PyZdXjTdFfL/titGwar9I8ZVPnUADflFZz
O0x0NlY9JrgM+mex9AXF3erIrbLZEcnOeipSWaL1m8vpqLweUsi0EPozePa3VanxUmIrfYWq5O0X
NeSPbow2fhOj3d/EdVsNO7chbaRwSiYdoQCnmU9L85LlQuxdb4bYM/DXod07F8I0v3RscjYZE5Fr
5C8IHmudWOTtbTP0F6RdF75+qWQZPuL/8p5SZnNEKgTKd/bdYnjHdWSt29gAc4LC5O9cSV8ULH29
5Xeutt6gCTbt4mbjsjDbpLP3DQOMPJLdchf6i3twTP6QReuot+5tJL0NsWIkviBLCXzd6t9pS91I
fi3klYiqZJM2+siYXH/xh6UEK12szs4aQRsAL/aaDR4rwfchzB04naMu7fcCQ9HW8F52Vaq/pi31
N6OQL0u1+Em82O2Hug2knJylXrNE+RbG6y5ztNjWZZY9U6R77RYOQ32NygbydZuD18N1koekW3YB
dIgheKw8K91aeTi+E+7iPi3AHnYiC+a7ZZU/tQtMCPTjGuzSvsge16kcznNcb9iB0tizRrirwUZu
alLKtqa10ifH02+glkjw0WF1ygN0zJdJo219muOs6z9h4Awf9tSbX0yFnKegkRTQWe+9VIT4bi3R
mjsQV32Q6LHhI5tko64MSD8mSDn3FmjynTvZP/22+QCh2Q1JI9r+RP3D1qjw7Ackv86wbdRCAnpG
LOhqGSzMY1oTtprWYCIbY5qj7RtR7tOga+ukbqfpI6fcwpS5sAEBetSTCVmVytmsfMs7EWoCD0Af
YpXtbmpcO7fvZA90LpmdJX0apfs4Ced9HeJ3W5FNj8Jqp0K7kceYBBOKqjDv1QE/oHuwMzf4Rpvx
mqXyp+0aZIplWMudQvdyFPUIWzPHe7tpY6Q7JSkm4Ik5O3gFwGHekN8PfXHBbj+dZocWlYsZcVNi
smFyr0M8rNkhSqGdJ0bJ9wZLvXlWegn5lViPWSZ9HMlGQERdEd80euMWLNrMIzs+LL6XnyqSYfsn
d3Wj5mhSp8HlZ5byUnl2WaE6kW29me1OXAc2qmyUuvyEvsrZ9VKj32XrvHUk4SO+wk9MdXFpMXEe
GU/mB9YiiNkDF3ltuhCLbC/Tvr1FNhM3UL3NwkN7WfbTJSoYdrcaal26OAZnjV9t6KPFExyvaieD
atwEExrJaKx80i6b/lxWHmAn/KSH0b8NjZ0mu06jYB1kynV97WtbnISO1BU9tPV1yra5qQEvgztr
6oHAviLr6HUtr9mX8hIs8xtRAsG2oxpn1ZSuO8G/Yndhd1fatb6gHLJID+yZzdpbYYQXnqpgjDip
VP/kxcp7RfOSJ0FA+Us6DoaoRa7LIbXSLiRBsKre1zI2SNLD6YIGCWO0Gj/YrpSbWyNHKEUYqz2k
LISX63hfr9nyi/iDkb8Nw30uMr9mHyhByKfDDz8N+m2AfK7a5Ey6maLZ5pQypYGulKq7ojYfPFiC
/aTr8diuPZlwddrdXJBymoKEKFX9w2152uxCPxzuaHHi/Zg5Lxmsh6NnNfalsG/pFm1UHuoQd0W+
qiPrCXuDxCbateGthGdyfXRVa5/sJXTwkCHgCSZ/3qGrskmzm9jBdgrFsLTdOxM68YWmoNjNbv2c
Bis86iELD5NkAMDqsLhlFxmM/yHjy0Zy9qKhqbcx48NTD7cW9llW9VuGzY/K6RL0FgwC2bIs11xm
xX1hzxGWdVit5EnEOOQK50wMK2Zd01/mpul39sqGVnRqpq2X066sa8nE2UMqDSXnpNb4O9ZUAu6E
+hOvn9mZavreNIQf287i7IzhceOo/EQfmh3NVHsgg6N7psrPOOO8e69hfBiZUTwRlcGMyRrus6V8
NvZgPU15+YgUPToTVOFyN9b3WfhbVlbFPBqLTNhMz4ZgL1bgfuQRQcITo9EJW8Tli18xyUHMPPnP
vUHBdCZ6eTFMouys27k8ORlZFOz2N9r2FmZmPlEa9i4AIWHv8jSW60tT2LH1Ng3uvADiCLHJw1lz
E0L0WgjLc0U4kb8LWVAtR5SVLyJEnbVdx5VSZqhq/36sHMVlhfmF/LaSKa/NWPbn0jkzvblZ+we3
c618K0u1fvOkmb81LJXPIeygi2GXcegXa2JK3YRklDhLNZ4ZB0wc/TWt6zzm+rjQGO+chhMTkWfw
Sdo8/PXOlGcmqsbbCDdsniM8eufGRv/peWIXhvG0X4iA+hO7p3UY9CQehyXq91PUE8CgdInjAosg
CWYeHxBr2nmf21n21V9SCTgaqRKRXzBnsfXeMllWAGs2GR6bCdnztOHptk4bEh+9i5KmyXcAiCT7
DhcZZ3TbZ9h7MfBsA3+Xs/YaQoPoqSKaahmcltS4aBjNyc4XQEd5ZZ2svg8o/EAYsC2G+fTgCCvQ
SafXvthXgjlcF8Wr2uaeCVD89/b7IEryK+bSLp+iXPXPZcyYEu8+q4QOEOhhKFJ8JBGbYraohFX2
1Yxx02Yfdkt/X/S3GijEFuWpc9eU0S0shy//bfUKfx8M4uDp1PTMK7RZAMVNTHArVh5D5424sa1p
3FgFGdHebDX3/hLA86MC6uukIcTo5Be+/S1Nc+bt0iZmPjNeVO3lAvKJy0XbxBRr/cbhve48PiSy
d5zv/i1vbQkFM22+UdandWWTYMj6Avm/NshIlRFuoqGfy8QPcuJD+iEiXQUEyk6L/CrFJPfx1Oi7
ieHTKcgjlvYtPpYntAOmQjfRMp4muWAX86UhCRh6GjrUJX/OZEh+xNTcX9wlCC+pn5NMWCxjeDfY
lGbbNHOy+IrqxUvYWLzpxhu+AfaExJcJf19bxFm7s7BPCm+HSgAmBO+e9McpGSKpjoUXcg7UbnzF
iLX8dHH0J7ovnE/O0+JcTJazw1AZvI0jETQJRNYw3Vto82Fx2CszRRrr/dJq7xkIq7cTASKKDrHg
DhJqfGC/YXY4GMbLGo7TPXmy0zPCEbUp22lOSoFthKFz/rn0Ezgit+vwxWMSZvnmSCJQYHsnDYI9
pui63xFyHezd0Q7/ZEgy38mhALTVr/JFTk5Itx12JQE/zvAKHrB+yxCb3OwhZUxQDpACwPv22ZZp
vw+5Xi8wxoInBk4TPifWZO5q8wOgK8DY9uVuadE8KIBlOxgphpGwRrlQ1U27nwIpDmVttSespvNG
xvX0CvbF21vk9jGRL5EkKNLoy2a8L5F0XTgkRhDiOTdLOLoULJx8XqWKJLd6yTKtJEjcR+6RVOPS
YwQZuNeVX17wxaa7urF7CihS6vMqYOzIXHfaFb0JfsFSmv4MmKxHiazj+Tq67owAQvnd/ndT+9/+
/3/p/11iSmi6/33/fy1uDhJV/CM37O//6S+fQ/wHCjaAy8RI/m7u/w4bjMUfnO507v+UikbHj5oa
SWgY3Qyotx/+V8cf4IFFAnjT/uKpY2Dwn3T81HD/3PHbKKRd5g2gzCJubvGvikLlBGUPVSI/r9iu
Oclq1KGa/JnUXXA6+eO7TerTvUVMyjN6qvYeIYG16aPGdhLsYOXOgQLyUupqJR3SnasHdEtltQms
lglgqA5zDHZDt5hv4OLJfiuiGQtVlwK22KTVRPhWLvLLWE/dnZ1Bv950bn0nsXE9hp0XHRrMh8Bt
0vDg8+jWlDq0dwOqu8Na5OpUgT25moGN8oqQ30o8Q+7kppki9xLO3fTBjpDOdyblETG6GQ8QaNgD
tV36TMwHzlIeDvPJsMSr1u4zrOroulboHDYklOgd/wDKwK2nqCijH6Z0jrKdEwCFThjE2ie6Jf9Y
Kdf6AW+q/xXKIn7wyjY6dWhOfmYzrixgitJ5LHKKXEoz9ewPPhIRtDJMZ6uSNTHr35+lTQRsKUAd
yBrxGxaqLLhHn5ZdBrlaGOoywq0c2bn3oA7a01L0b2M88xCdgM9WeTR+yaXWL3Gs52bDCa+++ylK
IWVVFdFywkc6EmQofdYW97yJ2lN9o1hsMKmqUy7iKkxc11GfPYl1JnH96VvAmJgPua2/sxmkx18L
TaJAUfxYbVPfFbZ64DEizpXSEnDQul5kygSlFeGwD+docLeK/E8o9otxFd9nVr3BLiFqlE/J8GqN
NezdwasvixMi3emagDc6w1UanNTcwb20jqWw88NMi/vatX7+rdIFR+7USs8FWd11LOxF6WytVGBa
zVm/AM3g2jv1UJauxo/XAbutTUj44ozpPr+JZOvshi6YBibv9eo5rCDjeaJpd41CxYo9lCHHDeNQ
5u1jEYh54/dLeJcpMOBiXVCJqai5Sm2Vd67lOTz7msm3KKmWcAHSLLOvKRHdzK1M5n/v54mmt5Ii
gE9C9lcn7ea4SpSKjC98NJgRMLy1EfETScV4a1m/yRyRS76M20CJe3b+44829KqTrTDbTaVFOToO
ZqEkyOfLuuqABjjW7Ze4K9M3q2E2fU57tyeRgGfVnz1uXRBY9mSex5U98m5cKuddAx5qiQ3tzZNj
2p7dsU1ABY/Lz4qp8ZiMi16eBzzO0dH3KsozMgW6IxQPCrXGm/0Ni5ycDUzqeF/BagAmB1n13QQ9
tGLH56JNQrXWR1IGo48ytEPC7ufFPs2EJLyuY0WWyVKGacNmrqYPkkxV9lHeNp8iy+MvqvC/W/Yk
t4FUHhiyYPkpJCm6XBNO1+7SKG3fsONC1qtVqUO+rFa96xABIHVYKU9RSoJcY42mQcon4rvcnfVW
avXkDKgGSJThfla2AKISKX8X1XJNGmh5m3U0w3b2ZQEOOTa7ddL9ueqc8MyeG6Cnl5cRn4NfHujK
OdGUt4QJchf7MNZ+8eyOljh0hV3NWyvWqb/zQ2W/u1VOdN0NdT66NnVdDBmuPOB1qUkb9/p7gqkM
0dOdp58Rbfh8sGFTfsOL3C+b3kE0xGGW0vxmcxslBFrLjxG4tzr6FpoxwFEkzQl7GR78QVk/OhGy
zBiccnxcaEw4XMiV2HRWGasNYZjj3ory/iOYluknaJbpnbrWuXrU2yRQTEOEkkFgzseF7PUP+RKn
kKZdCW4pn9JT7lpkmDi2fMmqQW6jKp4uKqBaaWo616ANz75c9HZs2/oJnGG9HbMiPZUwrIic9vvD
bDevWSvMYVC06wUmO0pqVagQRefSJoTuBbventc/V2+cm93oMALoPNOgKMhHd1Pjgn6YbYdgzIuP
Vxhcq68mWXzDIVG3xyUkMM9+A44dUDnmynOo0xF5D+VDOqfWxo3L4MEp4VuhslXPlF72M7yJ7JFj
cT5A4F9PYzZ9FX7bPvdxFFGzEhXNPLtMv04qaN9IZo/QR4btdM6XrPoatYHLITVxW0WFbG8SwOYR
o1e/HzJkKIQW+PcxEJSkG1c82EKBsHZ42iVzsxRE48Vm30dhXzKJbZr7Mrb5dYPKYtNf53wwZI9y
q8euv3HUENz1Dr8+BHP3ymKHJBtF9t6LH6ngVBbV9JoZK4LcM6b5T2+1FvIJM9OwxO27u8VeUiKG
pXxZucYRGNT2DwmX7DQtSsDL681+Tvv1A1Xj3CUrYLtj5jAiLxkPbmZHo7Kmn9pVWnAemcJZL65e
Q4hUeZc0U/nY10Zhr3a9h7TDdsAhW6XPKI1PXVC6VzV3WZe0q0/WcWRQ9AG5P9w+z1fV3RaZJXMX
jovwUPaKgMUKne3OdSfxVMdr/meq/eJYzNYEnb+fkUQIWy/nZQ2XJ7fC6BgvcXwaHTN8VWlHoLUj
xiP3Eyzh1nQKWU7IfBu/+EgDuyxM/Fm1QkojZOpp8uwGv3bpMQiE47zLRWEfUZ75KGJQ5K9hPJ8G
HoyEurrTPSPLH3ZXxD+IWXW7jQBl8VaYOmfYm1anobPkofVyi+555Kjh8rslUPo1i74bHZp1Q1k9
pjEliAxDJLzaCd7droge3AXMjc5vh+YU125xWCeIWzulXLd7aZf4rXBbcFljHuXyQm62uZHyIyRK
I/rl9wJv+4vANd4/BmooBoTVcW9t1iBAi9yUTm/fuYEueI7FDpgs0tIxPyc8+PnkO3ddXhQWgDn2
omXv5WhxSaQIk7xtg5RMmelpddyuvGi0o4xMtZW/CemJ4tMNuMXBT90CuxWgjQyQcfA7yxs6ICDX
Q/e3nG8uWRexRzj+zgDviQOn7J2/VZXV/ijHGZG2NuErFjJ57gkS72+J4s0tWzzsB5mEZmySkODx
gAByDsBfPoHkpQ7eQzOZ7153Cyv3b7nlg4AZGxNaw1iufuydejf5BB7w5bib6JZ83la6/+Wtt3UL
TRit+tR70S3OvqiPCkH5EwxQ4uMMczIcDArl6GsUkB/YrC5qA7S1rJO76ZbF/t/u6f8nXprOAvTL
v2+etj/rz+lT/fzH5ulv/+evtSncHx+DOPKnEKvcbcv5F6s9pH0CXirYEvzL1tSL/2Cb6TJk9thn
/nMPBWLIZwNrgwpCjEOD9Z/0UE6M5/2fvYQ2Q2zWpraDS+r/YVQrScFw1rg/LsGSv+lSt7dCBvUv
g2+a+TlUpEzIfnmsuQmnhOM+4ZCIb94buS/HgsoCHZzzluJfQizTwg8E6jX9nPFCEjDFbAqjHjlQ
mX5sI4uj0dQfPk8naEF40NsMfOXi2dlOzYzUNnyIxTFtBH4VPbV386zX+7oUrDUiwvmO3Gypn6Ql
0SiEVlYkp6RgGxgmkB9PMCVMQ3WZe/R+QeMhJp1FeZj45dyNpwJ5Clce8R1MnWeCO/wzhxDFXm+9
FXVjvWZ9yxqyn9sDefYZ0EcJLSMaJM+xgeipeXgaGXEKq+JNprxTJ3effHep9jGj9i02IYuheKvZ
K1W/qAML0pQRg21be9U70ifXvdsTDdyv/HQKhKfAm29JefqqO7Ihjes+FU70Cnrk6qRMovO5fZn6
FR/9BLYGwTbq1ohhIAuhOyL+7vxIvrHDdJPV0TNgjuyDmJVT0MNsrj3viSHrR481FJZo94KGeX2v
6tbeSi/Pt1UkDZsmxB9FwW4wjF9nBjRpCPq0SoP/Ye/MeuNG0qz9VwZzzwKDwXWAuck9U1Jqlyzf
EPLGfQmuQf7676Fc1WOrql1f3TfQja4u2GIqkxl8l3Oes7wEtUK9TX2ttNx7s2dey8wwdh118H3U
BvkTG1v7SdB47GWZY33BKbYDm4eDoet4rpvFN/K5bkzXng+hbZw6e1KvlS2aB1AbbFAS2H9rjCNI
5636Bnr0IfRnMIBOp66nIW4+2Jn/4LZJta80YCQBvfPSDTNvy2NOHAKkjtsm9x/zuTbUypbjI0aJ
6GQXFVUvpEUYSEHYfzZM1ZRrT5nytoPXcy4SaLOb0YpRtFcwELZ5XN5LKNxb2ZQNmqZK3rV5F+xa
6nUG2zEgvmX9kyZDQoSBQZNRaBXsIRdwTEe1EMgQp2qVCgdHnz+41dkSur+IyJoh3IdIukcPZfWF
XbjmR5tffNNCblpTTlvJxuG9rHbCB127knQaF+OEl/ZYpSbwF4elAjoxZ8bMD345/DYF3niFBpMA
36i0s21O9E6DRg0LDc/N787J/4zJ/m5MZnEM/+qkP3/91Ly22U84EOv7X/r9qGccBn+X4E3cpy6h
Yj8c9eItsQMmOrQ0jATeDwIZaCAmbGjfZZTm+W+m8d/HZbb5T452kCI/H+08cRzTEYDleIK4yMPe
eaVRtRqU0/FwKeHpDDHzISo1l/BpmyjA8hKQoz3VwMOWQjx+q8mzpTx3lkK9XUr2vPCp3kte/lWz
lPTWUtzrtzq/W0p+sMdU/5ZsjF2Jrv+DvTQHzVufgM+q3yE0S87W0kZkbx0FbiprW4u4RbbpyHO3
tB7h0oSYg1/Q2+Br7JYWJXjrVpKlcYGmM56W5wXPo6WxMdmePvVmbFgM8qrgLif/466xuid3aYpY
VNAeLY2Sq5z5jv6rudORDHdyaahIotdbsnC7EzYTEtNGma0HlxPAjtm7rpJM5Q99kupXzyvUgTwm
wG/2TKCgUnV7A3k/flZF1iNLr0B3yWiwdkHsiXsPUtodcRnpdjAX7JNhlvqyiUbr0lftI5bCDrCx
sLxmZQ+SZZ+s54ey6yGTCv0p07ppV+RytwfTGJJLxRMVPWzttB/Rk47xClxp+AgUqDjzAIh3RhfP
p6aweajFk4w2oMq8dVpmvr8iKD5ZVDzpwcij6zFL4aSlGitdTJhPC5v8YI7VCJoFZUcJc/scC9Li
gfyP0z372X6XMfBYYxmzrv0GifpE8sEVJ+h4aQMcPYDCka+pLQnvguN67/pWrtdFZmRbVFZEPTYx
K6miZow1U8zvwOcZoEHz8haoqLzvJrt7gbSffyOCxHywhh6nZabL66J1jDNS9h271+4D7xVjBx7D
wQ1rp+KDbBIiQf263JSdZW7HMpv3o+kYW0M2mmlR216Lrq4uU93pdSCHhJA2bpwl9ioIPkuZMiNT
jaD+hoGOxkSzBdzabhnfLjIShr3QhbdTyEq7MKG1+W08r5i6vA7W4F+U/ZDsyQ6sz3YDQ7wvTfhQ
1tyviYyCciuMQG8HI0gviaKyD3lU+wdzcPOvaRmlN2bNczzJovk6c9IarxyQ+s8+g2Ek0FGL8UKN
bq6ROzn9RZm4HudXHJ9wfkMBKMJ0kxq58yERhfmM5B+8d5CxRLbb/iqBhIZ4qlbDbQNs7EXltQWj
OSdhk51x9BAgPbv2wYI1fh3th8FjKmi2HRMfsGiZI7tp1Q9zVnBPlh4DQNWDN+m0swHRjReahFOD
6bJPPSHTNDySM49Id0rbfMVC155RXyndr1i5Fk8cI/XNVObzoWRVumWE5WzRuphXHmzmcd8PNb0R
A6xtE0/quoiK6LqJbWvjKld+zJkVgq0wGv3cQjcFl4bI5Z52UPJgK3NjO6ciPjguhIZ+potbocEf
w/VgUNnsSiLCroktE2KNUikrzgYw9idMW4ogRrcK2V0qFXKSJPW8oZD9kkMI8VcI9/SVhBaLIyNz
kmyTToPxFA1tG0Cec4JwjRFEbySqN8YLKY7TnaZbRAfj1/rWQiv43GB8BSVXs4ZWu9ytWD1cUQP4
OuGDi4peWzu8ARGanWicXMbu2uxb8x5JH1vPR9QG5JZ2y0R/gR7xbT9h71lSgzqUYbre2IOVjfdN
usQK2dgiMBbFbPxG57EgxFp5W7+mCN0Zfd+lXyavrgVRanxEDQ8u2pj/1AF/VwfAU2HP9O87vvPX
8b8Or0XdxsnPbR9JIcvf/KPve1uDfefDLnrY31dmHpE5jkfd8Htijgkj5g+pLOWD6XKToVejjCB1
6l+LMxuBLbQ9P5DS4176h03fe+AHBA5+EFgln1seYcI7KIUNHjximjcfstKJ13ImoNFyo6cf3pT/
Dz7s20WQ9wYOezv+ZylOflDjdtVg1EHggzLILFAPHomZKBu9dZ3ZfwcWeY/DWS5l87Z4DtSkJRft
50tVBScSeIP5gBmLjKt80e5bMlyJqmapFCXdoRCNQUqzYyPOnartr3/TP72dPtm09jJ3oy2HJPuO
+mPl2DNH11IHtACYnL1noA2bX19i+RE/Um/85RIOGTgBlRxo4Xc0k6Yxpt4MhTo4YnxApfeEmqRa
9+DBVuasGE7863b+i09O+u/2qjaXY0tLJK8Lwg56DTfij5+djNBJ6KBtD/Yo1SnKCtLrqwBcTuZw
GOeD/WiHo2IdEmGIWTmySosVbJuZ9SW6igbBUJjg34x4yLGEyI79yGhzjXg2gPPOlraCaRggC7KU
qMdVwdC/oag8WmkhP1npuOc87r6Vts/uq+lM62lqCUE3pqAvNszj5DlWfbCRMfnQ9LH6iTw0VHZu
BGqTzDx6ORtf/oPr5NFzMnlk5hYNkuOocq6drszu3CXvdkAcibOvi879UNLKFQG2CZ/Wl5Ja7Ui2
nY88UK761CCIsii+2V5+VyX2Z3f2bzv2fuvR9otTbeqP0cAyNljkD4bDzyxkOm+yelZ74uGwt6EH
dNp0/NrEAbGOaXxdTwxGkoAUEdtCVEJF5p61phSF8xOerEg+kYcSntI4wbqM04Ip7fBVugZ9eomj
fBJpemZeEz10+H/WvU8ZGQwRxgl2K3oMYZMlebhNTR1fla2z7mMSZLHMInOMEHuB+DTwtPJoioIj
j5xe7xKMgg/Kw74T056sLbSfl7WZpuZFWYtQ7ErdNO6jXXrGc5wNzTU0e36Or7X1UIlsuACj2YM5
cqigmwbJqKXYioeFaq4ITHYAo6gMQymzbR53TOAr1IrpWAo2e9gmCZwzn+yK/BriAvTaiBOrf+kT
U1FvmfjwjNmLHpKlXy+TBfDgIuWPgU8wGE1EcJyNJrxEAdXc1nPZ3BRNexkGk3wBgUAIRC+zg8Jp
dMWwwj0UCGvwx7rJru9KvS8L+RJnjYMwLekjmDUSP3SbBLcmG+e9gUv2itzY6qbPpw2MZLgimpqL
rWNu7hB7q5fKJWWLSL2a6l47EFADu7+Ao5CRARYTB8xKOQxlRbnXeWIViOhj2qPK5K8962EZWIRq
o+vxFtLLY4plckUQvbG3i3K4wDWGhy0e2tXQM9s2wlHsLcnMn4VWjkavs49O3aqLqQLUDPXEqa6R
+kK96FE1+yukT+atDNX0iuUSogxfmsshSo2LLnKtvdTkuLvEisKPKYhNyULlbZSpuBrmKvKesFOR
d2vpcBfW8XTSho9DM+tKEnmhVQOjGy804kMG3v24dgMjxg4F77fImDqDBaZpCns6AycLVtLNx9Ns
xQyymNzvwtQlw6uqUvqGpNygmX1FsvAcCBQYEWlpd0TzmgdrkB9Bb18aiJXvM6iRaJl4p2UyM0uq
+vUQIryabaPbhOOQbZQvEPrO6ZWBA/k2ZfO+KdX8JYl8xKyxCX7CD6PhCBuk3wrDvNVTvwMpHB3Q
YRMAzBoZjzA/NkLG+9gIw2ML047GplZNteuZC71iRssYGtVwnfVO1ZF8cBzU5MQFNBg0vaG96Y1a
smsw/WNSjHJviphWY6m3CX/jE3Lsej6HedYxicRwgXrVzy85kOaj0AG0GMt5aSrW1nhsjNXIQnid
1yE6BjO+jPxyH/MAQINiIm6JIqxaeSHKM2ycYz5Yj2ACSQ4PBftxv8Fw7JO6hCNkE2aGfxWF2dcQ
fQKrsnYL1ch+7U27/pT2criuadeDlYPoecOR4EL4oc2AiZ4f3cJqDqwdsk01zuOHik6Zsd0Sl2AG
aOvI6eYLtDJKnX4LaFOexajMB0QENkK01N1gmxFrQKEpqngcbggJYhyz+GH5nrj6C0ZelmcKDXtL
IHfWeOmTEzssRYOkymnW8AYIWyMrR/mzzX2VY4L3MF8yU2XEW88AqVrfOAgqm7VS3mdPSLaVQ8Dn
rkInPfqp7z3krRb70kkKlD028uZhSg5EAlmLCCYGr1QtTp4e/gYr92s3EdkhNqLoo+9sC8Z6+3yK
F4lbrB8FJ9fGIkWPznvKH6QfibVjChTrRpdZ97Zyt+5YFM/dlNnY49z47Dbu/IwOGbNyMiYreF3N
uRd1t0Mjx53Hzv+AIKhZwYEzNjw8v+G1waKqmmwH6bE98nwc8VFIzgylK8+96EQxWTkZgm3/va74
T5H/t0W+WPIc/1UVbV671//6+rYPOr8WX//3v5ci/wUy3I9rHQtLGX/pj/pe/MbT0PIpkMQSgrCM
9P6o8YPfPORvgGcRkjvf54D/V+ObVKowPvGq/WyHs83f4FQyHRTsir7PCP+BHY6r/1wxOmAPPQcB
NrGaUP3eVYxicNVgIks/Dr6RJeusjJxriQLh/GYf/uGt+YuC8U/VKdeixYTpx2SEXdK7fmJoCfnj
EC6PnhwRB0ESOHPABE8T78ClUnPwNwX38vN+qoYdF5q9ZSHEwTZIBtLP5WljUOXhfuB6hUAdjO6V
kykFSHbutC2PBEUC65HaFw+jm1gPv/5l/1QbO0R0EEKBqoId7Z84sdDIW121nPtscrovRV60Lp6r
wb8kU17f6XAOyDYy/+5X/ou3GE0/KA6XHRb9zrsWpyP9txl9rzg2BRxj5O3dlwFpDhi+BDhNZE7/
+II0omg1uYkwZxIV9q6pIatMM5ZoAo7FkNh2wtk2U9wF28KXBlT/wX359dsq/vS+IjlfehvaX95c
uDg/f6io9c05CvVw6CsN5KSH1Wxdz7PCBe6PmMzARSXi7CMkP8LBF3dqcMonYvS8cR0TfVeuIq/1
7rrJwiXeDE4/rOo6bkHLB/oD7oS/uQswlb6/CaHJCovvPp0S8Z3vh+tlEfgR3oX+4ADtsB+MwnJC
aI0502zMdWwMVSRGsGTxhOOq7RwyUspoujOCvDlYwArdU9L68lhMNdFasm0gvIB1dYHyW9VFMfvi
DNee/PnBtIg5egscKyyT9wG+EMlyvdUCxwfUTewYjDN/x0xQnI3GM5pt75kg6Y1J34mO6XVIVmIO
CHaonE8+xLYJod6sB2LNFNla5MQBxuaUcDcJbq7gkJqD8ZzmwBrvVGM13HLgrCQ8npYo1goCXCzE
V+5SzDJAMxiXgyAAP3Cry2m8LM2YNDwUjiMPZNsmUG05CMiE5Huqh1bfYD/RN0EG8meNkKd+6VOr
fpkbUx7dAekDRdNQv/iFHG6I16PNCtTM8aXNdJnPNc6r35j6Dp06429c9fWLZHJ5ZyhDPDgd1nUi
5Mh9IymEumwK9ItbdcRcubbA+wv0T9/1dsNvyhCCvjNvuSATwvDJSjOSlnp/dF7znvcRJynvG+7U
hz7gQ5vhszyxjnVeXWYnd6StBFslRwfjLGALHwYQ4Werdgj13fd7FYgncWcxFQvj2gyvU55WNLO2
wy9rTUPd7ttxIAjOgJAZnwIP4uIxU4bCC+NSA2K0sK34OR7G4MmvOU83XdaT8lVMNvcJEhX7tcLz
8BJHNV9+VQSXwdQExFgV+ENsArFSrETYr2xalouG/QGTybrSN30/ETw1uBZvKd/u+kVrogjX35Pd
hn6JLw5iIY99nJI7MNbL7zraeEz9qGoOb++/rTtkQr1vb+PM8zbUq2xzVBmY57c/04XoNAuC0jk3
5vhg8Lvexh7LzzEKgl2vWm7gePl6uBA16gOEmTC8ELQP9QI36zeZ0n5wB1FVgE/vgNb2MIR8Mz13
9Hy1s/KLzNL3tVuaQJjCCoLojlzFCcKbwV+ABiTM4yg6UE609AbJgC3ZicZ+MgFTblRkTOFdXZdO
Dk6JEn5Vxn0XXlpzML0wwRq/DJOhBpRs7ZzcjJNhjc8tbz/9TVkO+xbIE8FyZlYRJzEY4DqzZGU4
g8P73D7UAJK2etEOh2Uw7XDzAR5T+sgExd7VfirPUNboXYbxQIeqacUq/eAWeGLBgiR87MZEFh/q
iZbZ+Qeg6mpD8+WuukmLaxwj3d0YK5rELhycjx3ONJv7qx3lOsJRczF42P9sv4oYaphWRU9Y4Slp
ekxZLccmEUneCde4e67NEs95j1fvkgl9wQeujbZazWmU7Mt67r4ENNsjqJ4+Sjbc3MHJZmtWbgJ7
aAP6MC98kmXblRth2I9dHBl4jNRrKbz0nNLt2weFVm3gD0puOmCz3FJT5rRfwH3wrzmX9R2POe5l
Kyzj5OAaIU/pJf+INNv6xRFd8FRMMX2ZFy1eKUKU9N2s4/BpySE517aoX6Y204R6ZuMr9JnoKXVc
DszKyh5Sw0yfcb7xxQKFL6Fjt8k+8QgJ8evAJP00YLPPY7RiNlRs5yQtN6AA7GgnJGxcYByzGTzP
bS0+Fo1hzMc5tnv/KIuGYKS1qOn9ZCMQibmWlJ/maHDcbVNmpzyow8vRqKObpk3jY+QHD3DC1FPe
Na9ToZfTPxFP9Fr9Ju15n2jHOOedWiQnlI7Wx94I6aMRuJpXdTB693TwmbdJhvHosMEdNnJUYs33
0ruww8XCSfxNea17S/e72baeCgxYED8wea0GqDsblJAKlWpuOwPDqJAEa8+wP+VC8ufhSHbNoxMH
Flm70PUx0BJHXO1mv2J7gdq9t9dZmxmXLC173roirFdz50QfcIKipwboeO3F0tyk/ErsWWsSayYr
bF8As1KL1J3jX0ryPRdyER+rCgjHA+hpc1jYedSwGm6nI+l9/tnQE4+FgsHhxshdogXzNLh0Qofj
LXNnbhrVc6e0xD9uIm0st1JP2NUGrJQ4Swg3yQr2GWd6iqjyabB4NW4XB5eYr6WEoBtwDhY9VJ6V
x+RrlcAFJF0zK7kFtYyCSxfASLGJLBKv82ZoDlM8cA4OTtS2e3b7/iVTHmOd+hVXTnmYYHbwfKLG
JJd3nZGW1Jt4jlcNF5bhbL/OE1Fa67cjEPYxeYeeES23/mjmMTvt0i9XfQ1BaOx7k37YwUncdEb7
pZQZTw4hWazzZFXOq5fzfAS8vwQEwkci/k9VMLDyzvGoGCZalP33lyVKh0RUFadUEoQO8fjykK9e
qLxpDkzW9E03UPuCkgy2Ys6By1pYLqCj98AwWFi5ESIcswmql9FSdXxtOQOvOilqflcyh7hk2TA8
vbMV2es8LVwmLwzTCTnKciYUJjbodaRt99RnbapAJTnTfWhUzosLNwhIJjiNy7FusLxleZ+2PDJE
9DB6M8O/ijzES3uWPgmbvifu88owT3UfG986Egn2cT+SL8xrpsp5y0y1NBLcFTwwnuQq6MSDbBSP
p6jRDK8azyayNNLJ8o4qqEir3GGXTdSZTyo988CuBKrJJ5qmko+pL5bk15aP0RCKrqHDL9dgIG8B
SDFrcELzSRgTCg/eJ0rLe1cmRn+PjyZ363UyxlHs3zEwCYjiWTQEWH39SE0kAmeJEYnH1KdahiU+
diTiCsqNHJf+NjHtEF4wiKxNB4V2NbrwBwojoAbxrNg8EdQWY1ruUGQZ8bTlvwwGAZme8nSuGaLG
6g6WK1SAITaIggqSk9Ex7B3amEfPBCKAoZ/AXEJoVt6PbzMTF+EZ4FOEehf21IZrVcjbyOdIl/Dv
dsKMSPWeBaALtpvHakCgQCoVqCWbI4Y5LUakdAAyKjIqks4tsm9GYjtQPaoQE0yFFrlTQ4Vmiihn
ToVvJR4iI5+uA22PR+5rCoNemddBV5vXToEUe2Bz7rZTcWDmorbUxuG9dnt02zxEN6nCDKht+9o2
SdYkNKu85dPmuVzq/MSTr2Aomhkrgqi7tV+42yjIr/rMRjXBW3Vtkkr1WBtuzwjNkudqKJbQ7cik
gNRqn4MyIWL7Rhbijsqv3OILML+xVHZOUg4Yg0iDC1IUzaU32qF/MNL5q6NcPhC75yu8Y7tFhDWQ
sryi0DaGhUlL4sFqQhrACRIv81eeV5yGZH3jsbaMoysnVV9h1+YmLWJOm8RtuCNn0BeQrxEgtDdT
NqYwEii7vw90Puv/ib5Wf9GKL13ST60x+SU0HA6cHcEI4n3bD505DXji1YeaXTZF/6DJGG2WwvfX
7dqfuh+fHRGDCryFyIxo3H7u1oIwxipcdfUhRy+NsQYmz4Nql7BtW4vqAhYGrcvbcfjr6/6p9ee6
qKgcOETQ2+gUf74uLXku00rXB7LZ3NfOKJoDKFiyn0cv5vyqinK6c13M21B3lyr311f/06KRq4N+
tKF1gi16k2r9uBfDnsH0RLjVYXRCGpDZb6wHlDLVRfoWrY10hTPfrCF+yKXyJkKHw/3tJfxnYvd3
EzvGEQw9/v3EbnGxLv+p6+Snod33v/f70I58VpR4AnGUhHnPqpYf+YeXVfzmvi3dLUZpv0/rJP/4
h3XV/I0xH1wMTCyB5XqO/0+0eeRqvPuishYnlIYsaVfKgEE2L+THWynxeGJmELmPnFaA/SJok4bV
8oSDU+dvnA70YaccvH6W6GjnhGK8vBoqq7wEdA4cCmiAWlVRa0UYz100Q4GYYLJloaVvMKRlG7Ce
NNZ11uBtb9Okny/CxJv6bQkDfovfaL4KPJD6vEpOpQmUa3Ye4nL46qX+8u1JUCyTgA6MDsWXe6cM
zGNNCuPeH0d9M3u8XtTE096D8naqnCXalJCV8pKXCcsNPl/9KgOgEr4ZZJuyN+RxgmAD0ym2jZJj
43uUoAjn3jj5bxmDE1h578sQyQhSSuAZ1pM5hFGyLfqIQHACpw3nJTZJhId2OAZdfFF1MsOPOxaq
Hm+U5cHfpGkYI7ajRuzvqmwS0R2xAe4OMmCBHiqJCtPHvjl0Jpglpl5HzDz8yUiQqvJBN1kNrVIR
vRgxMnVW6OGpb0OxpDOK0adgWYvMFRGVcuGGzAhXqow+FZADrzG5VcSgzTkmHY/TfyUQWHyYe90Z
21KMGt2agkhOrl/H/1tV5tB8dlI1nD0/xdqZmZE85K4Ut3NiVZsxDIcPDb40P8j3RVOQRtD6OSqf
Xd0MMC6G3FUXTTHuFNUZZOrM4oapPXC77DWWPTkkJAg6j7g4sw/mEtRF+CtCD4dmE6eX83XZ3Nz5
LRmfCjPuBso0uQOlSFgIB/IldZbtahxXEEqYcxK32dEE5gdLiPwuztPsdtAdcixKXA80oNobYnRP
gKbwS04PHqOqBshr0H5yKogsRRZ7Gy1lcswiF3vc2BUX8PbbbUtGwjpmWf1YDTAyGeHEe07N4LML
W4aCP2zSm8Fw1Ws08BRawwA1z8Hkz2j9U2GcSkZoGCjN0rxt2nrajwyan6SV0wXW1ovrRhBrLTv7
nFAbIQ7lS4WYwd7xDLaPKBrgFynNbEuOX8MQyPoMe2UbELE1keIeda/NTOzBTGwv6CAbP+x4Mdix
c51nbb6TwwwjjF1NdWgiOzuC1XCv4AqJF2oX/yxw3aGoGWFZpll+hHyBldmu2oe2r6JrxkbVIZOF
JLdj0ufcRzxXRLVzy7hSIEao0w+qjNMXPtF8r3UvL3pQV4e+LOtzNtv55zrqsDyFTeQBdpbzDcLx
4bLolpFjUothFVJU301pV7ChMiTHitTJlT8hgSA2wE1X45KkkesGm2HtJ8kJj7a87v2+vRwamTzr
1gRiIulcrupsSADbZuqhz/rxPmHVfZKw9beGToKXyp7Sp2Zwu4vOQRyy1fS2J3P2ZhJFiri4cUwC
jOpZk/A3m9GGCZ6/a5jafnOGRu1tz52edWqRzROQLpChQ+6c8Ip6udyEPRvNMaB+h+CC/rCGhG1O
MI1wZGR2/4U0XvaoWZkfzEjjOnDqaiMYIu3J8/R2VNSa8BFXfapDpJUIhpNdbkNrcUt7vE0rR53j
zJ9o3npUIdM4fSAjcf7ME3245Q0Jr1nzw3b2JgHNfSw2fE+6TVXo9DDmmGlpJaHkMbfJHuuEDoyP
nW+LAdYy8LL6i4Qms599/CLE25hyy8ITC2/RdDceNF8LE8HkrlOkmDC1HOsbq3GQBKYb9tzKU7UJ
LPFAyO1wFYfFTT10wdnChP6BxIN8PzuB2mlJEboyp8S8IqzWvArgs54NUjRuJz0wNsEtEVxWlcj3
Qa6vc9WzqBR8UU897u7NbAf0udDc9THJRHSqK2Ygke8uGGZZXvWqA3wgOWrwKF8YjHFPlrLFvTsV
IGHMzgBMo9zpc5yOsLdGw6dF6OGwHEipU58y10PrmAK91lkApK6yEDyAx85bh0aVUvtBNGl7F3md
d7YYawF7V3NOo5Wpx7aE9K0db4G31sZrXfUmTzQx3uUJEQUrvj3eJXS46QupLSkO9kg5h7J0xpMR
FcM+bMVwHrqGuJ3cKnd+otTT6DjtjV6A/QTXzHuZ6PiWJ1vNoA+6v9+V3rcpyYjidTumakEQfRkJ
/N3ayRwg2Kh3I2qgi0m3zsZbQgSMaskTCJZoAV9kjLfNNh9eybYU+XqAl52jQDDAiMe2egqXqIIK
RurRf8svcJYog9IWmG2DQT37Uem6W5tZ3ScZRf6+VAQh9EskwrCEI+SamISYvAQgrxDxJ4vn2wp+
RH7ubDO4BiHUXhHq3G17v61OqiIlOeyYaafIfs9j7kEMGsr+GXMAI4W36IYWVBp4djxdt1jX/ct5
SXkwZZ/3eP4THtfBEgORj53xEMeO+6LYw+/1W15E9ZYdwaFd4zdfIiU6k3AJL0OElZhhybE0kLvr
58DD0yWQwgNUvdwTS04FYxq1LgTOW7bY/mu2BFqYiXy1+7a6MjBX3/tL7oUAI3Y5doHNMThZOMFn
YN9hebV8gCeVS7GHjYTDv0w2QUquRg+k4xghy0BwXtIzMch49HySOOh/851SlbM33oI64JFufcTs
ZBsgyDMqWR+n2WxvPehtn/GLEfeBdJzY3nEI7gUa7R2kI+Lcl4QQ5y0spDBq+wZ5DJ20NWjSRJZc
EeKWKlg78tJ/Cx1BkGReKVOwBXH1KegsfysSQ2GoSAgsMSayS2D+eAfPSOt1uySbwMJqb+o5r28I
VEY1GFvWQUunXM8Oo7PxLSAlFI33TC1gYc5CcrHqEVl+8wujfymWfJUwqz8QI0N0XBrcSou5I7+f
2VF3jH57sN5iWtIujU+MYGhI32JcPHuhZHmw0j8ndQN+EiP9eLIIf4EBMV5MyN24NUnvKlIyYkJq
UxBGPKzxeRMhM/roNDbyLVpGcwifZdSrTasaMkea4noYlzCacMml4XlX7oYlqybvjGlnJMI7MJFm
cihgnbNbJd5mibRbGymWMUX6TU9EIQmxWWAxNGlIOEe5J9bc2fnN+Jae09hLkg5bLcpX4I1bPAfj
nduAJxoZzR5dcyqvu0yNfE8kjHAQ2N4XCt8YDEpm7TOTY8WnYWYFRaWKsXZJ+RmgKj0yy88fWbUQ
90Bihb12QqWu66wLLubMpVqJnPBoejVkBkDL0lxlYEDYRw7hMemHZt7gLUlPaRcEELwGkfSUmHAn
irecIvl7alHWTfgXVlL5l4zuIbp0yHQchjq3rtHKK9tupjMxYmITZAnEqkgRj1SO80IPjT7Mrn+R
2u5DtIQp9aQqlYkj+C3tU5F54mPCdhKgbM6uIXSxG3iF+0EsEU2TQc79MMZyo5YAp1rOr0jwP4HC
v/Vhj7PmGVxgIsQ+tYrg+mqJgjKlwfSXdCi9xETBZi+2wEsf+Vjkrl/CpIKWEbbMKW6MPLlmeCIB
UNovYgmhwkrdIx8jmCpbIqrqJawqRfWHVmliSCaZlFVAD07REm9V9v4uXgKv4HFDbmCIjQePNCxf
s/Ezl4gsgYQari2xWWFGgBZjww5gSQH6ABI2k3v5wnZG75nw1ms2sftgCePSSywXuyGiYrn9XhlD
ba0lvKtATneojXA6OVhPrmKG2xvwCfaaBp7HHELvI2EZ/o4VxLyuWROuJ7tHlVWhDi2X5LAA3s21
Y/LLpcSKwWor6BPqplu7Nb6hH7rWv5jgvJ9wMF62kG3Yvk0wJE7id5OVOLQnZu9+ckwhaC0eVi88
NSiM4RCCDrq3zVJ9rqmlSh7ZzM5+ffH3qpHl4oyN0Jf75IuK4N3F56RsXGCzCbK0qvk8p015WSd5
fO1nQXb360u9n1RxKSlITRJL98vQ6t2lEpWkro4LLlVjM9ryHZlIMpqi6uuvr7Pgpn4aiS0Xsj0s
2AJJs3Dfq92zamJrmnnRkZSfaRfDUDm6mDS2eZl0N4iusuByCGIz4UMvXmsvoqMe5yi+NsJ4aa7D
mFf365f054/YQ7aCdABcNT3tezFHb3Z+3NFlHLE5zVdm0Ux7mY500HYesOs1o7j5rPuBz1lAmX+7
9n/mR38zP2LeswwL//386C8B6N//0h+KL+c3NF38q0Xt71tI8v81PPLlb64HnHWJkEbdhSbp/2ZI
wW82GjDcRUxJXUuYDBX/mCm5v/HT0C95KIksy3LdfzJTQj/27k5Hqu9Jz+NH8iqwdrwfjuJBRlwd
iYPv48lCgVH56wawGxCNSV0mI91IGX6cSvjksLSi+NHsaZKZ7lYXSRzxSK9cZivNQGKgF4oQcrLj
34CPqS9wXi44q6nEVGH7R3Ix8InDFEOUo17xM4IB3ADHiR4ZAZdP1qI6qYuRAfRgGc0XJyxRWy6T
cLL/nFfgHmxotdU6r7J2+UMWgqCnzq2Mr5n2GFugmdZfA4J1aSgTqGPnuPK2DXAaP9LpBR1G7e/d
ISwfaOijJeXB6O1z3zGf2FgxWZDEvtTdamaatWXxDq6Zb/mqxQBubzxL6rNodL75f+ydyZLkRpqk
X2VeACUAzLBdHb7GlrFnRl4guZDYAYMZ9qfvD55SU0WypTgtc+1LCcnKjHCHww1m+qt+Cu8yBPhL
VeCt6ceQy9KyD3PmKb0rlDPELLaEBm1XtBCc4JwcyTSCOzLld1mvzW06oe574Sr3npblFw42zcFz
Erm3AD7EVSKmd9ctlucaVmt6kYYJAWkUBVdltQOowZm8cM62PnrDw2igzewtsw3hfCpSOC9Cfw7e
lcnBRgY+E5/Dym6G5ooiwV6URCkeG9y2vfupy8XaHS2C6q+6C3H3KkmAEdO1+pCpDEkNOs4r9t3t
KpfONgRFrHiNSsRWThaT80o6hjFqpTx+fC+unRugJx+MEGiRQW8UUxbCePUh9EYk7zCDCBVbumP0
NoGtuQVHyyDx+o8VpHie1wr/K+Pbhj+3ZDV/B6h0SaKgmfG+QFCr4ZHXyXshQ/R5b2A014+SxY/Z
IhO/dPbwvLQlGiQ+vujdGZh1kWQkPMKtiSEHciFvo+ZgeZowoK9AgSJxwQbkfVNz1RmasbZjKflV
ylyahd+/1EwkCKMwJyzkyhsCI8DPAbgGL6Zk1HlDnRIvYHK6OT0EacHVvXqLKny9yY5OtrLeewgo
xT6cg0ruw6D13YcE8F9yNH1ip5dejUwe07bofwLlxRNRrvw7yGB+LHYXZIKqKJgBtRb7V6Qna+ts
kWHDj5/97c2Haw9Db3VLrqCeNjV1pRjwIjldXOY5Y269bv4IH3RSLC3Fm0hAsT+yf/KZbPIb/WCA
q4teJi5T5XBv/pp/UMe6EaFKTEqQRoC4ycnlNKy1I7/Zy2JCvCtMKnybmUXnsnXcdd6sIc8WnnwC
vBcdStFl7SUXuTYUIA6M1zs35+engoKb01KH4R3Nif5n2ReL9X59lUhaQ4rEK+FLkJfixXrK5y6z
cNg+RJpuAYgWBkuZ8Sc+Z8S4bn3pp7Itj221faSuvV2fsFhs89AvlC5EvmlvF93y79Gy2ZvCKGVi
Tp9YfoLOxg0REaU8BRRAcMSBznSWte3QnMD0+vd13WwFhW9t95TjMshLPSusT+0wTlgbnXrGqqXK
GdZJ2U/7PnLXs1n96dmemPmPxcI4hzuNcTlA4pD7tKH0M5IRyOoQpKryIJF5LsahnXExhg20SYuY
RoXgwbeD5PZqUeDD9DOoEoHzXGRLz5Qa0fKj5yickNHG0oTUI07FFNbHFaJmbI+p9zTkvflRWALY
M6Pp6J1Z5vwS+haoIVdzY7t60rwZLsCdb0uLd1eXHIvX1mtM3E8aLjZtmFD4uGQj6TgShufJiYIf
HUUMAnGtDcWBJBdTO9eUyKJpIS/gBLm+y2a50UHACjIAFeEX1tOniUaggxzZIR2sXkwEfRISXrWW
6oLGKE4c8rIs5pyRPjWOap6rsUWiHUvMb7ugzFyQf2twtCa9/CaDWtwk2CfOxRg6PyuUn/cwHebg
iKmquOugMP4mYBG+Dp63XFQNeGopqiRuc+tNF5Z+z1xJ0XNX9u2ugtB/WhxCXXTuVTg+cWlBkm2O
dlgvNDra628bSoBvwFSZW7J6AfGvIlhAm68JB4myMLf9lNCvSQDPuQyrLu/Ru7y9N02bywyOGUwb
aj7uvLR70D7AbYY7mTxwfBgB8S/dctP0c/hQTdazU3MuOTA7FAxjwtE4d9WV5b9KsP4wtE+A4+bj
Om7I/w3+P201AOVWCEA1M6sJFQHNtS3AaaC4pRMxqP7aJkBeXtwpLCzuW4IP5X3KKv1STfIx88bu
GcAV29bUOM+J4wQvDZzfHU7GPvzUkQI9wwxWB/aV9pfUnWZ8ROHrimngM/hRF8oKJPaTNzXtFmmB
43kegfHwxZ/OsyK3Nyj30RisnzREZLgLttIFGtwp/k2I/z2ZDKjl7FI2WG1FDUDK9Azcrc/UoZqQ
5/dZkk3UMs51Ra5ja3uwr80PlHuQ9LAcCqRH0bUc/uz+1QVk8JG7kU0r71YiMWx1ErVtqcvo4zuL
J1F8xRqhbidKKh84yH+ddNjdK7NyQGS0ovw4aJL+zpAH2o9M8l6WyJLoeIXzVDp+//soZ/11ufZf
zNcuDIbz9GL0egXqAmcnJvXzBb508pRlTrKHz4eUD1XibuwdnEWE4MfA1zeDEdYn0m4kgq69HEtQ
/1b103zXcTg9JN7iPhV5P36EOW0caU0cLFKRh2trSoNdeW3/sL1APQRA0e5t+JcNfQi29SRpUdkH
nD4PXK6AlCKakqJT6ms+QOFHqHmjaBnHiK3fex6Jh2yrJTH0kzhueikwLt5Ziye/oPEzoQjKhZpb
xFEa8rIMc7Jk/IAJ8X4I9Dkcpn5XBmhUme0MrJqtmvEnZT1jRnzvsZtJUe1T5Q49Dz/rgcZRSjPo
W6kx0J3dyvmcFDLYpZWPi8RtJZOgvtxjlKn2jhq5D1yF7Wv2I54UUbLSndf5O6jgNL5stKx557pK
PCE4+Y8UrPYvrZYDD/oGWwkuup5O6vlo4Ry9J6Xh7dSQvvl259w22sr3eNkUNNDFgzBS1y950YJL
K7aiGgrT8v3sVgWahz1bu6H3PVByJsse61mLYymovLE15TeLEfZnSh9YoPy0vWcFGoH3MWLe9zWa
Wm9ToUPjLf/qSnULQaV7zjwQ2PGyFe/QM0YHT7bV8QyyGJ6Yjdh7nfgXxMnwri3T5Q2BmCofrx7e
syH7UiR1EnueE7KhIP33NlJ0i6V6BojUGXHjKzqCZjpJdjJCjfIH/Fa7XheTT92nDayEOnsfPvnW
ODRey4fU1kMkr5VEeLUxzAV1dcJiFr4rLJ27Uc36JSna4IgLJikOPA6nc1gQICWoW5KII8s1a1rd
ks0UpouM4cCSmlumOpJy2I2XP28M7sl1wXHzd2aaljdId8B68xPssv97eGV4X3He2Ub2hhbYnSMd
Qfu+cr/RL3bUSnZE9TYsOOZkHzgErHDKSqkXY+R0PynH3ScLXUGkP0eKuOGMQzoZH1bszeKN51t5
3zeVADpWg2B/LHp0ZVPCcx4wVvrPVcSEK/YsgKFjT48PAH35vUQISI+R30C3GG32ggxty08pD9l0
rOY70lbmsAyANGkwCpMnwzbg3q1IEiA/iPRLUANZ3q+C9FoiI5p4nfZ5TWjU3NVpduzgv1CL43kP
TOk6OKVdZ4Eh84Yb0Vb97cygnulJPj86Xm9es6m+6abuVoXrvO8iFwaGaekFZrU8jX2nb5zRS046
Dd/ZqE3HgM6JMdDyqRjR9DC/lmV5LGaqqm7gkkzOMY/WlQYKqVURt1XTFriX/PV5ELb6Ppc1SQOW
vIroQ8P0TzQUtzTYE+9KikPrHwu1o49I/+sniwKR/JCq3BuYhKhXNSxNSTdNPshkc6axuF3ARuMu
FMEzs6TPSlRzdttUXZDcicb+1k+RoreYjVweci9cyimnSWAtFnLBZZEFz7goPPtzXvNPetrpskke
W2W6I5bGHS6hGH/jZ+y1bSyFDtPgMXVV98jT79LXPEGn87+d5P8bTe0vZgtbeODGHdyRmD+w7/zR
bJFG07C4uAjOgUb9mTYHqJdn7uu6BOZnpJ389J9/n/cXHc2WiFuei4ZnY+r/s7sDKtJCisi056bW
0V2fsXU3LMzfSquvN9TY8COrbCkf0jEcxIV4tUiWGC9yVt8D08bOZPHFPvhdI/WnWo/OQ235K8Bq
18HtmhHDgR/GBlCuzTbNrjcDbWqLiAO97NcXF1c1pQNzSSkChTwfvSq8b603Tv0L3BnPHNee0ZqJ
GUMJ+ZUgrcLmEM4c2NIE23QuUs4iJSvGa42V7IMKMvOTW6b5nVgEzLQoZUffX638VM+pDxtD6UxO
lfnLtnbaHLAc6qdWywzmGBUcHE5XJ9jCH9SfZKvwsOrM8eeDccL243oWrv3OefjPH8JfBEYbUVGi
1MAxsBFn/vShl+yQE9/Y7ZmiVU50HnZvjO9OxXHtP/+i7Qf9u+cu2n4RVjS2ARIg45/vrlBzgqPe
qD1XWcVHrMIaSmrT8flcrcEm31xguP05hKw8ZT/+p789RK0lNIUNLxKInX+8t4n5OAEQBKwIhXJf
/YnmSLTV5dlpNoPybPFb/T7gEGBN+AP+Rqx2NhLEH997aBOAwhXnBMCb/vzep8LD8Jro9mwcxU8f
p3SQ9wHBotemMBybpePz5ke5tAQeru443Qwc/Jo0qM4pXsHX69X4X3nzb+RNF7X+Pwda8aJn/yf+
pqm1br79wSH366/+S+RkwfL5uvgbpoa+h3+JnPIfAleptG1H+tt8gi/CP41yKJkYQpkacDP+UjL/
r8gp/sEfBS7qcnPaLC//I14pOJc/33GgSbDM8ZXj+2aLYBNB/40rE5QzbooKxhmHG24tB/pmsF9N
SmjFHTVArn5UdrtDdM38S+IuqbyQl4hC5vPUAsTu5BfkONaZGrPWa9MOVlrrTHqnyFNS20Om5med
k2MAnCcvjICcBzLs8sJRnS/04sJ9qBQiy5g7aGoTBSoVDneGUiD2iA1QrvDRbNEsZa+swSMbLoJU
jRPewQuV337F+CKSSXHbpD518a0bqpNbBZk+kLvY/opIkMhKIGaPEEOj9wHEFRk/tSkivQnn56tC
VufO/KwLl5BLuYlUQgFqZY/TlC1uPN2GN37Es406b+e1QhYgqpc1Fi1h21KokGEfl2retJdhswmr
SLJMuG6qzzYP0VcslCQR3Hl+bFtrOIsxE2/rJoY0ghwYG2fEHL82zkPqdrx/hiboeX7Fj4aNzMMh
IOFi4Div5mehN7GokUyyc1OhpCRbonMWmj92tQojkHrflnRz9A8pL8Bzpu0oW/HbbJG6r0VC5RwU
bH/TNaOZdy1LfmdY8mQi+sV7j65xioGRPIeUvL5tsgA7fUkAgUGts9NTPt8XST5eRBsBWN5SLYzB
t+vpz8mmJc48Xffc1/yXXx8ozwjyFADho3d32D7ha6CCj9SYL/7SLjPRBnrx9nMJsmbPRr/MnwiA
8hbahTZp7qWM/w1NhZrnVQPXhR6ErTwOfQL7/yItLw6sgMhV19dQwNXGcPis6XIXx6perZaFdP09
S4bNTjw20ftSTc/9ajwKijJfIi+TWVxdUzxhv6QioJo7K1ZOzaqLf//jGpVqvZobvZzlkBwxW/KT
1mQTCfBJ89qyTWbtbTE/ZlAIgPX0I3cDRgI+2Uj0qEPXBBXZd9bzKgjQLrGOcPNZLtGQZHT56gWT
6n8yEgGZj/XAofq340sIipwPuCWfjVp8VenKQjHqbQrm23EZVWjJJFG53xy+lnctGG95DiC5Xaxi
REpeOOLDpFkHBNSa8hLCgCkPbrJq3DGJM5ifMyGD9NBgt0l343afEPQkSLplXkLRE6n12POEDgfz
uO/snECPGx2YPSMSjWN0uGbI2EAn79db+BoxWUr0xXb7soO5Ux+JT+oMaZJLMrnp8jhjM3uEsN3e
ygzU4vE6sPgVQ+pbhSSqqnDLj26521+G+OtXYiBldKJOhIt3jQhgLWV35eTdx8pG9NxRDAuIZUC7
pyguebcKe8STx+kXqmyX1tRFBHw5/ZZw9wqV51RlHgjgKa95O3YuL7mZ+UC7a74T1Bc3mCX4kpuS
x/Dhml69JqMWeyMg8xQXlwD5H+2miu7Wbnsw9/nCT2BHxoavws4VxkNgMvGINRWt2NJmYT1N12hv
Vyo4+5628dJuSS1KusmlZZbGUlFy/wiqLqfjapYhO0R8KRBNdM0LwjQ7P9duO2XPi5nV/VVSzqmq
PYmF73IJh/kSNiUTjtqp+DlXwRuwPlXiPUuGDfTqtffUwBVkl/msuNFpf8GS+FGimpwjsDknuj3c
1yt6wC83ST7MyAC+mCgijTgPLJFi5Q3PZckdZUWg+PeVS144sVe21Gkb4DMUnJeyG6iL+amw0ZQH
6TItGCc+pSpP5DeTuyzNTrJwTyVsxMbd4q98rNqw47OB4RNRbhgqdMPivBYepsJ9qWsUbqCS3C+O
YcvebgOQKRrRra+73XybxNQQDDQYHrVx8yN/+yY6VbvcyGKLjLjgQH6i75JizDzu7m1uwZiT5Bwu
kOJWqkGfB7Z/3fF6z0tX8pfsnvccu1iZBJ+mj6c0H6N3pAdCl+IqrI9MOvqnEQP6jCHLsL4Rkwr3
VSa2+zHapgKqC6N3ztZ8kL+WtMI45F1UMHEr0Zqqh0sRGvD9HR5JfVCO5TxKn29XVZXQZoaJy8uZ
8Xj9xtVjKN8nJFJcvJ2ns+N1ZW1bzgC4qcLu3clF09AJmi7lZw8qax5XclulnHGCv7mNdqKKHFsx
dPWTkw0ug8DmJ3Uy0UUrtT0M8F/xcMYtrngawIGYVm+barF/IJTXhooWzwyDMzG3JVvOLD+invZO
OrCFYGcO0Cr22zW6rUm2YvUKEkKb0MGj6mktoHnaeRWEMW6m9J1HqT43PZmmG9nY2zFpi4u3fCep
DGSJIRo8udBWBQr2z7ap39vU0TdRMg/2tFvCiZGpL/QryRBcw9uDyGyTVeRpdcszJnyEyGkD495m
sLoTpBwdp3/wtgmtGeA9gyDP3vKgY4DLLPZr17sHy227O7NNeXUfxHaA5XjaDb9O0T0HapMN6jYo
Iug9j5TetDFdS58p0jkyRGJyCLH+UclxV3BUT66H9oVwJG3XAd1GycVxaKoIBQWxgCJ8VBF7cPcK
4Mbe9d0VvjZkA/r5OlnEqnXrs0NDQrbLpQpjS5bobY07RjSlrkd7mKcbqhTLMgbjSfes26hsOS4+
PcHniKexjlMzADZ1KVK97YVcP4VzH9wY+hafgnwGyDtbjHXryXmTzoiDEKPQp3wtw5vATbh7HQJh
fha2hzQsFJNbNUMfKGkC1/Qx3gNpoLjKWN78rZJt8YZg+yahv1d3zAzlU1dm2Jp7MzEQW3VE0k2M
v5tFR98z+r9houJNW7nJDp0X5PtQL2hxeO/O9iZbLTO1xHWo5iyWEnjvIExxH+qsWO65Xv7Pog+b
4zoALsbaYx/SfHqLIuyGJf76U5BMXxmlb+fT4DvmrwWZcSFeXYEeFSWjCrf39JNBvGf709DjN9fz
j2JwXy0aiZC8jbkP82x9Iofg0cw31BRqW/KURNQqqiiXh7Qzr100MB7RPjujg6lpAu/XhCWqrNmf
TAj1YMWTm6HWzg3MD+vsRa25lNEg71qBG5OL1qA4dB6ZPfBgc9eFBytaS9K3Pj2DNAI/QpSGQBfe
WGvpfOIhQKeJHJtjClbiUtE89JS2MN8pwT67ltGncHtCiEWNOOgiEBpUJ2JHXKwPA8pxXygd3a/F
NgCr3T1RA/u51JusilD45s6udbfUqqJsLAz4e6hh/vd+rICaJa4LImxuOoxhfful2BxcjIppb+P+
JiDuahJ+wSSsB5ucR8yTN8C8Ko/0WG5RxLK+TCgJ36yyJma5BV2doCIWrLVBiua2oa9psncLftST
nZRZ7IUlQ6Mqp2YUy+IpSbP+MjbeT5WlVJgT9YgdZVfbauVclkKLb4m26ZFLWjN/YUd8YHet2Qnm
drNfSrs89B1Wv6RjRWHl11Rdtw6EgdwNzmQZxanOQNEZFwCXx4x3uoPZDVhOiaGgydj4JNG6fe/Z
z+NUVg7exUrTfxV0K2GPPHFg9jpFLatzsJqRJoNyTo+MDzoqUumMTzANo6lnCRDHNhXJqfczi4VJ
5z5NsMP0bgGpCnnsJa6/ywcn22tFB1SRdQfmIS3pLL4Xueind+WH1WUlPMO8nnoEGr/WA4Z+/rUI
8qMPQ/dtSueQW1zULfUAOThGGpPKoaaxBkBSegfR4oEBkvls0Wt1W+vw3i+Z/fDwSl5qxt40sxtf
7wbOLqC8O/K3n42vBvtSl37U31ids7rDmVUrOopIDB0Fw87WpJpycEs+JX00sZvdDAVQ+9rwI+kq
FvWkKCa1sHwv5BZ2nkPo/xQwWl+92K2kZe9SQ8lXGkOpHsRHmFFoeXSpS/XjMA9FegRN7NW3na35
7zDrsDLYXs3YfdQuKXhvYA+a6YzdVjPR97nzR8mzaZtPLzf2Rg66ujGsIKLatZvYlpNh+ju15i9C
lUOZiAxdDtBuwDH6T4oYJEgiqX1enJM2Illet62YP69yHcwXuYDaOco6YjfSwsco/d2EqPs3uuhf
vXibQubIyIErKngVf3IoTZnvtKvbp2dvBp8DKcMQSR4iJ3EfHHyYKZvNRJ0wG2SM5FSyNgflm+Qh
bXrnNbQH5wFSJLvK/6GCxguCOeHZbNsBnv7ZjteIIWmzQqbnxmLrhxkfF8ict+xJN6YciSmXnc9Q
r2yOrDH9O/3O+Ys4ff31Pi8BtZSL8yeaVUPHLC76lWuyVByFCiYIZDYMNZUFH0i2UOWKyTkUr2WQ
WBdn2343kiQKgaROuZ+kv4zlurPLPs3O/XaCVl3aFL9faTdTA0r8by7Xf/MhQkNyvE3vo+kFJ+4f
FZgxopdYwGY8N8lIfxswk8FsDCY4mBr0Thc3zOsP/my6bzWN2c9dj1bRZZzlc0TQ57rp/iaW+xfj
G/kq9kAS45sMhMNj+I+vyPLoARvYN6CBWmwbr5CeHknq3SDxmF14ZTEwyTI/MWWKixo5XzQUX1Yn
B/N0HhujtjMYV/Y/31niz4687YX5JPVxnRLH/ktgOIBro2vdZWflp+xQAfu1W+gCX0EwsysSpnlR
WRXKy9JuuINZtKa8GaU7wikayV5mIwQg2144LcvrvtjpOcZehwOpXNm+5xuKaCuTZw+/aT2AePhm
W3WCWlIChKCcHGHw569DKWhKAEiYjFiEFjUz+9usHmOxzo/bPu5b3uCFbRi9UTvFcJoT0H++HO6f
U+NcjsANpE/dEBJi9GdJPnMslGlQNSeReayBbrtC6AmH7ajTzLz6K8oIWNdovTTuhnGZ64yXtZBe
faEeiKuVCqKQVM0zQsIoxz9ysfhfbFlLerjKQ8LdZOZJF6g0wwTF5tzSuFfHeaDG9JCOeIPWZSOn
eS6TRioIFtL8uKHrn/+rRP+/FGa5W7r63+6Lv6AV7/Om+c20/R9F6F9/658xbTyzRAJwsbIyb4rz
v0ToKPiHy7gDaLnPUO9XgvufbMXoHwKpmUech9ZMeRbPt382qYj/H7YiAuu2ovzb3MOOnAABKyA1
wgu0cfX+ccWBPR0B4W1AJNsWbUIbsRSq8+w0yTlnuaMPWwqsSYsYlT7Om4Xr4Kte/DbPFYmBGqM9
lobF3M/08EYQN4BGf57XSsp3J6pEuZ+M8z0N3fQNc1oQ56nvfR6l7Akapf3jSo1xAra54OjVZlZw
n078n+Ak5kidLI5YZ013IIe+mWjpTDuh7sV3C7zFcmsbAFuoLG5/NxaRbN5EmQz0r69b6mqASErU
RdZi+Fmsi96RG5rjxG/J4nFcWRdDvSfl6XuhbRFngRg+GABN2byj/s66L0XurbuOYnWONny2LynI
Ez8WbtOWB4Vm+eZANtml2dRgcsyL0cffCBoq0G334svBvRhsSyd3Ln5WXbQcyMizNNsEBXYjreAn
ipNel1KUjz4nn+LMHxH3wFSTet/PIj/3jQBboqUnDr1jfSOkRLmGTQblghXP2ooExYERPGP/McxG
SlE4Rh8YfppnCta9+/GaN+2HzQFGnod51RohstZh8KK2EIkGLRjCwuuFBf5IedUtYCPGaoCKiy8o
RRmNJG4QE4IMuAYKW8cwN6jwbcVOhuqXZqiBwbpsZ4gRLeC4+6FPOSWnKjsEOUN8wuQytzlEwLTA
qlRi/wBd5PbTeSmmtdlDMho5YCZdcQyXJDnD43G/qFUs9W6lP+I1qjii7Pp0okGN/WpY4XgPh+Yt
JYGAOWtoJPa4w9RXgN1P287VNpcs9RqQ5UXl5c43ElA65ZOrHDqoKhQ5I5GRlHxYvQQ/EnE/VlhO
Mvm4Pof4Rg544Kq4LNupiHMPp5xsOxLdbMF3emBUsatWCwmDmOt0qNZkjPUcMgqwgteSshEcdpd0
0PfeEtIgN0FqytsH2a2ge7zyJOc6uSFmeGz80rzRIfw0C2D3ml9zTFdKK+tx+XDsaT0GQQ6nelxe
ECYNLcpZdlj9DgthbdkX5cny2GOvuomsBruTccidWxm2CTnnN3KoMLiAvrqFXbNe7I6vputX+BQX
92vTk3iCQh7scCNhuu2L8djiq+tvSO8UF5NP3zU7iBudy/S2w34Ldbm2D5ooOlvH2CDOHXEbc32s
bp9vE5+0s8j6orVmnLOy37y1+xLMDlXjSauQUGxSWQRVwtiW4QQ/h9azhoP3di5Wp67AIZtbpCXb
3MFV7yWx1IXzyKsvbhEcEWLxKaqLI8TwGxa+ZR9mZL8DvmznjmN2GVBn16Rrf2677tJM3ksnqucy
zO9WJzlFRIkIJa+vOeFlTLbRTZBOzybKLw01rPvQhs5dcPVTP4tD6P+m607hwlTFteZd5MGQ16rq
D2OyghBP5LsvqKGcmtrsnbr6rZK2Ru2ZiKhW2fCSW809RTIgzaiC3nW9xyKYh/dSsZekAWXeMW12
8Ny58skeUGXwbaEzRePEvaWMg9Er80+uIQ6wHQ/Poa5+ENZGKoPTeeOzXN4MmvKHORHFA76k4jyE
ItvzrXCeCJ89MZI7WCFvam2bhzmUBQQwVrNySEDtY5CybpVy5XPudv5Nq/qMuUqhjwon5EfQZV9s
C/925c6/ZzhVzjBHh9jk4ArY83Ast5LoZlhycaCmMHrCI8vgf/WjS1mgrvn6aRp7+8gyEd62hTUF
SPV+/5l1ZWB2GST4dkQPR88dxrjrS7oE+aCONgU9D17qZc9inqN7PdvPKwz/vSzqD5MSk+P0/2mZ
a9KrBBbmAh/T2phnhEVWlwwc4WAXx0KUgpfXym+ZzB9KkfF06JIY6EF0youeGWHpH138sC8c++6V
1emYNt3ijdTqmwdhkOnA+M2s0Re4YRd3IFqsnEEd64oGo8ydjmbSW4XuCe0/4Sp2kjK8tDuRGv3R
0PV18PRqznbvvqokKLmByxZcAWXat1432fRQiecBP3VlsncCu+wMq5UiZdrfWWkPvhV9ZcqEACC9
uNzWUmWFj6ERJwN99Hnmo6OfZ0yhkPlr+LVMUudLRenmXouAr5pFOtENxvtgGQ9jR8Vr6PZHPLMu
qZYiRMCmXxi2QJvF5VKFp2oe1kvW9mdcMzdjnpSnviIcBqVga2Kg6Kwtq3hNomDD0lJq0MpB/sAA
QgFW31rhAxFj+ZTVFKwz5Onuq4FM7zKN7QETTvZdYfdnpjTczTnmsWaq3hw5cpBq76Nx5cFaRNHB
xQ05Luahy4P6xzg3ZzpLvhRBiU+W9+PP+ORjDvo5irG4OACBjzJLQhdlwlvJ0Ev8X+RY1X6A1Hrr
5V6KVCmWnRlS8ZG0g2Ki5pTNztJUfWLXYmUaGVU8ptYI96PVFB/2PNdUPoFkb71i7zgO0ehBDXcu
k7g4x7hJNt3ON+jmW2ZN2+N5ohkeq6cVEkG3A/fdAiDwyU7VOO/JM8o0RzUrhuemsMJLZMr1Zh7F
m5yxrWHBtFIqP5sB2BbaHHkTtC2q0mS7MBn1KveAN/4H/eiPThbkcS+n/tl4zSM1VRYwXOtp40V+
KmdEIC30cUCjvKHl4XNoZPU65+UNw57+4PD29i4Otq8srxIb/JJ8K1ZHH0A5aezrFq3X7Zid/IoM
VBjiiKrpZo5zM37QsWsOjR1a9ynKGvbKftoxxgl/9wcv3Q+eYiKSiepbGwbLSzBZIAyH8EOUHtHU
sA7eA3pH91bi2zFH1OK1SRt7N082pEHUxZ0QcwvtbfsS8YEVTNJESdc2oVxa1vQh1QZtufgJavH7
Ylv46aJm/CzMeLCjIXuo7NKjOYNHNk3yTo0WpWUWr0rLnbJ1dWvWtT0XwyDZIzTpPemHc18Co7M4
3x0Q0NrnsHYBLLhhNjxZnQjPa+B3n601Orf9Mr+OmIaPTpRHeYzgm9/R8PmzK8MfrM5k7SM/2g86
Gd7ywrn1GxEx89cLvnlgeuSAeEDkkY+BVoxx5gEvhqJQuA8NMBjqJbzurnAMc8feLHe1JCePm3be
B1n3o0prJx5maK6PCi/xCwukYXg1iCrEzITz/SSb1KCOyJKHl7Gaj47Go9vUxxGMrSF/tyc057gN
mQ7vLLmIlzoTzvem8vzvhFLo1Fv7FMwDFcqWU7FhoCjk6EYslis2FzbA400wrBY6p71vhPsp4aAi
+N42ekhusqja1+w84oz0TZrFdeLUU3arhymA8D+mL3hSew0PoIpiujzedbRefNiybeLjqFTBuq97
NR+GJMWfQuhstzKLB/Bgn/jUmJBIGBz5qPYVNRk7xvdfx172sbsq+txVQqSjahPoOB3Pv7I9M3SC
tpgwGFGgKM6idyWF3sV409gTcyTxUGSFeMvJ/p/wrYQE/WpwZX2GxSSIXpY1O1YciZ91NsqT7Xyn
iJoNU5G0BxT6Nyel0IZBBOqwFHsGxmpvPE3+vSCT7C/NgfnJeW2472oN8GRziW0RJ0iJctyHuBJY
TgAp4TUiG7MF59cy+wq7Cf5mFxHP4BLXkXqbmcAx0Y4I1GHfmJiY7wsnrPccVQpuD0tWwL0Vz8Sq
vbStfI6mWp6g1vyomuGtVYsHH3d96mvOKQxLluM8NTLWqt9jdMmwxnj63mIIdNQrUKlqom6xr+r6
be5NHRPS41HHxAT/OCUbmHjjIqNgbecWbXvHgOQN/MZ8bA17upxaI7gCzt6ZgxVUE3c5XEjALRIa
0Bwmb8xu77qMMKKm8DUeuuZ3Nr8GdJU5MGGH9GuVtNTL8dOcmey4VkP9hlM631dY34+dbCKABWx2
3C70doyXqvsyZXFZprI+RjbcGj9MvttGp6ACcOdmAEueugXqY2R8J2aOxq7HUdEnWxUPzbwMD65N
6/1/sXcmy3Ej25b9lbKaIw2NoxvUG0QgWjbBRiIpTWCkJKIHHIDD0Xx9rcjMmyVRemLdZ/YGZVYT
Wd6bKYKBANz9nLP32k07rpceB2QqzPkaPuDRwJa8XjwmMr7WGrWOP17C5P3aUG+UlvHJDpZneuUA
XvsBshDbMHzs7Vguhzgo9GYxDKQIr0bQMlFAYXlp9bnct0V3gxvxop5Slse0RUqgM5MpI+Wttjtn
5yi9s3FDrkgVvAgshw00N49mEXx0YcquSHd5nvzhSzwkL01T8Pw0zu2grvwmBhC1qBXlVPLZMGwN
TKk8EBQP9tPxL5FdPQUAgLowbHYFmyMY20Bex7ENHr02rUshCIUZOZ0Z+CTWalh6FOFBYl4XcTNy
PDNuBq/VAYLXaWFLyGM+LjtBu8J1km7nIOgPHU/w57lLvznFyDMSj/MqdZiUMXsqz4nGbvWpBGXb
bDLyGq/ZsiAsTI1TcsBrOh9TalffjspWe21MDOhzr2BAZSRgEuzOTNdNgT7YHi1EBKN2KXJk+3Ec
mKJoneoDp+riEPppvRNhDUp6XpKLkbHiFiXlh7lbUIA04QloeH6Dc8h6dbN+uFjSzDtKJ4A1X87F
kZzseesyKfsgaihDcAufqeHzq6IWFPiJCWg/IeC4b5JLZ/LRDRBHdmWZntgwPZp2DnzfKNdUS9oX
JEGHfoDdl/49Y/udrh1xhvRSVLW0E7NeJRG9DWNV499JICivPZk7Gzst45MHkH5Pr+4lqAacY7b/
7Ccld4xD7VU9lDUN3PngdnpBtaWvcQ1wrOhTn704/ByaJuaFwHeQS5A6a0iIKYJzZUTQKQfucFwP
vDsJmi4eV+BowoZtpCZ73UA536ZQZw+cGw9+VecQgiuyPukhbVjNCYCq3HqDiGuXp/JEMRXckfsl
dpTCdFycKf8EFz/kJC3M4oqtml0Iu5i8nvvwou7rACpVLiI79t3VUOCORcK3Qp7dXvhzb8IJK7M9
9jpr3aE6WhWqN7GdtgpimvPaLnRoGcYwpkuf7CW7Rv0Rb6YlwevQ8TXC9mPKWhBbU5YjEl4Dgh5U
7qhoA+NiFPlNZlfMzprqKvH8hyYI+x3nazD6kscfV/G2tsxdMtLvgCBMLeMych+IpVkbwWCvskx9
Wxp56zXqapYzE2JwSUtyNgW21Fm2A8vdqOrVqBCtxyXtGqdfm+nEquya8T5tym6zFGDZnWk+4saN
14QdYSwZFGskIzTsQ/pF+zncEfcQiPZmUg3kKUxnESXkBUv0g4wZE4th2lBq8SRbYAaV7scVb4N5
vViDvYP4QRtlYdMViLs6aQE3A8KUD5tFewWKQ6sOKXSW+rEVBm2TcRyB/JV0k6V9h/5z5hNptSm8
kcorGNdJRzmoGOgh/4FUZFGkxtl4TPH7r1xRv9SqCW/zBJclp9kd7g00MZOzfAwsceMvoSKzC9OK
05tb1bv+SnRd7q05KBtkavnzigIn/0D//Vtgtdf9gp8l8J6xdG5l+aysaofm5LXTs6TMzXAnWgvR
vFUYtXm9tnKZR0urX6UCPFgaxeeU9LJNK7BiQ8VaFzbTd9IG6ZUseZhEdU0vILUg4rFqfc6b/KZL
WaDX/dB501qawj/hk7aPBmd6zONJiY5UU5TrFl8YWouz6JUY2JCZNFjIqUbCovzV2HoXsrIuOtNd
o5VFezmBcN7SxUmObFnuqlgsnyG9NbfDJQ7cbid6u0Tk4YnukJVtfBOwqoFr6clrqDgat2mAZmDx
FMZ8JHfbKsALse1g+HTYg1NabR41wszyYQ/ZNmd62NorlLKzG0t6DoMxm5cDMTwvcN9x6F5iOu3p
WKz+W/r1u2/NOSGo/zNI9QuHC9a5VP2Vq/rP/+z/yVk9d79/+B+bP3vot8O3br77hmaHv/oX3Pf8
X/7f/su/o4re0YQzazVpgf/nyIsDity6yfrv1eB//6V/NeJ9+uYwEQLLpeONx4Cf9394qUQLeQHN
+PNCiSXwHzW4IOPUJDaGKc9ZSM5z9k8j3vH+CD1swwSCot+mjW//O8gLJgE/9uEFLyVzSGAX4Tns
iJPKj334zMtEXlp9epxay6fnJBsyAxjKX8jWp1tGdoKIBPqIe1m0dGlU7Gbx2tSBO0VJr5p231lV
HKMRK73jsvgC75pulnGlTHO6HRwqjJ2FVdi4RdXWPeLHAe6gJQYZzK8gwTnZ9PoSTkDQrsqYIT/K
K3MBE9EM3mWYewQO0hkhScBa8PPVeYOSs/QdVN5WjlrIQfZ57PuYbjFhl+0LpC//C7Y6HSmks5tk
MZEQprTW+vUcnB3JVjIK+zK0WY/7sPKuRpwvtEKHux5JI/YxktBWc6lNqgTPyu5lns+3U2qq6y6x
q7sqNxDy+FNjpLDtp8QFnWgmlFS5vCtdqXf8+BZafDPvk9ELj7bssgsrDXZTZnM2Tpus2bq1663t
PkUco0aQEtFEr2ErlG8/4itkS3G68t6ypz+7w2RjzmyoCFijenGcm4HD9kE3MxGOlo3yeOkjt4Ya
aMyZt5pQ8t04MNyunXq8c00aPm4JY2CFtD39gu5E7oTPmbXz6+LCqqoyyrypvdN0ebjtaZZc4TcS
12NaO/xuwzJcUgG1LJnXMUPYV8YN4VYXYt72bhawC/j9ne2FcB9j6JHgTtaewaHP6/kjdZfHULDX
dpwWEPe6R0gBuO5Bod7nXe/QiQunCwc15E3GgOJWFukLu2X67DYeI5JkuiAKgzp4gFvr2TFJ3J40
bnUzVfdlxwmhLsr+2gb9v1bn8iMOi9uuzBWpCAWaEN7Yj8W0xCvW1el6znp0l5PLEcDlNzUAlERn
MO6HJfANqrOAVZP89wajdp3n3caU0rpw0tY8zubwteS/P+HJKVGK1yi35ykO73ziBW6p4JHnMryI
VzJZlmtB1brOpTbgpU3NbjGG+s60eaJ9b1CXROfhomYDkR0QVYvH/qphU/ykYcRkCOdUimQ1tai4
CoRZjqNF1BYFCeB5nGyNdrjwQAkfiT260ronnmJB9si5FZhtkE/GnmR2DaKFZzCaTAYaQ2wA11rU
gwHSL+2ZN2SzuY39C6biE6Vk/TSPnHdTpzsZqnywEOpFYSnuYLSUmzqQX3rMqAfQyg+zk9b0a/vP
ld+VKO5swk+rzL5wxViu6/M3NX81EJ1wYAOftwzmoxjOIyIguns5auNqxHu1wXSdRLkpPrEY9icb
s+4WGRue1iJxDzMCwgfGf+N6yv0+qhB5IcS2ea2Mox+n7irO7E+0d1uCmSrKcL+1D3l/XFR2qSr0
pi04COiG13VMZcLYnM6cqCKAo9VmHGW2hRU/rQWUgrsgdkoYpW5CPCC3eV4K54AzbLqtpnLZ1eQR
RlLKjjjLybsSnT7OHXi8biZ+IBqtfrwdhXoYrNnYG+1Mp05gCuEFa2DsmPf05uBPRa3V2fnNHI9O
hVLcvUZ+9dIAVdx43hJ+yBHtcbLG+En3I76ZCYk8uWn/XAtJJCkBr8DZrGdPahdfOaeAzz36h51Z
pRK9WGlfnEfxW9N2eaTNBHImerQNWYvlzcyyiyuB9a5suqbBxT9/XgYazzpmfdYDz2A2T/Nn1CYU
HlVmtvdtN93XCPlWCSCVU1OlIlzpsBzkTQLM9eDIMcWEYgv6+qWrzVW/5M0Bpi0JB1mtyqiRdXin
cv8V6i/HQnuytqiR0We4ARr9FSBXTvZeXXGsxVYyTMm6gV4wrGTmGVtOXcCtbVVt5xTJEIu7HGkd
PyDR6y2xnzXQ5Io0rLP+2Gi/FEbeUDRiFTc3FMi2dyo6nPgrWPbBnnZhvlxO6BhvJzbse4fuDpQA
zrEInJV2n9Bed8d0qZDzqcVxXxRPf7a2BrS2a6yWvliNkOjuWiT89Gosszs2ePaOsBXPxVpe019t
1YG5RHJKsaPcB0ZO+U3j1d+lRcyDGy5j+kkGot9oW6Di5czzjLHSpEYLOpJek1mJy8TBKbvyhYR8
vYxDfNCSnujonHsIzrQYt2jqZsIsBVJnR9jjFQd5og4muzUjHx51t1qsGpFQ7g7OhPlnGR7N2Gmf
287MPrEnJxQa1XDVozo/QUoMX80pHUgNB6Z0Z+hCPxrQca4r0z/4lld+qyrH++rWoZuRlOvQixhc
XZINIbKD2+hDxWq77jk/zNFcdgHH3Ji7uMrzNHgYOFteEjtTfsVzQS8LUSFtGo+W922MBPOBfQSf
CFXYdphnm6Qn35cx8G8LZluXTdOXIstCwWKE7yksan0z+QzmVzSijRuwdr1c2aQGfcrnuLh2Skl2
rY6V8CGiVsshHNriK0L94k6O9T1EidFeZxh5DwVpG5FVpLysCFfb09I6jGj6sYcvYwPrBIECGONK
Yrv/5I4z4OogbT8HQuhtjRYZ6HYS0tWc2tk4dlaub2qX9WbloOj9QuunP81dnSC7NUCEDv4ssUMb
o/wcJhOTIogXw0FajKyiPMvbGQ5wlT/ShxZiRSdG3eWE+p5xhA5tKNDUuDaqLN+hxpQz5LypJSsk
DTeO35mf4lDFgrxms5giSxvubihFdheH0ty1DgVePQx1vgJXle9YnpnBuJYmYaew/ct5VO3RSpUX
eVKYdLaHHrcGDxwAE+RAwPs2LZ0wChNbbdy0xvxk9fIWW5CiNemGl8ypkDD4cUOdRkscSQEdNaLe
6u4TGmLKmyyh5qOm6ZunYrZlvVEiRJUg83b55nGAuorNUUaOTac4ScOP9F2qZzj7zdZhXFVGLPFM
m5DcwVwaw4IV0SWy+JD5pn8VLsL/rInl2ctUzuDHE5dcwtmZnRcfgcCFii3nAXJ9yoShcs5c6A7t
ES3gZo97mn8slqEI9rmTzncB2FkNJC21nnWo7TWhZfJzQhbXrRuqsF7nk21+GhYOkJvEHAeeJbM/
2/1962vY2i0MkspLQOs3efyUhar+iGrZ67cOromLoR/mHVnTRhotHaMeXN7FIU+KGxPXFfRx/zoh
sqVJK1pCAZKBYEjX9azCW6HIeRt8kQDtrtD7uiECRK/kbBgwKN+1HgeLFe0b8RKCAUez1kgsE2Km
LKYjw0jMQgkzr60enUNYJsl1T/7OZrSX+GDnpd4twlXRAmxgO5jmcIkffuMN4HaQKQ/dOhs8/5uH
nzxd6Z4wKGan3ccEVN2LJ5p4qxvTYQYncB2u6aQPV6k9wXThmIVvLHZNxncdgCN4SYJxCpnp9ao7
/yGNtGRpccarJm7Tx5KElg+Za6bATlyD+iAeLjtJZhcPOP3zoqvCdWJyRqyoh4MFWMKW9Bvm0FnI
+LUmQ+upD3yrW6WEU4MIyVwVbxgpe5s2XpaLwrDkcQRTcMknLC9tsNhf4iVT2ypTal/JVm+T0KkP
bZk4ESakRzlPI/Ii2+qIiWz9GwfgxDfLzLq/XOz/3zn9TpVsO6aDx/g/r5Kvv+nnrz+K1f76K3/X
yJYl/kB8KhwKXnB634vVAI18XxSjlgXP6OGisSzf+o4D6f5hnkvpM7LRtkkV/rc4kJb9RnVqYls4
XwZpGjGcEG7fIAFA+Ey67qRz5ce9/zCPgjOqYyERcZeSNTWtWvKlZHP0rLC1OPi2DBMXZpwjyn1W
9L4liQ2fz5ObLsV145csXS3zWtRAskW5M3RifuCEr59Uge1JJTMnNznb0zrUgU5WUuUsvh74xd0w
zhZ0kh5TtI71CWcNTpfAqMeBta7zUYvB0N5mzPH2fpfTauoKPax8OasdYk7ZrGSaT8U6SRoB4XrG
rirm2fe26UTOxx7k6zJgws3Nl3yArL2i1V18pfBvT1ni6opWYDWdqO8AvJM4xWevZEUaRs5U2D80
cyeWLS3GSe7oSPJvHQoQ+wgZcyZUw23nQ2LUzL/JK59YSfkF8X/GC0UXOqfKucW53dyGJMvdLXmh
Ty2+K7hqpYrGtAqSddw3GqJb5+8rMqha2IMNIu9sUgS0BENRR4bokOxcse99VFIqf5Ekf5js/PvY
confq2KbAccO9G+BvaDLzMVk+6m62iTOOZiuHX+pamutZm0AmLSaoaCSaxnf57j367rYZAHe5YkI
S5Syzp0uOLV3wACQudAF0dN1gXkPWg845C6EdsywbysJykgwMKG1TtCLpDl+CeqFLYdm6oe12ysH
KG47aB/GlmloIvlwtfoNBpXRii/sjtNa1Ipenx8cf9njPXGJoJjysaDL7o2lPioFk8S8tuYqVw6C
vb7H7Fxx3LURPT4lUHft5dOUlXPdfVVjqyp6iMWylPHtf0vD7yr70jV986redvxo2/3T8PuP/5fa
grgefyvQ3VJhZT+ueNZff+dfXUGTBc9Gzs6CJ/5u/f3dFQz8PzzORqQGsSPBI/FZWv/FiLBY5aA9
hwhmHbSzDuaPv+W5tvgDya5HpDbPikfXxf13uoJnG8t32lxSwZzzON4imo1/NN+6AZJxMhdezWFv
20OiqNHPmRdA3sHPDudAI98Fa114Q0aqafpuAtsbPoVr2jhsGF9SYJ0ZFW9NNm2LXVqjUNyNg603
/kxenZXZZTT7WbX/bh+6+esj/Q90oTcN9Wj/v/7nLy8VBnQ/fTg3SKJ/bH4CJNWWVblqJywCVEvb
ou7qcfPRzm2jf/9S3MrQIbaeL/0tlXyxyBOeESAjj5qyHZ2fNuqUKtaKke07OB32we+/vj9vIGYc
U7AvE9P1Nk1+0mooSpcbGMJfgLxg3yK78F4ngPXIj/I1PUBsxzEiFiYczTsWhbMB6btn5++LYyM5
P8XASt5snQrsZexIpXZI5SAU0KRlRCPad3whP39xrs1zSRtceDTX/TdX6ZMAAU8bD7suRJjBs4nv
eOVOra83+Zl1+c6HemO74EO5tsW7BV7V5jF5G1XugoJ1UgvTYjJ7tGWK7pvv2K8wmaqVVVYXXgzb
7PePy8+30YUCw1iABr1gTvxGHh+nJKQETjPgpnddAi9wtXHibja/v8r5Nv34ZXEVYYchkYAhuu7z
bf4OBQPZwqoLgGyEu+iZuta4TAyqXNT8BIYTHvz7q/3qLn5/tTdfGrOJpMVTOewC/PN0+LNVoknH
lOCoVw2maihnxcvvL2kzQ/npEwZ+4LmYw6ArvV3K5pSSY6Rpt7NSj3jMRpQPiUnnBbd6sCdNqoiG
9s7Xc4A2RvRfPUXXR7rOfki6ZqeHUG+GyR4ZpvvyyzRBdZuhB6xsAknul47zkp8mtDXa5Z2FyfrF
9+8w9jGxP2GR+OmJC/qEdF7Fa5SNgyhWwhjBy02TqzdEUploBBhRy6AZETwWcmOXk/hMchQB5RbS
DZ8e15r4rvBkYax8511wf/mrsT6f33CSAd5aEPOw9ArcugpudEoIdepGFJTTug08tenbpP8IyTZf
m8w/6BCWS32c6ry77ONKF/RkUXtowkIJH6WBMSPkcywZR3EdmOfSb75IBru7BslnHJZibKJWkx01
+igBW9XB8iEbGW5nEK9DB9FpJwx/6zg2TU4oeDAlp6MqUCeNBmBURlX0ckr3IhXFx4FYl2tmFw7d
hIXQW2fIotFQJxgCyx6dKA1kUTponsv4EnbjGWzZcvgErLGGRfpazM6dClCoEvlX7HH2qhM/ud7+
/mn9+QUJXJeDAW89e/BPPsqpT9zBHc9fep9eGwVNgywwD1Y2fRiW+Kw2BJv8X7iiy2LNJBJYVWj/
uACEiLoCZIlq18WgCnqxKa3kCyKZy85BAVaE3tPvr/fzuh24PquNFZIDydHnzbLWJ/QL+G7ULp9L
enygLw5Y+kgZslE9/v5SPz+msLRgKJheGJqO8zboNKGZmaMaZhcMtHtBC9k6NOPgv3MDf3kVeIgc
UxwH59SbG1iZsVEB3ma78zpE+qgojT1d5eDm9x/G+nkd49MQGBtwWrR8tqMfvyjCkRfLk4hTJtJh
I0qJfOuBtYyw9DUrQZXKkYIHn/o5OXbBY2cnu0YU2XvL0pvCmI0wIJvBs2jgu2Cz/pwmf7dhkA0l
lkz7MOKxYW3IJy+3gD3VFkkxI0GQE+Jg1aCPO7P5Vjajf1eofNzh+NZX1bI4R7dAevn7W/O2WP/r
dyK0gckRhEr37YkjEYZB0ojT7+pkqA9m525Ck/CZpVbtddxL0OT+AOnK5VUuSeE8DTKb115m2hEZ
ME3k1xgsrElfFwGpd8v4GeWSTXynkvdzPYCiUpm7d7GBHOu5vDZM9d7h4tcfAPIMfj0E+DiYf/xu
SaoKK8gm3FTaloxV5XYYRfIxZRVbM4XPo7i3THqMnmLH6qrjnC7PQeZ/6DuMEWSy4EKAo71JTWQ3
8MGbD4FYvmE5qo8OaQPbUaLgQeIFbyhX5bbDMv/OlvCnWe/HcwSPxXef4M3TOSow2kkz9zs0l8kx
XsL6qHDeRLlhRirrWOQHjw5mbkIQm5HXSPSev38KnF8+mSEdINpAtuW/fd2xdolxdod+lxspc8gB
3vsLx6obX/RMxELza1Pq6dG3rfRL3yFi1Mk6b2x6oOfxpkYLbZs9Gkjs7fChrJEOuD1IFMqmuZtc
Bjh0KaxvM4gilkr/nn7vxjXzJsJa8SiDnJRL7ZqXhouCeGmaZ3zLZP5xoQT+11qOYe++c89/Prrh
34QjiELE9WDKvbnlrh34RZyzILR5+VjHO5+BZmQsUCIALjjvnBN/sWwTanT2kgqfH3wWxXx/TgTP
RqQUi85OJvVrmIFgdiydnydQ4TtXOv+kN08SV0IPE0KZpeX/5ozYxskg/djlSeqSDwVqjEciMWB4
VTPVhDsXQH1NzwiOsUfy1u8foV/svh4oTs93mK2ZHLx//JAqyVo7znEVMNr5FKvgPJO6I3j+tfTV
CyWv984G9efZ86fP6tohIzQKbu/tmh5qo5+yjEeWMrymyce5Z0aeDqFOr0lI/WbG1YcmKxHazJLD
jQgIPO+TLiKN7Z2P/suHyaVnjlLJF+bbbRk0unZTHDM73HAqMs/zSRwxKeSUhiZWmr/+/k7/YtP0
ILXxNYP4PbNff7zTHqmuCeNgvuS5m3aJRDqyDEH6To34y/tr0cngSeL2Ykr58TJ5byWNJWS/o0bu
1oGe0kgD0Vt7cWAcxp58gUSLga5oW25GXKNrugHlZtLGxbJ4762RPxflAV1lTst0un3c8G/e13Ee
3CXtC34ZHGybNPGTbd8tV7NmzIVZA/ogkPpd6iubOGpm3L+/49av3mBOQ9xszu0kV765vEp0jBjV
7HazJTBR+Z3hrshmUKc+s9AYjl7jeUzn+QEkLoYgILTXli6ZsxJJUtX65MKNRDFeAbJkAmrTgrTW
WOr6r7//PX/xa5IM73msMRAymEL/+JWlBjIVBE3tDhEyTiSx6I3o23Bzlp29c0t+camQ9dMHPkwb
Lnjb+8Fw08u281vCdePqVTBWvQWmwLjX8Mz/wsfiDApF2Tu31H5a1WQtF4U4oN25dtbdhswvYEyd
k026s8n/n8nKzV+rx/cdrV8sYlyJtghHRJDNbzsVDAKTvBm4EtkPSRRjULuvktbesLuBOJkqwUgR
ttTvL/rLW0l9DZfCg5DzNvQuScxahfT7d7NtwZl3gblm4KKizkQU8PtLnWm3P+0QnDRMsqsQyWNZ
fvMkB4VoBnKOeETEmRTkzbNispmKcYncKq6Jke16O/I4k5Pp6OjR2FI5Io9ekOVXt1Xg8nKh41jC
Q9zP5YMtNaqujtSMIZLl2buG2zl9bkb37McPYH0naYkqvycXgekkHwnTh9cEQRRqF6D8yKhrvqDR
jw10ZiCzaQTcMmakqfXBG2yYJKVAe7bNrQpJnxPK1Ia+BAqQQSzNEoY9VDDpxZRiucUSUHTpxx6e
7nwoa7pruxQ/hNgYprSOFUYCY9cPhe6vXdx+OH7VMMe3zNxLbN5DYIzbauzQ+K4GgagiqgstEnI7
UTFgsnOafDsQeXqvjdDDfVQbzd46c+VXc9LZUGjS7KHqAcSsJrK28wMG5kQSMoCVhNQEAHubSjJR
uMw15SRZ0CFynV3fM8KPJu3OU9ToOTYvGOfGJn2HSiKlqhAYrHRGFtyz38f0S/xYTeslEE13L8lq
9XeN6vP5BjOAvq8z0anNbLShf2c2DIA2w6yT4cAhdsLPN4XZFtMaklFxltuBnMnD3TnMogHfcm7/
mYZNLkPbu8FHoFqEcJYVYsdepGRp5FK6+yoYbunzbgftysdY2uUTch/zTtXeuIphve4NEnI2Thue
hnI+R9lup9Sv72KfJqoArVQsoGNIRB8jwhyrbTLoo6PnkaFe/5wXnlghX42jISfuoXKcr8Ixxo2u
557fofN3Xj+aG7Q1Hi6UBRX6iMUlr8PkAqP79OIryK9iwEFQ+/oZtqi710iCVnoiGikrH0zTw8br
tTduWMHRNOvshoH7ssZFal0EsDevnJHvg2oBXgBs2wmV0841LHI1oGCRkx4f4lAUCOyKgUNF76+B
5hB80uPDgr58aLHIrTIIePxRnP40QIyiOxbTZEeLWbSbSaFzy1MgBIVf4DHDApDxzd4A87yrjJSk
8THAkUXM2no21ABJbrYJ3PbMuzgp5ec6wOYEVziIgLl6aBRV9+oZLYZGaNMR07xy5zeNe+jKEHF+
HU8Hx8zgWcx+sKFJcbQtUD2utLaFOz9V5tA+1Vm8911xnw3zkzuBVhjNkEbdED9VHs4g3sAqOOjB
J0rXaDFluMaHIgxQC8dOFhFYEmzMHEFFObbkjOUhMinqhruswybbJl1w1w8T+6LTX6o59s+Z0jhw
DbgshORCRiN3CVlpta+rQL+KXpE+no0LHS4S39Uyr4emRbBLaW6bHWTSBgXJByzbQIVsHp7HyjYd
nJotdQSbKYtEngzjJ8m9v25HnjKETzWEZutgDsm8MRrVbD1rwfSuzlFBvBAk5Nju3F8G85iM/ac5
RY2LnhGp7FhES293nwzL2Zp5wjDSsPmddz6cyy/Y7gq5d4rSHiKEaT4Y1sbyg0sDrR7OGj8AQlHO
2jWOtGdNZB9Nm+07jE5wMYiLh3RX6Q8pXf0bEmLsD5iOi+ww5h58tjBrr63RDrZNxjgSERXNuBRx
74tnxpwn6e/Kjb+Y5YVkk/0C3SLxEC4mzTofXYKZpqn37oUu4teQ5v6w5hRQUXzH2oyWOSDcTwfV
ayfJUSSOrrc+15PfRZRo7imsbfkJYfEY9Wk/7xQnlg/BLPAc9fycmQHuplF2e1xgPK2zqRYHWzj9
I104xiA5sSBbpQeehNQJ26c0CVrSvYBeFAAMn1CaErAFs6TE4ayKLSLa/tFtWhS2fjOOkQeyTuET
73k5EJDjrjdFEcEld9c5B67DACI28mkhb6hKw470HIRaiFTgXoAOTvRDG4/JQjRgRi5amIwxvl5T
tPheGQ0eZJ3ib4a2OB6TME/vUYGiNfW7wSYHXUnjAfUWHxHQVJheJJif9hjj9IO2SUm6SuI4OWVB
G0SNKZerRpEzJ1LBT3WAKgsz8+61suHNcBJpic9J01M+9vIzrTt7Q+PMPSVgpbxN3VQM+bGwbMdm
OgcI+35yKkup/TVmKPfES9TyUvHt0oRvj0UVipOfpvKl00l3K5bO+tDD6XrM8mLeLXNNukvKTUWi
O19gRkT77XbyxT1XmORpLGfURgtFmDub7d2pOtML4FJbnWiPgCTgLuteot+U3ZNOua8LmTlfGny2
CGcHIslXLZmAR/QO824IFeEkY++exNIaI2meYXKaMhfG7eihSfi65KQIT+zAo4ND1mH+Pl9abMvI
CMI8wRIVtGhja4jVrFBDDGujMa0P0sIvm7m4KqWXJteeOzSfvcQrIjWkOIlsY4GZrgMOkcg07U2i
ghYZsUmKlTHoiw7K+R7LyPQRDSnrYhJne0fyt6VpJKchbD20IIHLCRzDPBMLpy0PXUH20UqFNHGi
rBhxUFeK/yDWYbBKkhHBRL5ItLAL7zltrLp/nGea1oGvYQMlMB9iEoIAHajzUz6k+KAlqVf3GS7A
B9FA7FmPDb8klrTiLlCdfHYghNwDKMXwIesxPc0eOolVL+ruqcTPeBN4/fBgyqm4A6UtTmcq6KWb
W/FdKzQXKnAnhSBzMCHBdjqJnrsWkNp3YybG/Gou4JgNMsjqFU37+M6uCM1rzbS+9JyRn9gsxR1H
9uljaDKRWUYN4nLpaIlvDGB+r76kzbeOYTGCCnatHggEyvEa80FDYrfIEZStM8OL70RKybWSQ48O
pdLaQ0o28CQtoDlYej3Bk8aalZ7KIgdfXOHauDGcnCaunku+a7MHcnTwnIag6LBXr01gUDNps8rX
bTW2rzjxrQeRyDHSyC6+eTofhjWvXnvLarG8NnYuu7Vn13Ox7hDsfsOCv6Bk18CFiJ/ktnjs5P3O
HAukbn+mjC52adyFymQ18z39bZJBe6tiEBNDa8trhRPkE/ml7a2lguQUeyDAVTgQVtIHDnL4FEgm
GePOoTYS9dhmWW3edihVWePhsrqoddAWc6L2r6iJ460c4KNiTbB9+qbKGRgIO8Fn0HXqOgamvdNl
qfd/wsRbts1Lh9AAdN0Q92880cutrEX/sZMaI/2Svqqk4f/qkc5DtpfOixsm7lZI+HOS4JLIdqZ6
7WrHwx8jxxUTTREVquM9VE41k/jXTTccQkaQt0Dl7TIB0G809yoUV6j+MfWejaux6rpoHML8uqX/
A9hGE48OG0yCgDmZYwU+369YNyDn7CYzM64mz5AnIs7ie6wvzSGcMuLRVFYtK/yOatVarnlwM3XU
84wThnfzykzG7pJglXPIej2vOOpzBAwZ/9FCfQ7x4R0Kv4a53mjnqy7FkeB3iyUt4A+nxwGIMmg9
KXGBXVY8ct6GdIsT5CUc/zd759FdOZKk2V+EPA4NbAE8ST7qoNrgkMEgNOCAQ//6uYjKrMnqme46
va9diRNUD8Lc7LN7tzlT0wOL1QzUv43LtCylIB2JtL+wnZk8iDpFXjXLo9OUbeSDf0iCrG2O3rR+
0P+r3orKXV3eOfyRDA3SZu5wwgldzNxsIhUFsGFNmISkNXFbVJbcq2Fg8AVhJqJCne5QxQoU2bl6
HFrwGubkJw+D4psMduzeDcJHjs45BjwvrHZgFc6zo/rymGXu84wi4kC7lKiroJRjc2Bpgiab0kvm
0bhhTfcUm6v+mYp42pN2FQc8wmvkZVjnWZaEpi/THhYqrcJkYa+M4sJ6yS37AJupwWSY8wBuck6n
idP6hFp9/3ssBuNlRjNw41f+Smqhsp4kS7MhuzfW3ubZdVXFiq0V23Xvl5FPyR6RtO1d6sKg6zsW
v+ZZ/loZNZH7Tfrsps25DLK6BKPCBhd0UCkBG1hVrlj0ZYGIAULgr70RDq5DQW8l+Qf4w+KcgHBh
1bjMA9vSwCfn8/0qjBdAUtWeW3GfmWtOoWZDwI/d4aay7PhHWTSUGWTKkbGJHKpEnz14gjXrojK9
K7XgdI1FukthxAaF2dm3lbTZ10gnoE1rDSNgWZrx4gD1ranRNGhtllOfJebm25JkM6y7nCxX0JFF
Z41Yy7mNmKGNF1i++WtlWM7B1mnA01qD3NmuGxUKhM5857MqcI0+OudU544ZlO0uL87+lIkH27XO
Xe7Oxxhf8uip4lLyKV+penJ56jew0hnwbNzd/pq+78KOV37UsSq/gtoLOOcgzamHENTkGrbSGcPc
rVlZHTE+vs4LS62N4X7qq/Mr7pr2nYq1fC9V1fDQUtoPt7S1vTkOoGvdobpfHCqWcul0ht5+D6EA
uxUYGDEfRwMM9Vkzm8mKRlco98iits47xnKaW23aBB2gYJtb2jcbxwJvdcMYYDOINBiP36sqr+8B
Q1T34DFYvvvtUMjTCbanMsRnjTXiq0VpIEND4wu2pADONonFxwUO8PTaUfHwuaGi2iOjZN983EzB
pcSesW72DN6W9M7WUmeZLKEheQJ1YTxRH3MyRU5inZNiRoxTNP0XW3Y0ETA9VN8FxHvA3WsfvwuV
659FCmUeIhJ6GTiD8TuuBQ7hVpwBz5ArLgPNlsQnjXX0XRbHbdYf2pkHg0rnqQFWhtJyb/kTHY1h
Trk8UmOgwGnqsnlMnQENJN7O+N3Wbf6Nj+25iwDbA8ABxMhlVJsLBspR8VPuchZUYbyS0mJDG+5d
FeSZVaurbLV7zo2iHvU0nOSUJSjpdL7yqnlzc7Im2o+A/P1FO2jLVgL0TEjRhs2Vf52nwqoj9K8U
ragd+ZTgBbtOyNpP/D52I/iYZMjYT4sTu/o2hoHvOrQmnpiJ8PD7P/6YNrSjITAZT2ZQOQTJNFdf
Z3xFidMc2HRNUAc4CvrQ76YAuOD60SY/Vh9KzODPW7KAFZwazsVR6nSBbo3WZm+pt1cbP3LfPNoT
iQo+Quat4RS3/H6gGOmHdFIU+ZUixTAeKlAhKcCpfvweHXqjwWDYMr04mp4+gUM1Dii66pdK9917
IDHsoEhsLk9w4tVynGnDx7eQ82bydaPg8qAq56fOgAFzylvmWmP+hzIp5DPh3qX3ny4RfRn+iiOA
fbzsUCW/Mk4vWcAP618valS/slzl5cEfupYBhr9tluABJlFcCu4frDy2WI81/b/zhK8CgGLTU9HZ
qSXzk3A6migdsxU0wy0gQm51iwM3L2HeX2E1gGoPakiIwF5WGJu36WiKsN1KyNKt8Z+WZAN/6LkA
7l824sxMujuyiGTeV2xlXJNlyp7XNZ1+TGxM/mMM9p/Q/b8J3ZsEQGnD/rM1/P9AYp9+bZBY9evX
33fT//xXf6VQ9T8c3pAsrGNZ5Iv9tZcu/jCZ7lP6eQwstijm/02gOn/AYebGp21BKk3fJjd/JlBN
6w/m72QtiHfYDOKZtvy1mP9n25qd/n8s6v9/2thQp/+1zUsElIAIYVdGmw7N3v8aYnRZvNTSya5P
LK4pXR4oBJN8xMM7TTxTKuHpoHNcY7ruN5x/RZEf6QrEPyYt99hWFscjO4b8teUpbhQ7aU/zJghg
7l9HSeIwj4VwtaugnbyCTCTPv/BI+fA30YCxKQcG356o0tAQuLH7NdQSMYGJK8fOalIXm7ZA3wQG
66YyWEYhAvhZ+A14F1CNpGA8y9rjLZMvzaslWw9xmapOrEDi8cic/aBcNxL9KMIxz5JbfdMq1EtW
PhmpiWthVBbeBQKWzSs1XHswRm09q9+GhsRwnM/Y27wNHI7ZYa26JEHxu/Q/CjQZ13O+iodh6oyo
Lt37cdD9i8jNNvKqJHkvoSZhpyrG4+oOHLSzNg4YeXaHzo3r45QR+dlUE41s3FOH9G3vaMXCuXrU
b2vXPyd1EdnNXNxpXqzRyzWKQF8mb1ey3QW4Bb0FIEgaca0lQpb4LRb4Z3Ua1KodY/IrZ6tItXOp
ONEURgv+S8vXCKRQc0GlhFcDIgsMnGkanvQM9bFBeXedxJV9sACz7Y3WtPmqar2X2/K0m2kxmDjj
iRjM/HMpBmenphzEjFuo+5XROJYwp9w7ZMIiTSIFsTY9yMD2BC6td1Fl6qBLE7YlNvYDJqr4efTY
zs/z2PnyMqDWF4yn+YUXUcGKuIQ1MM9ISmi1jlGWet5ROV23bx0jixaSqrRwbPDkm+oEtYn/6XX1
9J1Mi79fRY2zpqVVtuO+se6tZVLl9ZLLH+mg5z94aS4fmkPiO6hXW1w0yE1XVNGMASvBh5z55JFl
4rFdaSBpYaGE4fcmbqGT1FzKSf+R/ra6aKbVoqRuivu5aVm2qM3x1sCdemW1bPkHbDBQ5ma6VrnH
QRsy8CFABMcARQk+Gdo7IGJwzOS/bTPrjOiZV4MXGr9tNO0mpkGuk4f1ygs2MKwBFB09xCqiBz0a
EbItN1J6lQWzsVZ3HJSPYOxZcR7q9tI5xgenGsS3EFOR4Eq9fHGyzn1AXHeINU/XYMH+9uaWPWlG
Nxj9qfZ/rhaSq10SY9tdN++uGgyvIpu26XgtxLy11w8/bDmbdyyDpN0Afsh9IgmV70CbIO8oa/88
Na6x7a0qtB8ShMuDpJDJpxCGenKUllt0Pwwa8WxZ0vqoYULAUmjcc80MQWkAdnND3PKg5O9ejXLd
x05e0+pskli8rWk79aFA9HMDQaxyXwRptBYHob3o90SghviLAwIEhmz1A55wYGYszdqJoYHfGtsI
pP2KlJKPzpuu/IhXIhBsGn/iM2e73KtH0bCFW0LLaug9UZWx2QMvioVe6zIllf9cLRJXKjNUrhSx
6MmJpU8xBnU7YRnsXetrAaBdHIx4HuXRXVq3jkYtY0LS63Hs72q74FuuZdJh05pp0DASg9BQqG3Y
JdiaP/Ds4zsCOyR+YfgKeUOVZDmHTHqtzS0wZaMB2zOgOO6vUCbZImoa9GuJO7v47NLauSVxPu/h
BPBfRUlepLP5G4cObbancvI2fCgMAEqRDpXMWvnTISc3f6GpyUE7Y/jF4CyO7KLc6H0DizyDbqQH
5iPeoUm74q42yus1AbsSdLrdXM+pnV7FUrr7ZuqtlKoE1FWAKRthzFAPetDnjrFtITEXYXuWexXT
kJ442a7DraPtBRqZR7Zk851jqFWHLYI4wtHq+sZNBzCPo+vc9E47vtm0dlkoNv0rtvdN8H4A7dAE
Joe+6+H3rutQiqBS6/KzXdpP3lHdDeWbs5/QT4QMTYQXGKIVj0wx4/0scu+HbSXq3rJgkgsOqacy
cdUtDVttv1Vg57EW8U+2Qe27JdYj5TrJiUdnfOQ4JF4LF187/CPvbdRbyuAezMcxRy93RcNgvZAE
oEfYzvQXpyV/T0m4n+22GW+sZN73Ws20rxcQlHry7TLI2VHbMXtY78ho5DsY7QdV1vIHoTK2351x
OOhdvR7YDLNbcH/TxsXTxnAqaWe5ls+qVzcbIBJNHvE+qwmRJEcaTHx/7AOWHRjbDDUhM3zHdu8U
jmta7Ji9JAeHX2Dr5IwYgyYr5dG4Wq+m2eIeZ49dfoyAAi66u+q/xsGAoULAeVfAHDk6qjVftiP9
zvBhnUl0dntOxHLXASi4KcTUPkPQaC8oEro7FG7+NeHUOlzTOr8uUjYxWtToN0XDydU2SudYruM7
e9XZNY2V9AUKjQCEhzN6yJVDJVCtZTB4jQibyhQ3aqYRG2bc+Xc2p2fYvU73wbw1bBUNXcZ3/X2n
6GHTaPCcUwV06b7Awnml50XzOamEpekZ4nWxNOKUiuQl7moHw2glKB5cghjs6+0yjoBeIHTtda5j
sbM4D17sLBNXpqZQgfP2ZxVRM2UEisICd6n3PzQDRFY0qERhCMVZ52sTFJ1xdvywJY4TAvyD9lwn
Rk8n09t2w0Xh6AlfTUzearLKPnRjH3GAtT+MmbEBxDZEbTQzeBJ0HdtA3FXoidxHE6lUwisvqeAd
PClnkdn976L1P/X9v63vCVL8z/X9/KH+tbb//S/+rO19E4IUtxg5a4Lk5EoJP/1Z31O/bytmBjE+
nfAZBf7f63uC5/xf28YBWbiNBvVnfW/Yf2D4IRVnsWTrbuCp/019r1u/A09/S7/RmbFpnMDG2tZb
SNxtgam/RYlFr2lj23DlT63RvYwawUte0z+92SjB1mntLtV0RY3bMA2YvItScnylyd4+ykZ7bEWn
4ITT04dnyFOuGdjMiE0nPoxNnt5Rdmgfgws8yqfL0B4tL3ZTmPxGou5qVGUmD9usoDSAsqy7wKU6
z7jxrVU0hC9a0P6BVqyNeZBwJeXFkx1WwFAw1pznoODYT4yG9ancYt6dCBrscuq69kfp4TXESoMK
UwdyOztGQKLQ73cufQ+1Tzkmy3MPyhkKEJsFREsplxbcpFkFSPnsNovxbC2JonBaG72xw96KZ+/A
HbrYpyFrIAYiPsjc/IkSgX51oLvF2EYpip4P1OzeV+Lk1GFobTEH7bq0ESNuLbRi4nFeu1xGPT+C
AvHZGFeeMNnyHxwGh3GurzzDe5esyyhyDllrky8e+ND8WNHYf5vrrIeThB3iCP/KY9Du2W8MieFa
mCiTMpU9JgwE+bCG/NIiqzjmxvScN5l5yPuJtf/KT47FlDD8bqskfcnmjJJgGbOT680X8jJX6TQM
LyoBFcUW8p1Z0bviEeNDB0ucn/0cb3P96Q2hnQLt6ofFbJ6SuXhm041psK/nZwJRn0nWdDszLobH
Fdox1bRG35o/KUrXhsmFnA7KTd29RyuIs+fDuGbPTml8o/vur1YFydQvkhvKOmCZQ//WVOpcjU19
LPpMRpiGohmSf6AWCRpNCh275HqXJlUTFEbxzPAODVenNTsAxr+crHYulbPGd5PfOIESs0ahPeCq
JONTLAN2htHCqLlSouemE8F/mcMEHXZoQTy4BhPSXbx+MnbkG8TJbbJsX88MjwYNXM2K2OozYzXy
UI129gnBZD7P3bLsZGtrDwlLhmDSkl+xGTe3ttY/2n0G5YeO1QHpJI/9TGZHWPWYszPBJKBZqHJq
e9j3ns1k3LHSfdcZ/j6pbIvop+YfRmf61dio/fq0b6KYZ0dQ0Kajiz1nnw2H3nDEgbFDnJVAQoSO
2DRmRV4KTpS9Mmwg/F/ukJPB7DDmJ91m56cri2dEzqd1rScqJdkGdq+92OSHArOY83Pa2hAppZV9
m0AW34fVDXO9R0ZJrc6brCVrMyyiuKYZBxjL6bnjh85rIxYQtO+mB6TNAJYVBoblHjE4aM5EMpYK
TpZRiOFh0cfJfSytQt4RRgbPyRJ9diPJT+7NJvNo5ceuCvVyyHmn8Ybvhb4mUP4b41yzGFaFi8lQ
N+LCwhsWT/3PoWzNUMTjeMeath6OI5cFqy5Axb15Xr7IEwisla61nIc+w+DYA5/xDwgKsjnUFocm
W8tPCzteTf23jgSa1bgplqx4DEP6veQKSos3+VtSRbRyumFLQ70pKmu0f6lFgoFUgbgC5lIdpswj
tt5qxkEYDb9ZMZ3cJQdFnBJLz2dQOQ1T2J1Nxz0wJexbIVtzF4MHPbDhn9E3X19nHUOum8n5psy1
D26pF7IF7Gcx2dhVcFd7DT0B7b4i6kojv6q17CtWXhdlhiRD1uVlAwrIzi4s9ZC9qobVjFa90u9a
iNhtaRREHXzTv5ZW2Zx1v9+zFzFej0MmH2jzao+FpdwPo7KzKCn8djsZQIEbGMk1wTQbxi5GBLyH
dykuTrw0ZEN7FSXsyt1gP2h2fJ1632hioanBXQuD3kHtiQ42ptG709oyPbjleFeicdhliwJkL1Ij
iHtG9623ImiMHVjD5vJWD419tMbK/9kZ6t6lCJoCVZjj0fT6V2fJqyATQtvBZj9Zpe5FxcCGB6cr
2X/HjUUdrfXaFbHfdO/RholqwQRMNjMxIkI5+5gucACY6CabvOJ21diQWTIYKfUyuFFWz2CuVc6t
xRoCgB3WeVIfHY8gYBNSmjPB18nybjknskgXf+CptZoL0CGYFqHA4HnqCwpuZ+rsINGnh8Fbodx6
eIQai44Gv5t/bAETE34GkQUOjyHJTBOLofTPRTbwLDaa3aBrWkRZDqy0apg5+Z6hnvws9yPTKxYw
BeDOVN+efM1Pgk6T32zg/qgyt9mt/jTshZKI2xd/RWVrNbsUsvWeJbb5rBXtF869S9nHw5U+E+pf
J5hEcIrqW4PK5NqY+WBrseT7KevFaWXr5whx3w9aCYNhhNuKE5T2mubxOw9FzgmVocWt3Trv6ypw
p1Llc3zp342mKK5sdmToVAHMi81pCeD06tdcAwr9BePTqSi+B6f097Nc3xPJV2VWybMsZ3R8gdoQ
GxjeNkawn3xWEiWpKDlLxIURh0QLFRA4b+TlbqCgEckbs6Zv6be/rD4r92xhz0T4rJeqY5mvKlT7
XHp8qbWzQMcOc//dDRb+EZUXEXkI5vFqSu/o/ef3vtHIk/CM9Xpkh4qzY/E+VLGAXMjdxVNqfPFQ
3mHVMR+zzMFAkaAnzWeP57qTlZ9GzTCzMpbmNFiVs89HdwlrFD57RUDi2tAxCvXLivLKXD5VCrF7
ZDEimHx+hgnD8E74rfeshLESM1SA17bGjxOwScUkfyokP/7YF/kbt33RX/qp9p5ad8uRm2J5JIN3
chjnh1rpJ/cDfK47ED75m5s7jzZz67ApkxvLaNTRBBVihnOay52tAI4D+0mtH75dQAK0EZQuvbez
1thhH0u5CZ/0iBd8baslyJzR18OkMQCYzTUGBz7nwJB6cztCCj0K0r5Hd7a996lQYJ4Exl8Z97fw
QLV8t1HBj7nszVu7ckZ4nflMckRIdlPBO4e+Mfo0Em2bK0JUD63n2w9ITZUIeWpqlBiGNELbUuU3
vgyPE7TKEz5TV4jNb9s5BwCSNrdM7fTNsVP+OoQD8IZoScxHds8IbPXimm3z/FXBgP2sE6I3E97Y
KG/YJm4T8wuymv1YO5nxU09yrQpXoIYF2xjDfJJYF9sgK9IccAux25+i9EpwZ4N6XKeuPcU8PEnp
a8yCaucOSuQVeYPejUZeB/NR19acy9kZ3a84cfEBGcq99Xs7e7FlZ130IbOjrprKHZE8iZBaQo3u
WrciQWc2D5Aruyxc+FPczIXhoYiOocW6vRzw93ZeX0U06pbb2svKQ6J3ObzJqd9vLaqd5OeiP+Jo
h5z2SUVQtcxeeJoVL7zihtcS5MQj/ev4KHDcnoQ9UfHGCITaeqQnjLeJEdQC/eQ5MbJ8uRo1Enj+
mnZoqQxuiJQYzU5mpX+mB4cro5qZH8+YHSJnTMRuhfl/38OUeEGZMHzZcCmPnmp8JEJ5fwumrPvR
mDaEf1c1oHcYIDKst5mbUV2tz36HGYEEgK2mp0TnCRtyThr8aPWlyaIMrqhxh4ytL66YilT0iAHb
/phib3Vek0LL1mj0Zt6sHqlsbkSQNQE6ShSpVmE5dIaKFLbl5NDoc4dH9qUZd6q01i5lPWdvtL/r
PdOByorIf5cnwG8iypltI9mwCs0LVDVVUADn+J6mTH2cKx6vELYep4raWNXt8FlXbDlqqcvGaA/5
vqspSct6bHvGKGP1pKcTigfhGofJq4rrvEFqvkDVjJqEELXU1lIFJPTs/aTX031p2cRwbFYmaBZl
xW7MdQwH9TowJM5rqHhzcmdIM4a/5uZdczsnKcAjCHmiBTUOyMGgWKhk6i/ozYYBE476otzMPLI5
hdtO1mPTk6VTPMYWdDCdOuZ+WvkMMJdxvWLNXQsJH+jo0CS0bWAdPEdnRBmUTo557FPHfjE8WJPR
SnrdPXYF9+InWOY4ErTMkutsHCFTcgl3+c7wEhKcxjDiGNNcxkpp3zXXY6/J46B8/WFu8cFXeqtt
OWZ2h3qwgO3UyVPHNRkNvZldoyTKwtgY3O+qa6yfAnYj5P0Me+CB6cyTKvw4e2OPlnAEY3mk4cRX
PbWuNou7nver8WRydIaKElzvU2Q8tMWf15ygeObwdN75bN7tFd3ID0FhfTXR8iVmWkIGggTIbtNw
Xo22v5cyk68p4cyHadLt8wqGMTRIAUV2qpsy0NPK3CVbEKEBFxmKli2kuRg3nH6OMc5qaePzM/5Q
VJG7HkUWqj893yW86yjO22U3GwTzh9I9abIGa8fB/YFtOX/fFcL4sK3ZOlZFJ4O44MlUNtLbTHTp
IUvMMeoam/BYBkoPd1w6fZa+NgJasW7NOfW/RN3dMk8HE9wLkjqGsRxbvO2UUkNyzWoC2QVGhNOO
66bdS3+2d+1ScL7hohSwRbKUva0q3QGuTTmNgHtX1PSwJNzqqGWs0kFNmEK8aRgGvBIGtCa0hU1O
09w3MSuote9qt725LsD/0uNGab/MqIRZbKpNAuTs325o1fSXlI51ieMs40HbggJtNO5dtS1KSDDW
ZYrOqisrJuj9yEtnWu7pxPs345wUu7xG/12A9YPRwG6mUE1zzoR+5xGkDpRScxNCxv1Qbp1HdUP8
gsKu9W5Q3iFVqRhY6iVo1Lz0zbffnW5zUozhqyyt3jSp3lrTZcpCQ9wixCCCRo5fJM4ULD1Bjqgi
Dqtz8NyaqCTU0X+UIf5Hug9uAh9yLT9Y9k53I58Wern5lZDCFQHoaFnbrzovX1WOTIMxj2h2Q18j
BplNLJxgUoIy8+NznikmEApdRJUIwhIENVDd1zNLFB0pmCEBanmN06zmamFBXReFGxodvVXAhcUd
/QchosGaB283SjGCMqTezgXjpHZr/8yekicf5viOCOh6THJP/Jpqjmg5IsEjKoMBgENr3IOkpCMg
iZSnc38mAsj4witc5BADkf5FnjzpoEQ0NDxWbjUyG0wxIGbtJ+c1SjG4wUtkrXl1QtA1Qkob1fIy
9lsAdJwuJvbnZ0qpp0xrN1Nl716lpFRDQjcUjk16iqe1xTI8aF1Uj8O7r7eXSYcykebGc41MgZ1C
C+WI03nhBKPkJZ11jFVtBzlJeCNjjdh+wlEBc30tjKt6Sa+x+7310lXHRaWPnaN/g7+h/luojupE
1o9pY7zRrCeQPtbWl7LJ8IikMyNyQc8z+c5vKStt3Sc1PI6ArgfF9ywHDAdO9eAtPZTVJsn1qJce
mRvBNlEwjyMASn+ZHlqdFCzjzjim7dRP095W1pJR/Fc6Z5zZPhTwnx4ALgEnliasbn49cm+B16UY
HhfuAUcU3dmoKSXXLJk56sQRH5V0L0Vuy9uRna0EDKSGYwYZFioOJMX1bvQg0O8GkUqkd4534j/w
f4Fo+zYS48HKGx4eXpae4Z8W58Xm5aqb08+4kIzGC61ANu7g53JdbMR2OZ/JFOHnEvozHGbGlBuW
ejC2XqCsk3DxYUCweAiGxAYdHbP+eCAFb4WJMngkOHM3TkdW6I7u2L4nHp41LviQ8Zw4FYl2iX1F
rVPa7S5vXQLpY88GWOHu3MIpAcfQ/mt9oeCTQwWlMjXCGPZRl4z3fq6+mDpzxcfY/Py5vm8tyY5W
tbin2mLJ0tVQt3J2oYFIhPmWrMxLplsK5qlGHr1j5SopTTZEhUx2WYM6cYY/GnX2oE51nyBFZDeE
Rr79JafYvx80QRsunrIwbZb3ItHpnPWLuWfkmQU5NtvYHvXHyWM9wZkXPBL50Ey/bNLCjzz7QG87
dhe6oh3OXUszSug5eQfNugACxsZpZpkB46Eojr5Ts4ZWqjBeTXZpjWzyh52b6BXWT5EW55b3o86+
E+DwRX7A2GvebOIoVVRo6/qzMFIG8vpSaB+NU3W3rii1Y84LD+iuSxzRKyDHuAVHJFIneRpBrj53
xF93xIZR4MQlt1Yiqw+WOb1bOCLxZe3T4aeWOd9Jpy+SpTZNnVva0PfrjIzOzlyS4jITE3N3e7gz
jNRab7rZa4hIuVVzoAtakZDomaesq+/sN1moi+I6myNpZGwosCIl95k0CI+C/rgBiGyPoc3L4AgQ
8GlJ7B9UCPYje+zNPmmX/sh9sOxYSdQ5XHnPk4dfRaa18ZiIUoYqNW89XcUfFamvEGGYF7LwSKSg
5JCOnsagqLlmALdZPsf0ihqin/eJAze9yzNnOFs1zx+EbviqDkk8zVuTqEyDiV4YNU3l6MGmR6G8
mxpph6wtds+dtNqrtvU8rEsNy7HBIOjxLTKPw4XnwpvTzL55M8FvfRr5Ak7ktcP6MrBNGXAbxzSN
aFAzxGOv7WIOKA1drh6UTHIC2NbW6FBJgXcRLyw/YO8yoWJayI7qBqR2XvNbJcRT5q0qHPedTUnW
k4oh74+E3MieaTPWHOUBXwwSrRxDHNfzoz3InuaTKKRDpkN4fBKa/wyRPvmyyThicUniZI7oqS0P
SzFCuzS50XZrixWVgp6DNxDgkiCpqEhDm/J7orzeMSK4X8jwo/VzxFmCwo1sOcAqyUjYz8lovOQ5
FXhkWzyw187WCWQ20LtLTFcPONx4n/Isa+5Q9MLVtrLhbKYtfZmK6dqlYwXupZCauBHVtBwM6ek+
h1dl3pMscB+QT3N8AYzrswGTGp9LiWSRjajx0TBMmqGzMXCXNjWP1aCyvdqgZkzZt7MVGQ53snhj
wQXNET12fpLf0OHveZ/4nVle5eC67X3vTDafdAXEuAfZC+FT3cEnZT7IiM7YmbShnsBFJeecDESI
1mD5LjHWvMW6olBbHcaHdDo67K8+GfEkz9qXwbFR/W6bfaBEeZlxSUUcdrKdSFR+kNoEwInW6FUX
z+5pnES/kwxBr6Ve12CZ2ee4btZm+oFWu595ymZVlGqTxbKuFfM46WGfF628sYkTHatUT3ZqXOVh
UsIKTYlsDKT/1F+8sjJf6d5qvMQm+SSo766JFCN+7Kn+aWe6dGm09GFJ8zFEAIIMgVkGKCxVXQYc
mNqokwxBWHJ0UkDJ2rLqpDi5NczcSHdZS2o31b27enbm07TY49nRXFwmTlxG6It1LhrfDek3d2fW
LQaceG5xzV70JzBRHXkvhoXcWz6SpUpD9kQ5GYClTwM9ruiVdcuzlpkxHFI93UmDAbbGhX5IR6nC
sVuMU4Hyne5sUS8GjTb2Ec1ZjwgGuUFvN9SyYu3estKC/tyn65F4N5tCLoK5O89t6APrfllGtW2M
5cNsp6SSUl42OcAdUuYsJl5rKIcmm/ENPVadSqNJ93qBCclv1hvwoPzvIr5XeKhup76mDzwWz74y
Xs2EhzWBiV1mmWtEp+TDr4mM+AkDj2lKk0hpgF9rV2v2hl5Yx4kVMeLzDwAkOSpYwOswnRLuT9Zb
M81IS+Tti1RtfuckA6kw40hh1R/G1RrftZkxiGFqr3AUxV6sVMhzq2UHOfKinr3ho/Lz9n4a2vuh
QcoWiMbj1a5vB8G01G4JJS4ktI301NbCuLZG7Qs82HBpjBpIKs//IGMMRqPHt177yR6YWs/Xo5Qz
S6fty3/G1r+9S/9mbM3+/4bg++9jqVcftfrXufWf/+SvuTUgU4bCrs0MEQiasUGe/zm3Nv4Ay8I6
PPeFboEr/OfceuNQ/ZVDxY9E6YyAkZaapxOm/t/NqTfixN/G1KxZ+jQ/AA1sCEGylf+FWNYCginz
ZHauqu0pHtIl1Wka6LzUOFQoTfZt4EJdIMrFekcT3zT0b+yws4WGUWXtoaw+lk0rtOqseJl3TCBI
11nx0YsHAuaDOdrwVFvaGTdFCmfM3VfdiMv1pie+nVJAGzzvQ0uxn5vse1VWzvVotepnkUz3vZW5
SBUMzQ2t1HH3peX7yHlaYjDGujxq3rrq1xREGfA8X69BrgOAy9cDJPRtGXvWS7ZUlaD2p8+SqWPZ
ekN7l2tx8di1sf+mytVMw061sD66bszlFTuaKcvMi/+qAVxr+BaLs+5mvzS4S10Xrp+5MArchmi3
RVs7b63rTpHmN9N7NuLaY3eAdNaw2CHIQGLm+WjQDfs/7J3JctxIFmV/pX8AMsAd4zYCiJlTkKJI
bmDUhHmGY/r6PlAqq6S0ruyqfW4yzaqSc4Tj+X33nltJuB9r93O9z5YiP4Kijt9QQJsX0UlRrY3t
3pfKc7/k03xLkoaIO61r85F/hDeDsiVpzEQ/YE02gj6V3nZaB4DNQJ73QaUkq7Y6gg8DQoS11qwd
/CsVIC0MYiFUKhST4YCiUNwrQ3XPWHpg6bfzuKfNan7gCJxPGucOYnRCDIK9v5Yc4jxNvvJ6sB7g
Vg8yGCqh3cVF6cKKsttDV03GZQS+8RQvTrJnHV3dV1QbbJEE4oqpphcYsxgxtCpHRrAbIe8qM1K+
V+f0jeLnOA6JgdxFFytuU2WqwBClIkPMOT9q4bSTo1wOWDqRD+awWd6QQ+sdsqu2b5JmOZqxWL7o
tEMeY7zTj9wqwlulNdWlIjvB+byAQZvUYvM43E2D2Qum0j//3WfCHOIbzRI17LREp6ag2TSDR/jz
lNYdiagT4SssX74DKSP1dqLVri6NqKO+Gca8Gykej6lQ+fLPifrfnKhQNjmS/vOByrKkat+/Vr9a
gf74mJ8nqqFzbJrQ8UCp2HDCVjv/v05UjxOV+JhFBgDWrPNvJ5AJaxouPiwXwwPzZwvMSL+esKtz
yHYsSzK5ef/LCfsDGfjrAYuZyHU83pwuX45n71+wW2uzETepRTu7f7ycAEe6s3ppf77i/nj9EUF1
43TvdD1S2kV6eTEGmGApcQf7Sx1aHZ0AsbuZvCk1IXXe1tymI+hF6H5Eh/esCLGR7FER8M5drGgc
uMPQFZKGDCHNwtf6qFsDKAimXVWQnSLnVljzQhkmJWEEsqn40QbbLYsTAC3iS8A3iMhhHABQ8MqA
Efbbirmwnh+pQTEMiJZmNDoPkBpU7N1RExqMxFlXkJkrWOhYqlyLmhSFykBRZo5cyuerxv2JEf7H
Pvf/m0OEruN4+89vG3DzbZS8//quoWti/ZifbxtX/4DVDXWZjBrvDt5A/3rbuNYHDNsMIs76RgPn
/e+3zUpQ/vNtQoyG3CQodq50ADP/p55GiqF+n0MgAtAFzyejm8IE7mTzhX61y7EOLt2QPnbcB9Hr
iHV103fYMWDovaAzPrKSOJTEX1/cwngh8WvslMMsADmlXxEqhN7FUY48NLsVsFIa7Ne8FbrSzjru
phXE0g9e+30OgYRXMZiWagW2aCu6hRNEv2pixbms1z+ZIynWLp6kEK03UJFzZRPk3iN0+Bk7wHM5
sn4AqbESFZom6DQhfCo02pMOqKkZiru5E9amXoEzKeSZdkXQsP21/MoZHcQg8h8CnzqVWUBrWAgD
/IFjM65AG5qRP9kmz3axwm6cFXvTrwCclBjCVl+hOIbdwSJZQTkk3QMTco6CoENdFoDfBqhOAV2n
InfBdDCMfruid5IVwoOzaNnIFcxDpoYE7QrraVdsz7gCfGipnoIcpk+/wn3MFfOTrMAftM93QcB6
pdicCFIWlNDA8UlXUNDSl1HAX5V9OhChAppQD1VoqbS7cMUM8TieDrUEWTM5lXH1VhxRv4KJwNbu
8MI/LEZfXDOgsJckdylrTV2HpAbesJuW+syR7RXpoaZsshcFUOEBjqV5lB2tf1KWE0Ua0dA+NlIL
HzFgWmczm7kca4XVHiJM7ITy6uS2JV/wEnqkCVnue89TIbNyU1WKARfj1CUevCLoxgw6AzjNB2ek
gqLMJaGAXAzWoZdu/eqQqkEFdob8ucxK62zlgLB0yoNvzfJHIJY65mwX6TU6HjqcXyfS4JfnCfz4
sQKv0Ym6PLUs/1FiKr08NdpCiLuhh4ktd762hRtVkdzqgG/OM2P6ToxO+uYI4rf+FEaEagS4o5Ql
8KMrafiaiqR6NLLKuJX2RN3IGpCMCOS/1TWT24a0AInOhAbe3VrmGfQ6lSjc9JNb1Wf0p61Li4Bh
mL/fWLQH2Y+c2RZ0dNbgrvne6DJ/nqHAfG6VI4+alAp5oev5rbYV/008TPf8AjUmvTnhbq0TrACl
AgO751Pi5ZmVr5fRfC9wgT5baMHZweoGfviGnuWrk+Mj3BSVDmSA5NK5qyxWCHLm71C7OZ/QgK/f
BDzSSvyTqApTX9SviB3JPsFKsBLCAULgy2N/6sT0OiK/JLdzA0eDsXDYG0rW36wJ3EKoKuT49TtL
gde7OxxKfPoca/BDtLCJJAVKTakMY/fBXC3gptYX3/M1x1xatKZ3qYmNw56BBibrD/6D44DXqf/o
sIH+nudhKo7WwCHiQ7GfsZN0a5WLmb79eKWlFu3zG7IbmNCMmTh/Mo0ej0yvuhtrjxgwuh4IIPgj
z6xNxacRixlGr8J0HlorMo9VFk5Xg8iz37ZoJiJSjnmoB/6oSpnlSStWZKgIx3pHs2z/tXdiyiH1
ykZstedzExriGpK7uI6NVgQxr0gct54VvnmCDeZoFfSLgaDiEw0uX9GZy2yXR7H2WC1AwRebUHgT
ASuo8t4Lfvy1WMKT64lYam+7LCx7NJrB3VYpv7nZMa2L0XRmuKEdiGZaO+LTo99FWyenCHyh4WUD
Iu3VhYiDvbVKtnh0bunnuh2a+V5p3dPQEGUfrOqtTAhzFDYWFfdG9ArsRXQfDzoJtT4+FGn73Rq9
sycrtFoC46VwrlMnCdfH+95enqO2swk6Te7Fhn8FW8kKsk7DNTNXW1yx1bXnOaY2QlbkPBLDvhIO
ZimcGrf2wBmeGW7k204t0aiBgycF3rXJ88cp9buwOsnSCe+NXpvujEmkO7eKgJmhd8d7u8pS4k6D
Gcw1bdkO2MXDMCB/98QoY19rja/0iG6HRnzD7lGdG26s53RRXVAKFk9Q6L+0Rn8ouW7xmMy32aAk
se0ofNUi8dJp7pdZ0cSwlF2xo2GuBxZbwskv5OzDlYCyIFoxbGvbrh4VRvntQJrhK+ZZ0szg6VYs
567u8cimqj55TgYng5SSZS38gRObC1KDczcd54zKE+OjPbP+JNN9zKa5OGLQkoeRQ9jXXVUHU5lR
3u4paA1LvdNYdjQ6m6mprPTLnOnOqeWFD9zL1n1rCF91o2i2GpWfypi/y5l4WuI63xIBIsYcG/3N
sTWadbPsqYf3/T7Pmgx4r3dUBDfuVlcIqyEcqHXyNZvNsCycB3LIWZUukmy3i3a6AF/xwsem6L7G
MzVqeonjcIrbkY4TbsP9lt3mapdbyM8R5CsvlWFjoxyzB15WVOHaocGidjaDUaiSq6nS0gMtSKRN
Oo39tSHqb50lsgBrNOtmpEZZ1+8qr9jhup1Hxfnwooe4y/WKp71H1B5OuvpCc8krsbG9Pjchu7ya
6gkyqRtLgjRBMtRuWtP6GFIOsLV5GwIeKKMXN+U5XHbS76F5XmjUYwvmZe5X07GGqwOC4GM2N+sM
QQ4X4J49n8Y+HAH2kJrEXD2kH1OHfiezM+kmp2H+W9+2+clrWVSVURf6RNcgdtjmuMs6PjbCMkHh
n37rhGn1QJsTFN64YbKSKzi1bt3beqjHNyyK+dsoDHlr9xihLSasDau6hcpFRJBN0SfAleISb2MI
jo4g4JRGlwGSmHHqRGhMG6p57VvhNWrnRg3BH9A+z709aXc2mQRuGfCE+CMSOApbXLtDlrJwsVrs
z0YZIoI3Vi025jLyGJxUdVuR6D6ZVhEGmF2LIOwa6jVBmV/BryRpgHW8LDeUH2q3feRaRyaFjLV8
1QTJlIdbMnyVGcTt9L0shLgziqj/OLbJSBmj03yyG/aLOWehDzWB5bczdr5mYvAER3zMCqYwIEva
Sa84wGpDNIcKjPO2xgoDCm0OwcIZOKubHEqomX92uhzvUhuOd5mt6TdtWLa7XFbtvhHQj9WYUTJe
tzcT0Er47vtIRGAi3OU1bduqxlo3wHcc8UgsdIrSXtrlu8LUuYO1mblfquVmSmIMwBDfNqzY5c7K
u+F+Wc052VB1PLkG9w4FL39s0m4E55dpr7L3bmlX7b6NPwQPe+53Xm1TYJrTbazJBoNrm6wmf3ql
dToncJjrV56gFdForJe1p2ac/uxdZD3tp3FCGZfL42xL55b2b9KHrktbZ2nsbQgMbKXJkQ5V9I0t
1V72PPIIw+RYMVIVTPo0nRKspVtSZyH5mPCSRM3VxJHoO6wUjvNiT8Q2gLtD/tLizAigHl29jNPV
ODtKs5O1BifOic1nxZhGD9JOEf+F6kZsrd1I7erG07SIR0LUkELJPJ2dBZulfJ6OE/PvcrEYVTAv
REVmBTM+EH9ya4EHTmHPzzc8t1XlFzYZmk0XDfH8Jc7ccUDKInUgDqslDdTEg0ZH5K4ovZWIosbH
0FmWwJiX7jZKWSZhLjFv4G68NItkXVfb18Sr2IIufX+NgfqxQ7TSu8aprc/YZOZtKsrls9EZ/c1Y
ONouMYZvbTTDqmPnceMiw/mOC8fGnLj94OPs7uGgiMuIdegaMaoEIoRINGusHV2CNE2h0vexj2Zg
Ya1JTjSkxZbFMdsunXq4psNSO2DPD9lM8qisc+pOzGSvu96Tp7HCsjLzvEgGbagZX8l4UkDfFAQ9
SfPmOMHwA3cgqxLvNEeYvoLUWIf+CMLIZ92EOeNkVnoZx7Jjjmd5LJE1jm3qPep0zui4nIdFAyXZ
Z0QkQrLfC2noiwmc8qHOi+VT3ur5TRcXX7iARpgzRaNYYPcrwqSk4jwp4y8U7PHU15riqzPY65kV
9v1Olcmwaw29fWV8sQO2jdO1x/u/ZQa6yiS17mTKnpBtbS5Puuk1vjMvvNNUOT7balTnppblZckH
MgYst/O7rMT2C9BVxp/LpsNbEqbJtCuMmEeB7rUA2bgasmQdc8/96kY6B8cQWcYVFJf7qW+d+nWR
Rfl5IatE2CeUq70P0gA5IH0sn8qVdmmt3EvaaKsd4s8UuMZyTFY6Zr1yMquVmEkh7fhqrBRNu1mB
mlYZJyzI0xGXCV/8rokYStIf8M1y5XDKP5ic/U9EJ9PzSuwklLTyO2XHZrdtuuF7vPI9nZX02a7M
zwn4J6Xy4FVXHigsiEvWqoJ7FqxQu9CH+yju66tcSaIZQtJmSaHtWStntF2Jo+nKHuUb+8jFL/Qd
L652WgqhNP8BK/1HK/1vtFI2Pmsb0X9WfW6rto//j/8O3eY36efnB/65g7I/oK/YumXAjXcg3fy6
g6KqlDWMB33lZwryz3Y+Ey0VCi9QQlsXOjlaVKGfUpBpffAkBAfsFMLl1SX/p50UiPLftCCkWiRG
pCfhgMBwTTTd37Ug03PZrU+OuCzsy6KFuiDqxRlhBLFzbBlav5ZvFw6T8OBaabNB3Vpe8Unb7K8S
49ANtXahXFMFM/efXTQ3tMVXS3dTReUhbqU6uc3o+IQ77HOlStKWZVdvqzLSzrS8GJuaRMEjR8D0
MXUpRt6oKtWAaTQVbtGUZumOIlE+H1f1pklKHhYhQcDGo7OJj9nEFmHABFgSBd8naiCgEzch8k5z
R6O07/B7JC5dG4emq+UGbDuUu9w+GdgEQpV5fhw1X5XFDk6xjNgWQ5tuyZjPN8xHERorBZ+D/iXm
Ebhp8k4LwjQ1drO+EFqveIQTet5TSVp+8uYhDbo6SzBz0Xo0tXdtxpirRVn/3ope7nKncLc1rviD
LGy+fkEYld+U6fel6+HNU8nVYZnjF1jmDiBnPeyAc8hoWA8oLOldO3vIMzA2SExhdFPCwyqu10zw
uiX9KFmPZIRmoKR5d8oS5yY2PEIqsriSoSOcETp7ABFAKhBdwlysOceKojsZ6b4I9b2G5Yl43vxs
9cO8Hfr1hyCt6veKiGE+q4gVpAZg11WfCwZxOU3FqQZhfq5b2m8YKwOaYnZaktc7rtmlrxjDNolF
6rwhauOFHrohU6ebEWtJllB7nmVC7kRXVtCtDl+ppmkHJ8/baOgQR1HF6ZOT1suxM9zBZ+vXID4a
1k502ux3k2769MyTBXSj/aRQzhr2hwHJzbd6qs0zRMcjTy74UiBkSa639DDmRJ4kXj2vgd+Q51qQ
pc0TLu9nd1ouBEwd2uNsc6fRkh4Y+kKqCyPYAugtbXpzn1Zhux1TBmPdS7FtC+8bW6/UR+W0fF4T
T3mHDWXkJQHy+MGr0mqnooz7Ny2324zSy4EHDXvX1WfcW8dGpMbbDBMMQE53xmn8mUvRFEyxWwe0
vc8Hq6Q/gjiju4E56AHzYuByoto8xAvbOxMAN7Eh/rfMaF+0jqRE5kyhb5cdbTjV3OwNl79gJcEb
2hTU7kKZfmyFHd2UelzspPs58jr9NEUOrsLa1p5yXElrfDc2fYIUyZUgpMvtyNbJSDL41onXPq3c
Gd9wvOy6OK7pd91yg1CV71xilAxDsb1bMgguFjp3wDIY1IfQ9PvEblngLVkRGABQt8rKhB/DZSGd
kNpHA9TrNonc4SBEdOzZYZ47TadDQ8T1RwVjfqdcfNfCTPHJRN7ocyNqAH6uooaV6h/n0NTRJth8
F0MDeDmuHfwhCwbwJSsfM03O92Gt9JPRd9zdaIrgST5qGS3mtTuuahcr85xiXjl3wJjtltuQRtjT
s7VLSVXKvsrsW83MPifgXrdp6ebHoXGgXLqD5jsLv8966ayDw/6WS7T+Hbag6yMjWScGLmzRdv+o
u8lRgTegmdxhW9xaV9odm2DUJQE2b4IyPOa2b5rsrUXjfVF9fk2g9YWGus9VCYU+TYz9nGjfCnOZ
d3m7nDENX5KR/x6T936krwC6WlkC69PaLQTY2kd0x0IMimtjmMl7U0UjcJLlsavEhAt1lVszdlBc
eZGVdJdBNuF+3ZYNLym8gDdYBHaqEO9eg9ffhdCyHYrOegwFYaLC8QI1a8xiBokEs/k2dJQsOwv7
YNiG3MBzwziFLimDFE0XEgVWQ0zoKwC5cA+x1O+qXLzZdndJIzM9ArN4pqgKA21i0ws7S/sIgL58
8ryB2vd29OuagvkYLsgQIi4AenwShjo7Zt+u8doTCW26iKsqv8mhTlBHQgwzLP1Qxu42bJrvbat0
xGGkMmtR1d40aemjfi8NGiqmLnM+tntzAodhydA75JA3Oxm/eTMz+WzOh4rKhDPqnNoNYm52GDfW
awtfsVyWp2Ywk3tQsZfU4CE0sUSnMJkIWWZEdGIpy9rohfXIDSr27b5JznPTHaO2YSodwIRHvcL0
jq3fp/vbfs2z6WUMFSbh2flaKYGXMsrJNhLs3U/lpOG+DvFbFoN315M11SPoA41prt/4eFM3Xbjt
Wa+DKLxW6VIFo52gMiUQqm0TfHKsfVJejSSsTV8lXlPOQqWO7rC0nDUJlN8wtEkrTMkpHkwci9CP
g9EFPq5at2DhKeQ+YVuyi5xR7kSOYDeZtbGPnPTTOHDPgNT4NPfdmVwn6Rkt+i612jnlZR7uNCcn
Y1yjellsAALDLPSTW6N4VSZP8oVTdddiP/VHd15k+ZmcWtl/NBPs8hmvWaobSCABrzVXDm5DPeVz
j8ne4a3YkNqBzc2rr3DvQqv1xhqFWmTrm6xKC6uTh0aQajSgmQO6+ijVWEpcCTQEQYoPrK7i9Kbd
YalHyKWlCK0rRETHbl+rYSopmWzl0BEEYMx3HYsEfJ5owNLLul3a9uaf8fq/Ga9Zg7LF/Jvx+lh+
Td7L3ybrnx/z51LV/OB4UM4cE3fWb9BB1/3A1Rnkn5Q/4CKr3+Bn7TVWBMfySE/iCjPMP3qc/tyx
Oh9wFYEHtAEO/mFg+Atk8G+hg+Zf2nOwlUmD74I1qxS2K/5aPa1EFycLPLWVaDwRA8xJyKRw9FdW
AoNQjERKY0I30z6itGFkUBDGxYbZerPYoYmTnTrdAEjs8NVRRnG3sEN483QYgNAAMtjDfFThT1XY
o4os5VthhfLIwlfcobKR1iAcKG8WA51rm6UFF/vOy202O+6jA53z2k5quNOH96JqW4TDOHvuEWlf
qywZtO0y5JCZMr0GG5P3xURFLPZWhCtwS/4ENm3ayJ7y0oA0TPY51jIJYLAtgH3NPNOREOYESbuZ
0JRzrK3r8lXuIH8upm+1wmW8JI4nmbW9lDoVl2dH4624e/qe44tkAejyUHYSdoxlbsstsYzqS93V
9WsFX+pWdbOO2S3vzgwy4xfCT+UrCWkgp4NL6WsyZs0DHvToXcRCUB6E66tAEx1UUW9tJXRu5+54
u0CMvrfkXLFUdafVklWMzj6fkuzWBRryYOZy2dVz789ddWQGJVNIufF2KBWEdXPejyJx7lnFeDzq
ZfFl6gA0yKlw7zHI1Efwyf2jhM4HUb3rAnOc5SFcoNWRN8vKk9XDVknnRZ3daUxgV1DBexqWHPqr
HgE8Z3punIuL66rcttqcP8uiVo/KzNpNqgxs+kRtjBeiKeELCcM1yEuIpCSTfRkXlDU8tzbVfbO5
HScId0tkqE85z2MGPq9ocZO1zTnGtf/da70Fetnca5nfEXy7G8wyD2qOXhJkMCLKjWE4w02uTa3B
YKSy9+aH9AQg28LdXrApERQ9vGFvz/OVcMszLmtkdM+9pjR4iM7JNa4z+UlAdXrwFouvhkOyfTQQ
AHfg3syzIdJBZ31bxQcoAehFM5qs6IfmMGLOvkZxQQsTYO9XrYzaE2Y879vYjk67s/UiMrnkjG4C
JbLxrl5qL+OWtX6lvaSRtO+hMqwBf/iSXBy7Jfti1kzFG8WjIoiwBPue1RvbpjDKJ/6OGduDLr53
prS76Yw5PjlserzAqMbmwmBh+po9R8Wal6UUUzb6WmlRIVs3/P9GFZk3TAWKua4q6tu0BLRCdXDB
uxzWlpHils8jb72gZhOt4OyG4K3xr6o0or7fTN4AV+NKinjS80up6xPTH9edfkH/xA4aDvDSr/NI
wv4U06F3aEb73mD49mvTWdjS46yHje09TjnvnqCbVP4KmG+mUTwcckpDTK8j1yaqbbmOc/Dc0fjm
xABHAhmRpUKi35o1FuaecOrehHC+6aqOy0tGVZMXDlngSrKMLe+Xa8gNzNmQfc0/AtORxcVWvZ7e
OwnrMc8360Xpj+bSsfHOQUCUFjGsRjuMqn0283h80DJ3bXlq5XiU7XAaIvA2FSmPfYFZ0M+nfNnX
qpgfmsoVR5UCJa1cKzq6c5c/jK1sr/mYTlszS/GM4N0KnJo/JCzZDUbCZGM08S0ApI0qsHnrfXIZ
0hNPeT6T1BrKGMMm8BLxatM0vbG4y6Uk2BVNHBuD6AyfBmvWxHr1OTalSacX4RiDX8uOxFB3l+jm
q0fA0sc+4gVQ0rUbUEvhIVpP61npn0qjJ7gaIfFn89e2G84Q/PJt2OvnNCEwRXYpw4rexR8nya4Q
QPKzy8x3LNz6CxsX2gITcdUBfqL1kk2X7Z09pul935QvyPXTRsxnB7fArtCrxyEBi1NMDnOxTvyD
xPrgizIfoEdPtculBOl4toFUqKFrQInH9g3KQcdkQwiM7PJupsl4D27EhHQ7Zw2Ja0dHScziUwtb
JuHHq5fXeOq6G28auUgigwteRgByVH8hIyg2uqbKq041z16zSm1vsuHacs9fbuc2TMGRVMbADcKq
HxqwVFe5tFmMVNHnD5k2jRRWtF+dKtaRKyIG7cJrAq0jNI5MMtFyOgDdYvzk5ffkUHrkQxmnv3uy
6GihKolSnGi+pUaJvrHBaD8uMIS2mmV2bL+SB6vVGt4SAHXbgXqzos2KbVvkxeOQh+GDRa3RxgRX
z91Bn5Foh7MX6tRwCRm/51P4Hnd68yBqZ7wXkzedk7aTVxtM5SMg7WLbS/vUOcCl4FNx8mv6J6uL
QQ5p/CNOJ3Qpsi2+yJwv4zR0eFkJeSzYhnZyXrydGp38u92F5e0yBp1a1AW6pASEpzrzljNGu6R9
4oD64mZwxf6S+6A2s7N0KB+zQEXsIQLHX8w8573lVV23dTJ15UWY33qVnt9TTACmBe4oke+l8w1D
XytrkZlE2h6LRcr7nGCDr6m5vrNG480aWjsgIJs9Fh7bFwzV4lNfmcgtwBQMXhkxABPmAkCCJt1X
mJbxd+MMRaBrkzMeRu9kdePMNj2ZjnbPI3LKFvuo5fj0/X/m5P9mToblKf7Ws/uxf49/dR7+/ICf
QzKGWly5ugsBxDYs5mQk7T8NuwbyM/IyDZFsX1jgM8D+OSXj8uXBbnC7+ZfuLJ1VktYlSraDuddg
qP4fxuMffam/OXXp/5W6xA284vp++JJ/tSBWWFMIk7rzjQdbbYHmMNbzvCvs0XsuCopnsomXEvud
qD53vLG/GvNMFQv04fu5gQjPFqU6C6Jn96lS+GYSY7rGFBXdo/Z24I8rBjksvLgGdUXguyhsMxyv
mgMRn6iFN7iYdImLegV4hoKJyf7DxavnoXbnFYCaTlWbglvZCsOo3O+yduZEHUYbx8twjBjIGdpC
Z9JSTB5uMzzWA7/kR62EERzUOObNIEpH9Bp+lyaxTCxGeCy8gaxjDSgtKgS8TmoB5v7aFmbBjjpP
qMphy9YQAJHbsbTDJxbn8dPSV/LAD1X5+aK0z2NcJNQfmaQk6yJO4TNbt/0EqmWxsKLFVajePUNP
Nm1X4ANLCOhubZDdW6+iiAh5bFocgU0Luwb1O5slg4EVjKM+NGdBUrg0Vp1ruo2jbNCOaFkQcrJM
i8h/zIZaAAZFWbripmpLOHuRABDeD6Fe9c3B0KPQWBmiUASz6WrnetLe1KjwkMvJHQr6No7/nAj/
zYkgTEznf3dzvouT3xz8Pz/gz2uz/oGbL2ZBpFiL1k/2R3+eCK75AU+HAQrdZWBanfr/PhGMD55j
CZvVk8OBxIf9+2BwP0hu1AaLH2Gvh4b7vxwMfy0XZkHlGa6wLMeQHDKYpX/fR4WjhgegtKzjMOl1
6JMxyq5xXocnIl5UWc9W98ljsbzjCQSqjvvNCRpH/YqkPX20Slykpp12n0DHd59I6Yrgl9/k/6NL
gL3brwmu9bsjM+ZZfIPs+bhN//7decptQ2P0zCMohuqdyovp/kfbGP1DmC2bJJ/3gAXWVvoKtsjf
f20p+CX/9tVdKS3Saus+0XHtHzbyXw/NMEaAs1UCmCkKXwpKtjg4VOLdZF5bweCoYdwL3YX7K2fb
OU+ml9Ck0SZv01IuqAhdM/j1MstTBGQ/wBSa7/u8VVnQNpX94LB/YHOtHAsQRUE5Ty3rHVsmc4Oh
C9PaVKBwmkNX3MUCo/fWMRDYdLdp1tiTQyusWjAsgU/XGtQBMPFDaovXyOUKVtGHQzbarc5OZy4B
VmF1jcsOtN5slgPxCghwJNw9NvpeGKdbmZj6J61ttQD4xpMiaQmcbGlQrx27Lm9bE+CRRuR32LQV
DL2ZUhhEgkVu8HvgnFkcIhmbKES2Jx4PKw0C3EuZuoW10WDxXKwxZV1Cy8Enl7JYLHB6Tt5IN+Jp
2PAHsFcPz7wbY/QSGrsSgHNiBOFhi+bqYVp70LskWVs2G/2VihI87iUzqk88wwtGJSmFpW3VBSvG
W+k6hS7oCi7GNlw6M+6fDG66AUz1UR2RoXIS5+DVrvSJsSDhMtuF4MhIrBZGFroYSfoMId6yawNM
TLTIczm1OpJ+lAhCguSGN2lL3NWvU808sEERlJCawM5Gy3pxAK/SDGWX91nZTjsQ0YL2JgtyKt24
6N2RTlcNjNZ21xJhvZ/pnNwvcIy+NrHAvqYnO68fBp93qne0wZ1cFzEPQAkrlZ4WrsG+y8D4Hjt9
fVgKfYGcU/eHGQsvuxjRRwSKUzHbuPTZb2DILDswIKlxhtI/neixD58JSitayWLk29yx4m8mD6I7
A3YgxbGlU3wTjgknRiyNZJGYQJPzjKgBeTgsltzYwNFSHzT8YxxpqbxVWaIsqOMhM8Sj0RbJVG8Y
niuKlmTYRFtmc0pq3LrPwNHEIebXvk33Qq/Gr1k2FLQsZnHBA5p+7UG/6RqvTd6HBBTtwSsHU9x1
GMxOC/jJY67LFHww/AjqcixRvS8IF2obemoiUc9lt/9Shtxc/dbrGxD1TNRJ0Ku21IIqZOIZZqOc
t53u9ITAKeNIHmdszfNhxrTKNSakc5K8PnKaD+gvqt9wLTPuZ+uqGbCKBTgiGjP9sDRRzKOgLy9t
PIKVxU5evXcVTnKjnXNe6hPU/znrsitDyHoYxvz8WPfKO+ywzq1QFfRbao75au36s81xaD224WKM
QUOEgi3SYHaf+sROTShUA989K8Pl0FTTcki4Hr4Ss6heoYZ63cazBhLa9F9JN+h0RbRR6ZP6rKfs
YG5SuBb6rYdWoLY1M9t7S24EnLuWL7sfRzn7c35PZqoEkUuXczQjArEa3ZbnvKOZqNpmRBRX0FQo
wpxqbtM05ncLTCsKivuHkJL9oa7klBegtVTGMg4vGIFzVBiN++m7mvuCl067dOeqxSbZdAbf8YBt
TtuNqgf0Y2ptvW9ckd/NJdb7jV0losOWSk2bSiJxZ1YVbyymyvyutXJKWeiPrizfnYfhOIHF40ZM
try4FCT5MSnxHfDaLWrzWBqssW/Npl0N2tIKlV92rfOmDSX8SH45mbfNIyhZxGQwBCNPzS6SbOOM
8B+16ja2sez7LkbxTcgUf4wEM1s2dtVn7GsfcY3Zx8HzUmtv9CQ9gE/K3NcglQ50o7oNChkIs2Ej
KjwTJgL0zlB6dhPLIWxWKHx5idmEPYlMTavNX1lfrKG010iLEdN9AHRKVNqCxdCaLiaSxTmMoQor
Z2m7DVuZ/DgRNLMCF4EQinzeHz0h/i97Z7KctbKm61upqLlWSEopUzoRNTh/7xZjjBcwURhs1Pep
9urrScyujc0+5ux5DYAwtn9JqWy+5m0ghzCBsEjmnAG7BJV+B/wLZT2nLZW7lX5v9Npql7h70QoT
1wq5J3a/UWad0XKJEc3yvcMcseH3pej/l0//9P8TOJKBvBk3/t/ioc9fNlx+/MY/Ukk3JAZ0AxlS
mze4JWKj51TSUe5fCKmSa7o+rG9aHv8TNyrnL4GwCsmlF/iCKg0h5c9+i8+3fKhvBDU/ezj/Ttxo
wtZfYiNzO6gF+B6VBRaBTQD7MjIL1LiUuIt5Twm2exn0kjUSNqoSrtWCZNEcRfcZlo360C+iKLfg
inz/2xwVTUX1FjyPe2gsY4uW4xwE4LCiKISPI93sZP7Y2aWVLVsYXnKVbAFIusDKESMOtVv6qbQv
d2Bte2DOSjUKtTcbDZOPicYWdV9kA669O2+h7mhshW0/OOL9lLb+ZgYkGXZb9CrxQDpUY2YkblHq
itDveTt0dIyywD/TbYiDaA8YuSv+kHASur4cHaAuTq371X9q+mkMSdPoIkNmAKwq8isMVoFxb2eH
M/Z7i4HbcucpZM27rZsMHc8DxS+eP759S+5vtwR6nlTD8wNfwih2Xt0SwQF6/H0XPzqF7edXCHTH
+TkAlxZyk8FcgVWCLo4/OHFOEwybPJsbDH0ym9D6oUYbFMKXGnC2PC/ssccEc43iFa1GeDCwPTQa
zOt90skIYpZc81Zer2uOPPMepi9yAPRZ+gFC3dsPZZKTX4ZZ2QyyjzJCQJUklKyFl8OMO92cWnlR
PdkTUtwf/Cq16tuyiOr15u0LvULtcSFSATQtaCYFDF5gBvcXwwPU0VrMTOfokc4ojIF9U0Q5aBjX
ZoXPQmXeOw4IXyTonPoFPL7GidV4m6d+lX1/+06oCL16ZEJiMlLQg+AIQ/kqX3NEvNjhnMnHEdVu
ee0jiExDoysthLjP416uILXevqKZGC8Hmc3Ec0LBJKRcqV4NMtJZRd6kvvsIzgjR5SfXGCiintcQ
m5/H0Bh47GKRpi709oVf5aawd1GzAXIZSN9l6MmhX456VtdOTsBTPtIr8zG/Qriw+li4msW8pR8a
xc27OVwju7ysU+xX7L0/Jvl6n/WqacSmLNg5wPsToobvs0xitIHoszEeykeAv8tpmDwPnuDbN/3b
lKQeG7DxGnK9Ys68umfLiS1VF0p8K4bWsOvapcEFj67YGi3TH97M79di4oN1paoY+JwUJnv+ZVaK
rui7MMv7bzO8JeSAMlUE422ETCtT4u3H+m0SkAj7EKoDZoINtvbV7kErBQMA166+VQtMebHprDDP
vo/OYvmf6rqUiBxFWC7o6A/XdX5/xpAHpKOPpAFw3tfbVmThJt6Ah/y6+pbjrlvKJulAIT5oks4m
gwOrX6Bk5+XqYUmKeKZt0XVdCEDHmt3xLi3XCd2gBOCh/opBIJoXopK0dvxy8fpg94dRCl4vT25Q
gR/mxaOnHjivpyzqBE1XDl39NQlSmOB02xe93oD47Xg/6wJXYzyGPRDga0tEKfOjrzyPw6ACW8Zm
GeZevHzjXZYZfQubkeH483J0rEbHq7PvzxuwFzXsLvSwYvmpJxBHwACkTs5Lh0FnoLdVB09Y4wDr
oIa5QRXFbNEWOmRc0F1mCMFwiPX8eV1MCLFBERMxcGo/mA22G3tNZZsBEG1R9KI1MqXzDSKqWfkk
JwqxDtWGqF9vmNCh/6mi5bvedyh1cY9Ok4W4uzkYdn1CEavJkGqTdBjvVy3UeDd2rRxv+4z/mTaY
OLEmNkmCaB0NnARGEH6IyEwB5MxEY7GpQJ6oeZianBnZzwVXsoo+6ZQBTd5IKsL8SCpVX0L5HudE
v9eTKjnMlhZ1Rb3tOy+Ll30Wh1zaQtuQH19RPuNqVFgbeS1CPBQ/t/TMxlPkjW16VXhQ7I60pefq
ImmtZTgf5mFmLs0B7sfLLkXZZbkIRsRwAQ7AEOGfNoiw6js1Qat7FMCQrUZZ8ecD+JAReVTKFaHJ
nZHKYEB9u2L69XNsNsyiVMgL7UGVSf5JVbNgUQ+0Oev+8Rlt01rdXqSRnyYwPcFlAQZJVp8xGESK
TOxpbnAUOyen5Zni51HFF3Bi5PyA1m53miaNmmNF6ckqtk4SmisKSxG1LU0kGZZmUS2Px9ZlpksN
Ljz7LnJsofs9lopZeVuhYqbUIROYj8pN42cua2qswpBZE7s4ggBLpnzIbyGnEKmDjnUeiHPLm1OM
1Mp5ZAzrecy4PpBVahEfgsKWjMmqhqCYzrBtGJFcIyszsVvmzJCedgvSbeYhMqhc81UrohFSfm3B
yEiQbRrZBfbdiqi74dBEZv52ovX4KgYtIMZzWMuUJnf1QoNNgzgXpHS8eQ0qc9O5teaWsIswF5qG
zNyLFyY0e7ZSoVb/bQkoq9c7sUrpnRAPEdxeVqaBiduQDcnT6x6sv/8JgR++2IbgZ7itzKNgVVCC
KRlBfBkHhnNF4o1PKggBvVOmkbJUcOqlmaImtB7vmqDi7xYUMQtYZZq9gdBxJcrwppR1vnTLajaP
BDm4h6wVnVnS0K350M72MHUj+yNuhBzYOGK8UxC7GAUEIpt+OVHV7bPyCsd7hw9sqTxwf9CEACki
tQQiUe+aPFwd/4QSN+zyXWbfhYmfhuOOCrQyO1NSwLkF/mEdfGwUGnHQtIk9NJkSADS7eLSb9cZf
lpnpH/TIcIENR4UermG7TLW8lr4/gqNJbF1gFQggV6TvaidJqXgQq5s3DLFpwZQHea6eNkja20ad
hSYLcI/tXPS9NV3kUQ+/Gc052BLfWg+3Tx+xMgeT+G0VZUtcfwipz3rVdW0wHQFNmNRDCZ+NmO1m
r0WcAbuIm6EOwaMQt1N5jFy8Z06AtQc/Bkmes83Kb+uEwz18PsdbeGYsUCngJJsumZMEUesa109F
/wczOCYPVhpmJqJd2TaHHGAnX1GLgb9KCSylenqBauLK91p3HDoHBJRgq4TGySjtSuzPUZGZbcsZ
2ut+otiZ4eCJXJfYV47nchbUIKT4rLC1zS4ImDtk5mL1HenxYOsGHV0U3PuW72mK5OxLuT0CpAo1
uviaGTJQtoLvMQOyuECgnN1hZBRZC46reybU2HbAsc54++3iXwRLzEwPCnA78QUwuoFLe04xc/9s
lxxH49LQFt+VEVKbPXz/whyyWg8t03GWfgr9TwXdwv6wBInlvZuBVjQgq5bSh9/fatDw+6Du0O6C
cGyiFaMAuXwrg5Zs5Gcewq5vBmeqW1GHx7xjVw33cZLB3AWbsq4IlQf4Vu3aaKqivWdjM/Ahamce
Pq05/Jc9eh6KO1YZapfjoS4TxcLOaKUxeYKUjiCukc/TukxhF7LJeLVg4q7IC3LnsrbMdt9bAYeW
g38jYyxUF8JpIOqNbdanBf1Db70gok6LPIij0D1O2XZ3IJo6jRzb6izyi1VNRffBLufijgJNSDm+
61D3OpdUO/ODrMeh+UZDsbUuurhEmhcldAB6ddWk7ZeUPXfFuLyqi0cvK9YOs1VZdg8TuIPp3Rqi
2YiQWKHrC2ScpwZR+gx+BqQ+MDT9cJgmn/JX19JuxcqntEvnUhQcq/so0HQQWt5RxyY/By3gsKQa
qe6jr4oUGkHq2k1LsfEUtelw04CE05+R+Ru8D7LQi0dRt8VvFbnpwl0iRAhCnt9IykWxxmCKk6zY
qhWJmXUXpsVqQ4VwqcpdzCyOYSN1fjWhqdEcxlDFYucToK13MeKdNQef1Oq8X5YBdoqnXWe70FPD
ukTGGgaMVbvGw00pl1qsX8Qn5Qq9A0Y0rRdRCHzr6ExO4h6iZnYAcmmA0GgnR8K3bpq8Lr2PtGKQ
yz/atJUbEElodMx3s55x34HPUVm3nuX16z3sIA/BkE5KIC4KpBScaU3duzkiOByvMwVHAM47mrpF
fgQjn81IwngBflFhXgs32SrKnRh8OWUWVI8Jpddx3iFOu7RP1AvFgKy6wp0ZkYbe1/ZRR1Xr4/WY
2z6dj6i04D8gcWLl+XGUDWFt8pRgBaxpA9VBPrjICfj4vsi9FFpgXdu5PEyGZMmP6BsyeySdW8jv
dQ0SDjg2x1JTAmT0PyKH2jTerommLhqJp2gr55S/lU80BhaHBdPNi4k1K6vLiKA6MY/mWAnZSFjc
bWDCx44DnOWA0KHZ4UrfNhFmamFrGh0y4P0xdG3RN1NwQaXcIiTFSRvvnSs/QdyCklDlx+56XJTi
Mw+DX5voTwLqZ09RmYOi+HYBB1CEx6EtU/nJp1/FrTiNpXAyjYHmDbtmaH22SeqZRPZBbjFKR/SW
iIInm9jN2qKD3rCXZQEA2onOxxQhMyKA4Nn70ankKk5IQxWERBVEP/aUcihtHpS4BIkCZCPKzmyI
ZeFyRk+B8AhNsEDSDFBTKXNyQq6budMuThTXpiwLV+7D6Pkt36ujcObDbID2rKXerxFmPPZhZvbJ
3FMFPwITKeSOqqjpne4BNKiJV8H7sdsgCdLJrxMyzPVBupmqLuMapKZzwMXQxFJVo0zIAm3cjJGu
K6md74MFmAwZj8Ixkk2ch9QNNqrBedDo13Q+w88eTr9uT0+Eco8EpsAp9fME85yaccxBMrGjyXAy
d+8I0JvWtqGqH9ZwYTBP+V4MFgPLNpOZOxh6WOv56R8jsbYsoc3QiJWIVFW0su7qUks8T3LaLgGI
OMSgGbLUJg649cs58j8VncPNPL9GDkzHuSf9G/Rd0EYzTyyyyuEdDf2o0DGuAEdgrLROmY2u5Zgr
P8tPCez+cjpDHUmOd2AsTBTrrKgEzXt4KGOanDV2ZYIKW2cpIfgERJpDMZAtk6WkXufM23SyO6V3
Xu4SpYC0NtH8WDdd55/Qae/H4Ab9TXgNlzJSNveDqYdZB0J0No86grsdYaJ5Zom0JQ3H6xXiGD8Q
0aomUHMKUuO0hbCNsmZEF9lFH0EVxNnx8+majCPQ2e0AspEFJURDFIjKqIk3tTTzMSqyjMgazSFS
7WgFmbZs+X/z00Ql3XozFYHiuHTwE+IMSxJlQkP6zLEJ5kVj7vZ5eeRQVrhZEHW81K5n4ysvBXoj
8ZcxmOK0OwFCytGCKlvmQoHFNjEB4g2IaPHCi8oNq6tycmKMZeOiDxz0snWJYuqugDfJuwVPX3It
lEh4BLsZU1ODcUxoHY7INdzGKky7h7EbDIqyz4cG4im5pScuvcnR6FZFtPWy76XtmiQwo6/OxziQ
ullGXkh4SeLJe9aLvy4XYnLJn6QKl3k8zq5o84cxcWYGBRC4iXz62B6JNfo66HhaZG5yAoOfGXGw
VjRZD3McAw/a494k+ComZ4GZY1nW/A1rPbwhbWtESEAkTUI6MiZd3GPrLRsx3GG8IZCIsiaH8beS
0CTdSgYmCutmZD/owoadCeRjsM/jXdRHhpmoSwq6NYQma4Vf2OG5SIwS+vV6z6ibHXd1WnLeMwQT
qqk3+QPTSfpcntIeGix8bMOeLE+N8mdNP1vNTP0TIFrkG5Yc3Oa356WHtoYJrQqrDOnfQg4u+hbe
5NibiVFNpixmRWIxU1LZwVS9s70ZiBYDQlMVl1XkERhI8AVmiZMtx82VlLlH8LqgRXGMsIEb3kNf
XvuzYECE9hT0LjkFBxsucTFJoMZT4iAxG+RjQqhj7FVZW5lI1K1cdvHt9Jw1znkMkfiszUaHTYqA
f5DwMiZ25z3S3yYLfE4sClD83HS9Ys2Cv1Yrl7RBjgNC0bk3Ag2n1TWlNrN/SqqKV5o6g7n1ARk1
OBgAppBO2OMx7eVXqqE4wg/iArDeLNCXmGua12ghMp8DMag20gJUTWcgQVvlQdS4W4X75XnnAAhq
Al1gAmZWvl01+hc1o4BSJ1rFoWtoMq9KhsFcg4sIi+nrHGmTZxoHsMTfWUDFi3DTY3/NK337kq+r
apSpAtJTSEGe4wYETi8rh0tTVYGtpf7qy8l0b56nRhFgD/Snp/v9UmCUiHENvIjiuf2qSAmTsVlH
qhNfUy8y+1MN0AahqJnNmr3r7cf6UQ38tVbtUKZWjgAO5wn5e1eqtx1YakUuvs6iHEhkhqR0mYm+
9hKWIWQfh7NwlTWbxlB5fk8RZUQ6Ga8sjV/DNVUI09kISXnN3vO8M//sfVRdbFKEiuY+ZwLKJBNf
vX37vw0V0jM2gS1yA6Tjrm2+/0s9d+6iUseT8h80+ErugwPKpIUcrqRQb1/qtzmH+CW8K1/SCQL1
9bp0TBiVumhPNg9hAtVgOUVLkE33zqrMEpFRjJn4Hx7udQvF4cWAZQPJRX3c/Y2f1bU96pf0Ch7A
a5o9SqN0t94MKTv7beyG5syKQuJ9gomFr58wlLS7d+x2pf+MZPw2/5/4CTHmgnS/+g+MbG7qtNL9
f/3n62Gma+oDwjVdVZYbtNuXwzzhYjBOYSy+UJMgdcQliioVooUmnf/3Rtn10aulEWsrrkZx7FXV
PCcwDAQibF8Q4FL5lW4Kc0ClGZnaaUxcEzW+fcGXJDgaNIj+UnamyevT4aN89PLRgHOsbCZL96VD
qJAZ1InIbHNsigh3okPVFjPajYjdJSFYdiw4lj/0bAzA+UW3iFBLuKGN+AaKPTz6650FQz60i1T1
pU3sBYlHellrvqfqkYTZ8TlsGdEP58yTHu5AWEI+F8UtHxEYsS8lZKrkbHoenDKD6kC9yrcWVnEN
xplsYcWrmyOhz6f6h0ShtoIJ8Feu2a3V5JvDckRUbqx3SWSz8DeC3YlYRKuB4pEzdTMWveiPVxkw
ihymyFlKaxnThjq3TGzVj1h6LlurcxVZTJ+25jiXTUpso3phjnjoMw23pZ4L9D2hPbtmnoOcooYT
6B8Rnws8pNlGWYmr8MZGepvxD+IMquu5O84ww7H8zSnLvv3+Xy9r9j0XHCmI0tDF9+311B7ILBLM
JpbPddKi0XGKG4TU6l24ahMB/CxZv31Js1p+3XLNVotqPz2aACyAMoiDXzctek6Lbvtg+hzG0tQY
AUjK/AoFFje3ru0eZ84In0VcbpvD7GDzThG2KM3dvH0br59cCOnBhAcsymPTeH91iFayRbvW1cnn
HD338jwtO11+dPPJ7S7dXl+/fbHXk1wQnKFmEngSj9DA819NcgCDMdq2ff9lbJtsvfczZaZFljUm
snr7Uu6rJc2n45CHrJVUdN7A8L96sHiCooblo/ux6jUGOsZ6ADuBmDIqmW6aTZwOGxreJf8oCjbM
y9kX4T2hsA/b3hgsUoIh5TH9+2YSBXGos4LtvbPTmAwlUWwC35I6S0xZa7ZMGSDQgLGSszGQpkyM
Uj8/PVqO4OGs3OcsimNE1dhWRmTmyKoclMXaM+xw0qU4oJcIOe/tQXg13oxByL5is049BVT69Rj4
fqzDUg7zx6HMzMkc1bQqMFWdajLnty9ltKF/nc/mnbJ5SQAXkmNRvJ7PuC1RU3W86C7w6h/XAuYo
rw3M3hxNbPVsQc+99wKQDqOAh62pkv78qhvxIgTDOtkMru8pU88kF2zY6dyyj6goWAgBWutlz1KV
dLCaMp+OixhImPbYJpIep2hykZb8bPzRLTJNJKvIXNbOGtgr3xvr0rxwJFO4ivWjE6+eSxOjQwUU
exw/MW8yc4haEI0Y2fjrne5SU1j+2UJjRTJ3M3oenHtRRJVDbBYHz6P6D+dt8PL1YXmAtKeLFLeN
njaEltevr+UJENxrom/FKNSnrKt89+DSHj3JPGg8avyJPqDdGyISnBYRHMuoOpVuXtyPcWqPGEIP
FU3TGK0Qa0FQTSa6/RiRv/Y3xdyPyTYJRveEAff7klbbt7HxevycOws7YHo58t3oR/VFYqf9FSdS
spKtJ4iFWX0m/l7pI4/nqF/AwGyKEKkbqob426OWTXJQzPhP9GF343Eq5QevsMSVWrpxp5ul3dMT
L+5RL/TOCzw0aP40mnJenU+08LRTfAEHgKbbjNnOZlhb29mJplN3LufzQ5NgNb2JOplQwoj7/ojZ
XXU3KTHcp0IgKBjYllfhceQ3n/Mh7B8Lq+k+SK/vCYuQvc9gwx1oEyzNlghIzugphikgUK8c0YJA
bXcKRwo2SZb9PQRSUjVHfwkTja6+WzGL2xF+WgnVPsvbQll67+nF/uoiK/HFUStEncEftsksy4tc
9ekey6r04u1F9tuEIPwy6DQiFfpBv4HHBr8Pwet35SOaluRzAvkjlOcE5k5/2D1/4BL+eTox9cin
XJd+PDQHzqnXudWMtbg7Ald5dKaaqSRcdtENSiZOupuTQt2iUhvdpqAnm41d+GGzEyNWxEf4OkhU
Fxo0FBg2+a6TXXheWTikcwzBe6XcpiFOcaa7uiqbjasd7709ZtX3chDBZUXV8j1CJu7fYUb6hgy2
A4I/zuN3ojQSyZYqJUWNnBYV7AbqTV24PGKVqKmwD93BiX37wZ612K7kVf9WiPBjRH6MPmEaJFP1
GspUU3pTLS6pj6yV+SZ0I2QPZFFrSFmdLT++/aJfbqbPF4PHAhjORS6dS74MDlAgIKzuwuoRhkUJ
Pmu279DpdPtNWeZXoyeMwVtcl1i9YIb6h1j4FQiPi5swgDCICSA4o1+HBI6l+tlD7OTRQzsRBYhU
JEdRZ8VpXueHCs+tz8IK593gxjQ92s6SJ68C7717ewh8c0C/mILKgDUNHsQBOCbVqwAJYkFJ+yBR
j/FA44ByGl7Vc+CrcNfTJdG70SvRCio1QqSp1ZR0e+ryVFO3uhobOWqw+rH1bgVnfULNl8JZF4Vf
SnDoOBXl1lW6VOpyEYB6RSnuqIEW72qL2YnxGfKk21XPtF0who62qgnVLWHjiBecl35fZJZeC9Wk
CE9Q8kxjRMXxBi30ro764SvWuAO+Gm7+3qqQiET91pkOwtUTLoJdGt+hCglzJGltHgBj1BBP+ZgW
gMrajEYIZ+IHxIDRv08W72+Hqna0oekAq/rtwTVj93psPaoLeDWQzSqjIPhr8InGBe01W0WPber5
11YrsntU6hdodPiIXTvITP4ppXNeAl+ZVYo0C9QteCQBBO+15wmWLUVXcnQ+ZU3mnVM2gzgdodN0
QaESr1ebTWMn/Lh7bIRd3KfxrC/TNLTfW2MoDm8//e8znHsJgWUBjoIR8lvlSLj02vJ5yp/we7GR
W5vC7Cs4AmNVUFVPRO3qce2H6ExW1ldE8yaU6OTYlH94Cf9qSJBGJDATYCM9ss+XbwEsTl/2qyqe
IIMgki/7ZLmR65AU2B9IjRvcGN5hmzscFokFVRNG8+ck6MbmhIKyc/eHMfkXUwJqHNVLJqeh277a
ctZymMZ6zrOnWNnyQyud/tYtcFtVlA4vOGKG66Fo9XnjVeVZMQvnSleKMwHFxfkmhZQF5LWaRqx8
B/EdbHbrb4I2zT+8fZc/rMdeTlySBDZfN+C9Sec1jLObkE0KYl5SPNMaouJSR18gSiAx35aLv2lt
N6c2VdZo4WufKu8uS3DASAAyIxwyheGWVjVyV10t1SdI/kgqpwvNj8rqkyssq/tTK8R8LSG0nMVQ
Tz0k4EJ3Qv/Uwf4UUmyJUKoToB1frn5zRMe8OWS5tq5C6RjW7KSsyx+vcUGNoMKKMG0O8UTctcVH
M78sadCTC4gSMeKiLRCmHqeM7jvt6nt/pKhAFNl/0O5cnSVlgR93pwA6GQVthPkk9dobEaYVzXIg
nti/z3QEtSyKeAufprmamrDvN3WK8/KW8auRkQ8U8mG2jN2/sXlPP6Fpq797qYucVD9mOAC8/Xac
344tBXtb+CxxMNMkla8m9Fji8Rm23vBE1buNP3K6IYdNJXHZDL09XrtyzOkp9asMdkHn19+T1VbY
EKAYMB0RD+jvfZhml7aa8o+YZg90SDgFDjCcCxZDjL6e19Lufb7r//ULuluap//6z4fHMq2Q7yFJ
+aZ/ZeCbQgdJ8xvKsU/Tf5w/df3T8i9+7SfbQom/QhuEUegBwcc53TDxfxL3lf+Xz/9wulDGE4aI
/z+8fSgVUHBxvyI/VeCHOX7+oW4V/EXKir4V37F/QGb/LbaFeFkFAE1K2qSIl/HK4rADGPZyi3XZ
Pksx4AATjjiRbqtO6D110C6/SKLRv5jtDlZ8DA3ovLbTZMCDrtLvk4bG3DHPHOTAMQEsyk2Sh+kW
J2BKBkaSw23meBsjqJK+D8H0H1WOIGMcttl2na3pOs6dROwcoE13s1v5n0DpPRTOgiJ/Ud6NLfw1
ndfre0DId3UTZ4Q2DSzcWhZgu+go9psO5vAVXR2YdEEWOLc93X5gatr+FOZOJiFEIcFSVVN+3nej
3tdlAH++4RcnqSBg+mq+LmdEfxzLcW6j1bX2ZW+F3+k5ISFDgw0J77FcuzMsAspu48158yBGR+M6
j5TA6vUZSFgGilYP6ECVfOX9k5pbPb89OWN35ufdils6hmk16L7hbM0zb0sWxi/2PhU7NF7A14Oi
Ccvw7zED2IDhbmB/Ilpbr2QzhltiX+QObDh6euq7s9EauLoTTKA+MwsTp1QjLpvWYtgkOuz8jZem
LsZkyMufuixAwtNtYuvzMAj/A2zNEhPzQTiXXdCH9nHyneJ+yQscncYYSG1X/iDrzTafhp3L/C5o
Cuv7mkzGNbGNzqHOJI8W4qjXDdZDxx/315u7YmZ3UN/4+8zFl7DaVCW+DtRAqulgdyTXw7CMgEya
9YA8pbXvAS3TzR1xnlc6dS9jKjyUKnDZyadLFP4ScHOFk68nyWoVh8RXeXoUq6hr+KCrRWJZG2pJ
fQa4CJ6ezsbhoNPY/YSrcoAxd7ME9pGpsp4GXTIXgiY/p1mNeFcN/ZfN3yfrVL7/oS7X4r6zRPEh
abrlU9sk/SWQmPAuoyd6SITbSc7LFnSEP8QXUeslf2cLZYwC3uaF1fCyAX3mckP/m7ZazUNm1JL3
/ur21dGHLLXJ/VZjEhxquZmRwP28QhI8Bl4fHknqxfdJiokqblcC8nHEOoN3dLM0Bxlo6+Q6L5A4
X0NAjEC6pDu5aPwiVUl62KG4utdx3t9CPliugCBgBYTYG66idnRVSuiyiG1MwZEqsXPoikTc07jN
j2UwWzUt/CQsdrNOy+AIh4aTtPY+EZoPl8Bu/kYxYsm2cDgnag4Dah5YSxRXZRwhCNQ7Uh5SoNlb
gliwGjbiZ3EUeOiyQaV/t65FfQNHpHzfYwJ6wHW7vPFTzzkf4ircYPwQ79Fl9E4reKw9xbj1PPFa
NGlyd0Iko/DFx9lBpxbsfADJupMsVECuG6/PWRguOM6tmqL8UOlx3gOxBU1lR9m6HaYec8tG9FcD
EnTvZtC0F5UFB1qDCdqPCRLIG5tqurH1xX1og4qPd1lgfjHgUGOrTwjqp1eR48TfFqThIefVZ4DY
5G5tkLaqwPBOFLpQMd4smZDV1uZ3HtY2ZNFbWTdXJzLM9kMbAlDeTyMOzkMyipRSZrV+nP3F3q8Z
MlYj5Znz1W7qe0v6+H63CjUDgc04LXgCJmtf4TiNpGihPeDqiP+j0OUDAWSjQCK6mOzdKDEomqKm
fp/MK7IJPL848yI8gs6aslb9Tq5Iqg0RCRJspQE/iynIcbyp/JTnb8GHrYmqUdFE+XLbFaiRSIVu
GvWxLt+6XZldjNp0JsaOrMamHJhuhERIuwvH+ZjYcbWdlvKhXu12D6fMPaujVl3XywAzNC/Y/Ac3
AdOK54/gEog4oP2/djddkOfnqhopXU1s5sQ27Eq9HKLPP3YWyp7R93Au8/OiZoW6zurYz6uoQYH9
wwwo8Z5oNthhBcK2Oro18aNaOGGITasjwILurKkKFFpobbq3Dv2ZXa2TboaITwVuCzhoBRc4jSTo
kxVW15z2y3Xf5RRM63rV+36o1qsOdspzDep/w6U/hUu2F7wZLl09wFd/qB5fBEvPv/SPYMlHSB/x
TimhfoJcMMIl/wiWwr9MrCKo9JLe/BosifAvRdcX2AGCGqbRLf4ZLKm/UHY1UifwE0lU+da/oXX0
MgE0oRL9H5v8DxImMdiPDuUvXXScFLOuhAd2UrHjr2j5eWDp5nj5WDrzSLSDrfkv0eTNc9b2/+4n
/7igQvmUfJM7p3/wKlvQVEK0tcrlhFVd9962xnErMYo5vn2Vl/3zH1fBPIBKludLQBuvq1naJ/No
/WQ+0W5Lj5M7t+/zuhu3qfKaPVjqYuP0qDgjJmjd9pP6E3+U/vGLWou5AfZ2rGMFBRe+eJ1YEyME
APWVRmZSFvNhnthNYALaJ/CPweXsJt35nM1df8RjA32HBh0IIsAmtdAPpxr8AV1BhMp/SDL0EzZh
m9jhgAg4Gg+gcQwdAMR7CcHXWjGPbzJJrSuCNrzVwbJ8b/WS49AR5LsVdOMp8XyUJkBhnJfSbz9F
absckSum1t7EDgp9JKi0ZiiarCcbgPidFG5z3U25c+fO43yjxRCdT7JvHoKyTG3yznHBNIQnGlH1
4yyGJQ9zoLqMHBpqHfIVDh4BeGzRUq6/0OdqPjuxzS9Ocxpe9i0SAZy80W04EhrSHmqMFoSiNLyN
yS6dLUewJ45uDALfnHTuXq2pe7egyLVTc52889sV/y4P6Bi6lW6xaVTava9pl8SbUU2UhbXCckkm
69Uq5vQUYTOwgz/WnYMLbt/3pTZaGWo+ytYpzlq9cju0kO4zuxzv22yVH3g7aPn1HGmVi3LrIOf2
2wK+ZQv4jTmEUyb86aj+PMD+QsijqeyTnAhtybsj0H5VeCkdzLPbNlm+03JcPtLkXj4udtf/LZFt
voSjjdVkrJ27oeDsy/RUXc51HV6WZcCIYMKNTIRXThTLOPmwLULpAw8HBPsnept7+OD5bUPYAzsD
tyhEELpvXsSXpCCO2IISX+OTNdP8qbyhRf2V5RxYejnKdCjOkK5srhfVoDKPDkiy60XVYR4g++Ks
6QOUR1Y/3ynPmo8WdoG38eSAwQ+S9toj59oWAM6echspiErr/FAWts2m4dRf0rkd76MQR6qwHfko
YdT5S2RinJknDieruY7AzW+l1frvLFCHWy/kWaDKhRh1JeV2RM+z3CCvND6BG1uA07reu9jjTURj
GGzgii07iLteuSuagXHN4+ZBodVBOwfvi52eLTLiOomiW2lH7Tc/tNerakqWj+5UpscKVPiu6Nr8
QCSjH+1MOnepl07YbKD04ViMbR/zHg3JBgAGU7So5vFp6Xj6NV9cBHZX3oQn6+XoOcz/Lh+bz0Ws
ovOizz9PVj+cJ2lXvouD7zbORiPl6ZI0oI8wjEt6/4uNUvsnqFfDfQx4Ktm4FmmAa9ew773iCzyn
8Ul78COazGdSzvj4zYDir0nt9IFYvXkHPN17FyKG824ARn5XpX3zefBl/QUUIrNV5euhc6P6iyj9
BZ9Yi3AjWAIcvfAu2QbVVD/EgcLsiYovpISOYPDHwwUJiwA9Vet2Buimd/D+CTH+m70z244budb0
q/QLwCswA7eJnDPJJJOkKPIGiyIlzEAgMOPpzweqqk9JXi63+9p3LrvonIDA3v9IoumzbLTsOlWt
7q36pSxCb/XwSIZrETiDSPYtPgMdf9eY7OwxUe8yR2PGVZtRBDcR7vEV7Ms/pwKv18ZBeXrbOkbk
Gc9e5uuZ89JXwFLvieqsl0Qviyza9+ZcWnsqirRyA7M/dDdTPYQ2FXVmZ11JPaKF2hqnJ52FK6hA
6xBgLyasup6dLdehTeECzArFrmPL0dSVtziYWKi4wo6Wlt21otHu0W9fNbu7pXml2Hqxa9/Pih2P
5dm8pXHzIbTD2wJofE3ZW7RHhB8fIFefGsIdNhSkdZvOmr4lXkHVRd99ZLFRHMj+pZfRig8xvQvE
EXTyXBX9sMkxWgZIWtsPIN96EyX0abR1SFOn0o/jjBRdn5QbkC4UrSMZJbcW3Vc3mi/pOaF77eik
3lHL6ARJ8rpER+OH9QGvU742tNEKarKYV0VCyxve7fwHusEWO4hduruuoV6TFvsrZEeyMQrNP2EJ
lTeNkw5bJ+aGrVPq0+iWotTY96LDPPFDGnovDqLUepqD6SCTS1pONWhGIE2y9nvMwEzNrgzQi4jT
gOdt30X6g1mE/tax3Oasl76Zs8eM7Tu+hgEZYe1r86qY+Q1XUd5SpCET1K46XYJUlpwRYWNHM0R3
iGgnWDMXOBRahU5NS0TzblZDt4toQAXRrRNaW8kqXsXG2G5SxCtXhAj6CjF0s43Yu6naybR05Xvj
q2f3xNuY2UgWVUTEa55lL74WVpR0jA7xZ5hSB3Z56RGvTKaVC6vGhGjW90xn3tai2MM9SM5XsZ44
ROgyIJe4WUnuqxsrb+RpmMMZB6UwDsYoyeSNY+6qZhNFANBlxRU4tTodG44an+bBpLEnLXqMfuV+
yCFLteqoK2d+k4RKHIypmB9lKqso0Bsfms32sViE012SmfO6D7v6mJHQEzhGXnC5UxuJbQRxGHK4
e5LKCC4LyT1cRewTK0GxbQ18tdF8ag0Gm0JQ5F/pV9chi90T07C1wqlfYenStnVM2E0XFfe5rvEs
T8RwSBL0ASuLPK1Ii/wvuRfpu5xNF/NMFdPHMIYbfwitGwTxFgFIg3aFgPNu9XqejuQB9bigbD+2
NrWjiu9WVN/GCPDP/tga2OKGQYF7ozJcF+hKbyQsxkHGBQUvSeyoU04UykuXupO1cm0aj1fGQHh6
PEX0vKR6Kr7LoijyNe5KZ1yLVPQHNHo+Zh1N7To9t1+GvKOtEEtMeraI6H4vzNQRN3pj9XTc60RY
2y8+AvX9EKNbXomqBK9C45xt3djuv1XswkGbD8tcIOv7cWxzytV6ZAFeXyQnbcxJIgknN3W5/Ir4
gCRNnf26qaxAjU2TYx6yk/1IZXkTpBgtLxPeiD11q/KbIT2NfVNO2fLbiNXniIRrnOdQTpVSajfl
GUbZ5nCW7YeXhIAnbH1VthVZwwMHd9D0o8xzuqQnLbySL7LcAxljghuiD1lHNhXIFP4WQR1L+zIn
iXbVSKvm40LebskcyxCGC88OCoa8eG05o/w2ym6WBK/xI+kU7q2QktfHn8NXTXnjI/Bn8yFTN8Xh
TrUgc3IR5tiaJvoHGUOdhzGrGcuWgbHcGL2VwbUY+YH0jfJMB8y8t0QzrIuKzDoizAjdL6RBDVxs
Nzzc/aLSrmXkI9wwzOgSFUwape3I22j+fBd+/dXU0JUvkXTLoUxm3w9Umt4q8anRPPh1rd9xDJYf
psQViD/ZIcyQMfHoRBxEq0LxdqZGTrtY17ovMdF5OBhrzQPlwKy0iyDcTugO+PwdnegRKtpdxbD1
Ihs6jZppGX99p3px2zE/GA0fwYws/dErxumHN8H94vyvNmWagP4kA91fkx0ujSHSzA+Z4df3f7/D
/MYU/twhSEhAkAFqvijCf4WxlYFTDvFYu480oz6G/oIQuY1bBnVaq3tqChjvTXCbnh/mtZmURyx+
yZfdtfa/W2h+I3l+vpflnYD1o012/WWP/Mue2FUm0fFp3e4tOkjJjZs7+wLuZWwiisOPlNIQk+/z
zbYROgkXDGmTNra5JyH2NSIy6Ep5UX1szH46oZ6vv3adZV36xBifBibu7b/54liO/0J0/3yzNFxA
snpIfP3f3yxS28ztNbPZg/6DsjSl84B53w6EnsYXDXMw7ewuF5jec8Vn+HvXgufUMSvH6o2O8Gbl
WgxBf/+mfosUWt4USjnU48ubQuTw++IbdTXXSBI15P2aNaG3Pv1ljdfV53nQ+h1GrHjN0TxvJtPk
wRN2TFCpZHl14+U2tfrsSq14fTRzBySYdLsPpDfuvedEcoPpbsburSr65FtbW//9O0fl/U/fp2sa
HuAFzSVI4X9n+OxOM2U+DaQnoBkIKL8AG6yBaonIpHlLJuWwJg7A/YGIp98neI63pI+8eamkzzwy
N4nNuKTZQ7TugPZuemVYL72UJUgv2KYQhflqWODxNzKSZX9ScewRcqBTNW0Ro0pW4rQrOEr2kZ/Y
F5Iw5UaNBfNqXvhnBsh5W47mdLJipnlVd8O6Wk4Yw+q0K9E1zoNmu9OPgk5OG1uNRVel2XDGOpbD
3Ism8tB1HGBxuCieWJbZS6KMf2kGUy8BM0lD/jmrU75T35cQuJwp/jK2U8P81YeZXlkicR4sM5Mb
YwzlbYYW9pzijNr2OpADibH9FxxDUUwSoZG/KpMKumObY5o9Y82O+JISGhK0sWnHjR1lMf0h0gxz
bW9itzcVrEmrNcCoCHOML1Vo6aumNmV2cLFXRQc6UaiOmpf/ImSgD9ei8WgdCwnq9GiaZuI+odRr
PtzcHCVPY2Z6JeKULqow5hMDZVe0edOssMopWtq5I7WE2sSQzzot9mzfHLFA/M8iZdU0St2m30yj
oK9AwXEzKhY3L7bktyntsq1KKP3ueqYrkQ1ckXPLQkESSfelTfJXV7E/zqMuX7whpyhUTQnJg8t3
54PtJsd55svnoaNdVWoQFMmD4z4z+2QXZjGHHoGeOUVsXvU2gjO/WRN9Ja2R06LCbZttzdZTd2yi
9NDjy1t1A0u/kxO0W9IU+TyOOgU0I6dRu+x26OvzIC5amm0sMrmousmHbqvPUXFQTcrWUrqEeEaJ
e1+YqvsidNIfsWQRqtsoqnEtNiypf6ZoljNPgLbSm2cjBVCq61zetrTDcAdbnCbYlr21icrd45+t
1g0qXHn9HvSevEv8196a0pj6vSpHvhX4G/x4zJuwDPO+jHkmEmgCKmcMPHIIUuARij943toTrF9e
GPXXYXK9sz4AszQy9s8R2ffHZMIP65CivVM8QHclDZ/QVWX/xUN2tSKBIdl5CwKEREjeFhn4EElm
IARDOf/wuEvnDZwIUkqnuOtHV35ru5Z1W9jRRS8txGhDvETu839aomu+/3zXo+UDYhE0wYVR5ctv
YA70ey236ric7wIujHRfHlN2PXbbEXgeua0YjA32U5CRZXlNRgrW1vFo1feiVPwyFUXoH5/PYllS
M7ZgPdMpI5kEyYUawHVMKBWAVT5d7k6nOXKmm7EHXfu8DI0RCIbLuxb7sdOmGysC8TAJZrv/RHxI
+yFojsaDwCHkBZUrWzCtask+txiocsTO5y507OATHtAija/BqtlsARz56hcgb068aZtJAKEhjn8g
aZ9uZm43yhdoYqEfcwQL8yLQKyHH7FpLayxWDMA+ewojWVe54129xL/H5MXMiEgEcZUznwjRvgGI
M3MLVv4ABEdUMPAfxvcA6XK1wSMNnAFwN2w+mcloLOyLkTn2AwOPUABfffPcpgpEcLay+utsWgBl
djvU71EK4tKIdnoqSYoi1EPlB5RWy95ocayx0YfHT6RG83iee4waKigJOCpXhQHYU88ccabOy3/i
N58PyTEDuy2r2DpoQvsuBKK9VegulVF5wbBUNyLb/rw0sQJuce3mh7LSw6vQ8/IsKyNb1xjvzl7b
1F8rHQxNR7UjV90CJw4kHF16i00riETL4a4ZzUeV+9XrGDHs4Cz2ab3mnK2GmK8wtmv1LkqTHyTL
On3TsD5tGsI29lhd/fNyPaNb5Bhuwqo55U0OIuknLjNvpvhzHqLTKUHs+xgvqDdzyfIUYEF7XUJK
OSe65qOrw+qNGIfo4nbwv7parp/MYgHgJFrlDh8nXNCvz/HWozZqG2Vldi0GcixQd3Iiubrx+Pls
0KF1jp1HTK7LkQ/uBIjaUxNyQcBo86gYfO9c+4wh9ZQZj4OCjl2y/5EyMQlbrMNB7KT6I7wSGdEd
PySS3vww5YLaasg2es0ZYovlN8CxRR5uMyiSC+aK4XzQOc2sqP8yDYzJGOa9s6D98FErKJoOOce+
Vo0nX2KkCUfwCyf4hASRLFoHzyDsPCrjYZ2OjJ8Np4kMWHNIyMYetP3M3+1alp2CG3vX0v1DJi8W
pGASffVKiDMA9QBmTEQTq0LL4GziDVwbgMtIp5eL5/OYHZfgVZCj6aQqK3pmq5+oBDKWEq+iIVV9
VOZ4pwBtnqTL1K4RnAHTh7r94gqOt7jnPsp8k6cWCj52PLq8YdPDK3m01auRj0VywNBYHweZAyIu
RyVZAMZGZWZ2mT00B7mT2KBeGsRl7fN8iIFMuCdh1tCQu9MNSij90azd7rtbhuOu5a2vSgY8M6DU
kfEyr+S3plCMHDXNQwcyR1hiZBJfDMxefW/zrc2uZh4ML+ZWwR4/gIAItqF+qL8ylRBrTC8LGZ+5
qHzmls5ObgeNeJLVUDNOVBXx6iQTT+u+4wefPGjBzABS//zHzxuTFBoeMQTmqHd74JkqeagcShSu
d6OB1oJ+BkrF8W+QlsVUGbk2hwza/+hiSXe2MUsk8w2Jomxkgzttxyb70Vlz5WzihgX2Eyh2G/lq
GWymwzIFTGPNSiaNudsBJPCJh4Obp8O+86yXmQgIyHyG2RZAZdPZLi+WVZ13bMO2+q+y6/8pQRcF
nsGG+K+VXV++q6Iqf1GD/fE3fzKV+j9wDJkUnnCxLzUK7AF/MpXmP8CVYBth0xzyfxxe6c8+FvhN
2ls+tZnYuz7FYH/ouiwDFhNNIJYk1FgCA89/QlWiD/vrVkcXjK37PsoxkxdBJb78739ZQT297+YE
XmzveUhQC7aEFTH35s/L51/6XX9VM/KscXTOeIdRaKFq/8mBHXZ9bZhVFO47XCYErwvuXG8EV190
GncFRuFDTtq/WkO3y5e//B53/8yNLr/XXz/i54sTUAkby9eGJP+3j8iJi8g2o3Y7ItAHhEqBpfSj
zuvagv1PZwKNqIXB514m5rqZp+T7qLVluXGUY0Jv6DOADjd22+PSNmutPnbkcF0aQo+0IM1ZgVty
pjZNFKE0a9zwWjj5sP7/+BA4K8nPhdvmQvqN4RXKkiaSL39fz4zao0XkfqEV1iFxh+mpNmF+Qj2D
FNAKnmk6gZUvgw+SZVfRQl8m/njnlMZ4xzPII0RoTnZUL7BLeRkDEplUW69nKiqSrt1OnGeAectj
6+8/w6/+yJ8XgUdgrO7h+ceH/ZuAEIwVAtcd/H1iMjUqppoVIT/Tzq3+XULt7/z7crnRf8SA5ZE1
zOj360Vt9zq4I7YW2A/WrU+2mjyT+qhaZmtm7uI/pN+X10PJjoiJS3yxmvz6eobelGWh5bweSSb3
nCgNsc90BfzH39/i4gDwALeChf/t+/MVx0U+aN5esbrsPL41iYZ5nzXe49+/0GdR6f9Kwz9/KRuv
HAfTci7806GQRsgRB67BvYG25jAvbHHsc81MEz/cxPYGghkzDVRVC5m1bAfwVNnaSplBY8Qyp8K2
63s1Laij0zPbSz1hLe7Rr+2jpdmFruVpl3BtPvURU0lgzoK5kAKlGQ3lslNQ6w6B7BnJvmGMeR6c
Odn//Yc0PwWrv3xKwBeoW/AjqlV87LS//mpLs0AXz2rcD6mpk49d8XCNwuag1SrbVqDFK5D6H0if
tLWd5RRpAFjv82IpiNZly5aiqKUmjCOhfdNc104pnnWDWEbbn6xXdyiKZ7t2NkofjAedbEA630hJ
Csinzh8NkfnbmGYGklFIG4+j0liXEfxsFm31lFAcjrNs77S2fYk6w973LIEnni4xxVAhmrDISfZa
6U9svglBi4al7xqz8h5VaKeHVEuLdUkvYruqo/A95sETFOjjDhYxGBeZ44UhZ821zgTf4TNjIdvI
3oATsWQXOJ1T5ZgHo2qfqYqOWMhNmDIGsWLSLtjTpo9pmhpIoLjdRFlr7uzQShvKz2My7DLCyTQM
fPd2bIpH2TXFsxvF2Q+px6jsM+FPkGgqZu/EC0emShmPX136YtZuYRAB5PtMdVM6npHOORcyXNjk
vQRdoElW3qVry/ob1cz2m6gbElV8zD9h9l3LNO+G2lhtbUUJLTGuOlL+xbt29HoDOngYe41UxlCG
K9wAA7k41Mzgfyt3qPHOy/e5rvJUBrh7tCVwowGdN1/sGEmfNcbiEGVFcSbvdnrS8gwtqU7zya3e
QW6vJhIUIPkpQk2LAXFF5XuHbrbMNxU6zV3K91QeWojroMa2/5hZ5LpIroieibzDHfFWkc+8he7U
1iYuaSQjRqmeyqnpggpPDT8N/RHNWEX7Yeq2cWzeGyGgH2dbf2iRqqzwW8BPqtj4MOHE1srR5f2k
8huiWhH4sR+h2s27dRcu6ZcFjSVKiCM9rBFZ6Ja1Sv0xeijT6IZ15DUmf21P2o+4hvpMaK1ynqly
fzOKslwP4DeBljr+l9YOva2plH52x25A9MrqXfXzGBQCoUiX1tqKRSUkgkiLOaK6IdBJOaDpoxpP
mheRqEiybTCRfv+iyXjizYzhlnZWcrGzRbzL+tlzcfWDu+YxlG2TyHMwfwDmrYkaNkiOarSTPVfV
udUqAVtkT2/p0AgKOxr0KZjnPFo5jFRe5krwC+mNXp8movwO5Able91MgN8qbhdHmyqRrfzamLNu
g3A2XuFDJ66/jcNgFGn5rnor+pqGevdBKuj0FYpqOBZU6B6y3ifmOJLWWQmNApE2C6lqhEPrdO4v
bcrYtPNpikwUkm6jH0qIlrle67VTbAoRFdTHz+OT1YtyawojPghEFxsrh/xKJ2qXfLMjdI4wgXOC
8Jya+6KluJJ/TMsuk2sK8eqjL1lrnKqbdpoDsv4JCIQpAoq+VUN1i8k4X4dLK9XcgzmoBRGQBgrJ
JOLJ8UlRwRGj2eoBi/jE6vjJOrAPZwhLBbAPtP7z7A/WxeBGvZ0SUXfrLGxBiQSZgt/pmAKdzsW8
n2gTeo/dMUJ/nLjQQ7TTlDb7vyYWcVYl4wswFdPJgohUC4PlRD5NOSG5ntiLdORAo3Cyax5ZQPML
j5eJeSDVj7lQswGp8wyQEYwenGNBoOk0QMmR2M0HqUlin6eAZ6niQ9aS8QsXKTIkVMP7aTLlLSnF
4dFd0MVpIBsmQC4KtUbG5cZXgDbQm/HFX4RMdmcam08Iy7Kt6DITYMeua80Lhe/nVOk4oFadMnkn
mKHFru9bPpLmoCZrTTQNQZul9sYktvbyqXqZl+BA2RpwX6mTkxiO1otZBbAppLeWOVIde4frVUfQ
84MZuP+SAOBvzApKKp3wUi3gkbHTRVHvIHrsE54j7TrxAjHZFTx559Blu7Wn2H5FzQEXDJ7VXpES
8J+oRgWNNurFb6B/hao8NVgddm5PcWuDjIlEbVOYJ3skALLmUNBVZ6I9rq2tjOvxgF3ZCfo8pQzG
DMmALbtHPUSyMLRtsrKzwd64ibhTYen39DREsCxoK+IdX7+bvSvLq+Ozaooaoftkk4Q5lvRztWzt
hCNTFX72w8KWnKxTg6wDmV98O6IkLOafjv//amv/nbbWhKL7yyS0fmvf/s/PVff2rcDEdIsV6eb7
mLz/2hj488/+LH4RJtWfi0jWJz3I+awF/GNn/VkvSrIVAlDbRy7L7P3Hzmq6/BFc5mIzxqP6ixcJ
mxK7C2EWuo9offFn/gfyWnvZ2P4yuSGq5eWZ7NmAdVbq3ydhQETy20m8PSujS6Y3q1rw49JyW2sj
Yp/BaGUOBCpMbBpVU2iHyoDLVwEjYLmvCGvj9G+mD2VGXRFoQqJ2I9NwPo306H6vVe5yyLqOmut9
2UZO1uDeyIfJesDZOHtU3vadYUgSEUByIY8nFGA2Bp85jf2LIJoX333VMetupENRwfSAFJAUH2fo
W9rjgPCJlp4tjeIvFVeiJCjGWzqoPVdbGT0yszlbRagFx/js0IksvYcYCWk1kD7r8bjY6IXVMiWn
pSyaxwZiVN94pDnl4jmp3RagiHxfz4B5F0UpTgl6sW6DHv891hq1dWs53cGXlVQUYyzkT51Jm1/R
WrrJT2r2vzfgv7kB6UXWoc7/NWJ0+HiLf7n3/viLP+89XUfaDhqDi/nz5vtfvAiT4T8Mk4D7pT+X
i+r/3nkWlb8CsTn2QR4isOAsvH+iRdR44s9GNm1iIbSRh/8ndx57+m+33vL/gLod2zGpBmzZvy2h
mR7WII0htS+xpR1QIYz1qXQXIYvm6dNSMTsSeGGWxxHVR/4AO2X73zC5fo+r2X6w3My0A70yH2na
HJ8zV0tOqMNGIgbYbUOq+BzGYH8mnGOtkTXQXrV8Kc6No2GonwQ6DKxddPSZBIP4ScNzmIDSW9eI
/RoMN/e2SROXB7yz+EsgBIJi0qlbLHI6z3XP3sYJqvZN6nf3mfRbbiIxhOfclPLcdEa7w5leHw1f
DR+sva9W0XofFi2jL8QXuSwLEG2qyERAEYxzcMzmjaGbAWD0Ygx6rqHi0zwhjmdAskiS97Rb/Hfh
uHbdfhujwFYhNhn01zQGyk4v+q3d5G23MpIhvWhxbDz3E4VrnSnXOuw8GrJYXFkgqmvb1eWaw+M5
RyCIXWicLuT9mDtp+FCwnrPpBUmtZl/cW6lW761OGbfYxdSh88wwEGmSnOlFGQ7Q0ckN2d1vkDJ2
t9QebmzpZKe6yPxdXmn9tyZzw8MU2uY2K/X8O/U1CmeSp3/Hk+rVSO5Utace8zvkvkK8loxfbYyG
9EomrBQcVcRjFrn3ahg0jNoukeOjVz0XSfFcE8x0w2FG5Ho89C9hqzEtmejBrCxxA1tSr75ykWEv
BGyPpclM/OLBnUfLWYUiloflinxiM3C2NDdgPQq7PNu7Rkc3ZEycM+++Z2HA9mDuRG86E1zB4gpz
Mj26Wpme3bGKzZdwQAYQz1Z9xrenLS2go82rmNB/RC7ssI7jUUQNnTygy8/PdiGnczw55g0W/xSR
ZzjcDapW27JpxveWpG7ELsJsgy7T5A88gynCwYHdoiD8/YzYFAaLDOlzGxKJR0D9EJHInWtBLiU+
er0tI3BF6Z506cfVKmldcYsIngFZ+UBjChknoiSnR4HuNd0Xc5y6ZXKbjC2ESk1vK2f22ohiophi
eONMo7FsVRWGf+qLgsWxlWgbAoY+tTiuzknNm3JrRx5BOJunSLnEs/aZEf+ouhlhngd8RXGDc6bp
5oMOJ3RaMek9hLVGDnkb2mCsRqj8wFxKYt1U+M9YMYgrVu5JhmVyx2oUb3NiY771jp4TrqQ776ja
5uM8UrIZOH3s7Aal2Sult8NXNI/mnZaFLpJgmtC6tvLx72XDdEIea7WB54XV0XPoECHuX4s3U2fM
d65tVRuggRJzywh0MprGoTEydUX5ae/AxrovdmxX9wSpxphNwwx7vx+hN5TmhGPQ95BV+Hwkh8h0
mrNyH0e9Cxgyq37asLulO2IApk1C8uRTP9b02Q61jreUzLPYJ6BFtVZ4QyC6unNQ1Oqhpx4TIsCv
bGx7VZrzZegEDPvoHu2O23qV5sZ4SMJioPLUqe7SAmOrPujNSCmpNz1kTS5viqY3Hg0yNl8Toddr
zclCZBZqOHhTEoeHUvjuw5jWBn3eTYDYRNwU+JJFWQ33bEzqPKUS1zM6o9um4+eubNpvyyKhmAEi
dx3Rho60U//QB9u5lVZdHpAkG4ei6aj1ASUNRrJwiDELox0693gdJvJRc+UUQgya7cPsx9P3QkiI
NZrUWfYKZLJTXVA3rhMUgceKEsfEznZuN7KahhzkwpjbE/7v8anMhbXFxxEFjtc7N2IkbqFiBTz4
EVRnmPnei1mJeA+omAdoQv0NXt1JW6Nxc154CMJl+r7GrgmogNXHDCbH6n6kIQ2ZFmUP14ZkjUBa
BRR7Ld6iuYg2eE9Qclc9TZh9oynWrTp+wbjRnlWRX5uqwk/ggw2BYMiTkUft3VzahNEgUboTeuJf
mlghOqbGb95YkaN2hVUlgWEiyGoyr193bmx9j6ay32Bveu/yuA8yzsycpWuIgfZs7UzxRI160R6e
5Yj719LlfHW8wV+3ZuW80PnLvYFncj3bHmKOJBtvyrjTOLAi8hygE1+zvMer7tbJrR6W5W4Wlf42
FJGFG3d+wjcfBsYwGXu7d4hRERoWeLqJx7UUs3co/PxK08SB6UFgRyAOdJMJrE0rLDf+2k36+0Fm
0bM22kWQdkVDGEsZ36V5Q6qPVkfDFxGhj/HhYI+RRwcfJ2jo7zk3taBpxbmBXb3Oc3fXEUm1qnOR
E2+LM9Tm2ntMoZKPYbV0uTqoF3wdvcwcxXQea9eMQlMsJapCFWGGUWCVkbdPRqeD4W7zTWMyiAsv
PKeZzHaV03SHUKTAObNI1oOE5uCGQnxbVMkuajvkzGNeb6hEKs6RrTi+Sdl/Q6hBjEgvnNPcN+67
7ub5N9VI7dZu1H2DgeNh9qwnMVnNbYbq/zwACRwUtrmd17ndprbd/qkp4u5oO8VbOqftIU7daFtn
SbXru4lE5zl38WhrUXNMDEwL5NlbV/wt1d1Mgcja48nVk8B4r0fSeNGGcmDXNXvCP/Wwf9YREu/z
ubdBHJP0aCQ263VaB8IQl8yxvhB2YK2EV+SbpDTBzwg4eMRGIHdd69UX6bW4Qhqab0QdfvcyjLZO
FIOwUQNDBQj9Yw05hOfYsoaTtLPoa+8jy3YbEkjlnNeolO35h13njzFwXmBkqfuQhbyFlszSgPdH
zUVq3vScqhsZ669hAxpfVFZ8QUl/hnNAA+SMZxwy1lNeY+iuyezbUJ/b7xIV+6iMsvBVddO4szCt
vI5a6ZDhQBhq1Rv9wR2AzAEtXgdyHFbgLTpBLmAHFvHYIPBvaEcndGuISl0vnY++P61cimTxdZxc
opqNlYXz4xaALCJmT1QBjon8KdWc8oGhCht37fGotyl9WqGG8dILrIS+o+BD3gIqbQvHXNozhLoZ
THJkytHWdnFqFVsRG9HZRUSwUUba7aMwXdQJQ+rc1bYcD7GV69vR69QaiAvlijW8UiCcBpWriKsZ
Bn2+SJT1QWZjPKlmVW5tbxjfOi+kcaCpZ4YUNkeb1TGqyfWeagsybh7fiVyVrw4knWDMfSsiHx23
ERHaVtTbtEA4GEx0YBymRnhBkWbaHoFE5gRunRXpSrey8kaOBlb+zHKwkhfUKGtW9BG2ylhb5Ux0
e+EQ9waLOF6zLL0w90L/iXwLn4NkDGs40RShfpw5B4izZdqMYdKQfWnix5Kmu2qBn8hZILK1IuVz
oyfEWjB6qE2TZ/e2O2fk3oppPNF3JYK6NNKD4Kd+RawX7QFzw41bdrJZRVOTHVXTNUHE5rmuMRRY
q9oN3a+k8ip/q3cund+zuHcRexkrotVTwrJa/X2Ubn6Zx5EDocfMYoYZrSrljIzsAca4o8c97L24
ek+6oncsrOu5Xzy6I5Hr1jG0vSQ74aLwq8dh6vnWqvZjpPN45ZdMygCFjj6DU+e62wcliYtr208y
dz1BwKy1NkwXXHcav0tHxh+DzztkRrC/8jcYwqIhxCXaSxSh4aiQOXtYJxokll3v1Te15N+mdLV6
Mbnz8FWpLa+o3WS+XwNdT8YOcbSsCD4ayw8VCv2GfDXv4OBm5w5mmbt1O+dxjtFw1Mp2PqxcUgw/
u7M8hbY/LCEP6krqF433NPEcNZxW9wKN3BqOasLTGg/d3sphAzgNELDUFayGxQhjDE2xlMfDJqnc
2rh4Rk6ibKyjEooRwBbmBipnXNsOvB7xrbyeyGT1NCa99dzoS15aQ0CoS7WHZhAKRXyc4Ju7DiZ6
u4ROnpfBDi9Rij6Z+EJ/fBjJtV73aZSEQYvN8maSkYF5FOO+Ivm1XjW253QrijO9i8dTmN7pse4O
aaMzIzcSOGQs0vQxoorspV1kUooWtVs46eihsOcGnpovm66idKf5sFQrG//IrRb2g4JNGvuN00lx
mNKGVqawIBmOVqZ0182+fcgaVV7byKest9brLypW+lddIggvq+hLWLjibBGelKzmUqASNqTsqAQW
YPm9OLnoAx5g6ppF4UsRy003xtZ9Gddv7kz33ErOIxI4AOk58AbBYz+ZI2vgCwmdS5ZP+TMdtukT
+ebhzgMni4Kp040dq1D7lKlu+FiibQOJfOzUFJFc847KbapSbkIaUeaVggmcVqwezDp0OBnrMLaH
bzNTHxO/BvalqnG6q1Hox+vSz5OriqAoRD0rmL4UmW3jafoGGMkHv7YSPHVzerbjPjkUtK3e5lTq
rtzR4WIS2rfcq2YYSSu0qTiEg1uZE4cGhb3TM6I2hLl6P4hgTt0ZrqOa13knw11r9Pm1XOYkc/4f
9s6ku20ka9N/pU+vGz4IIDAtekOQFCVK1GhZzg2ObKcxz1MAv76foLKqbGW2s7PX9dX5Mp22KYBA
DDfufe/zMq66VYKcpJvuKqIiSl+RZYQg6OpDRUElzDiW4d1U6UBWON21YxNcp5Xp6BUs3gV0KCL1
7dOsRL44zH55K/Kst3fF4nIYawW7ADYpfeKHI1VoE0ND6a7fcDY35zsRGNnBTeqSHzgZy6cBEbB6
ohsAnf/GGDjwDnej2dseKtmRynBDvaVT85FH0vn+vo5bhLh2L+ox3/wvpIF9IgdDndZYXUSG1z5B
sVDPP6R//kKg8r4NRHPiaKSkgYGojOyOTqn+qMFpWjVnhS2gHRk9pgsBtShhTbwR2iB9eMvxb1Zp
X0yZdWXnzt6Q3d5JSN150Q19R7iMQMqZjItgzWAO/kPRxtu9odUQkpQnMIN34plSTGAMI2s+NU13
8hpixeiAwvzXT+CdMuR8ESElKGKTjg7v/QPApFJx6J3mU2qZG/3/rgHF2av358v8NyX5NylJC2XZ
L1OSd79XVc++/lqlrz8xN94++C8lm/yAStqHkeGT4/f51b+VbL75ARmZEIGFT67WuFGC+JeSzfrA
b2kchkXyX5PN/p2b1DwORG7Ic+krClx0bv8kNwla8efcJFARjU7zqBmSg6XY8G6sFqXdr2VjLgfy
/PmyHUWdiq1TzPbJwoku2JHFYZmFttCV+3lw22Bj9V13KX3YuPu1pWIQJoVpUK7vh8LhzO+4KAIo
p2274GuDMentrPk6JBXNrUxHfAzWEqIEKaMem1KxyO3qFhbN4awfBnyFpRk2VhJpDWyWrHT+W/Vz
R0vZ1ZJB+4Htbu7YcDnUWeScINR7uCWw42Q4Z0ILinMNDuIUTzOaINnzup7RQvkZM1SfkUOmpg+V
o6I7LakOKUSH38GUxV/nFVqR4jMvzlJn4zbQNCMwiICNYKIBOfLsgC7EUbOPak1B4qRRHCdNRmK/
HG6mGVqS0NykyIxokKsHaEo4xOR7TkTZxHmP4FHpDJvRUYwsyjJQm6CJWJY1ocnveMywb8E2cWwz
ryo3HjEMgupEoiOG6sSTl5r5NK9BeTdoDtSgiVAowsiSaEoU3VnE/ZicVlfId5ow0zwpjtjenlSc
OYSdX95UHvyL3eK5M9aGOeTTsHJQ4JAOvB6BVfUQ2x9F31f+hQ+vVjd4Z3GDhBrGVUXF81kVRJb0
AvkXJeQ4YFhrFN3gm5VuOYrkIarP9cZxpv7BAy+R7WBrOFc2UPXvPUePnSzFgzfdceCutj3l6QsZ
m3dyHNMakodlnwTsgs+C4OdjV9rqFkMHB6m5u8NxBl+6UqemkqG8sFElXAWFroviVXzv4BZxk0vr
U4rv5jZHoYAH7bjsK4Q8j8votDvXcMrDbBId12Ig+ZBlDzQ1m7f4sHnbSMn5MnZrgHs0mpd0CYfJ
aNZ0MtWkbHDCig5ZEDn70S3z78E8fxVRYOxrKbFSTIZCPDDIYxQnoPRpKC43axHYqLCceZuDct66
lXNfM9pC4QVH5BXJBgURgp+kf1lLDk+r8ox9YtFF7iw+d9knThiPcbQRmDZfFVNivMD0iS+bImkf
HNKgNwstzleej0NUBisdrRR4nEJ2ycmeWsYNw3YmcUrw3CwJebEqSXGHlVEeNu7o7CAyqYdlHrSo
PJV1fOHKconFRx9xQbrvAzHbDQfDVbojEpIkTvyHGTNoF+dUI/DHR8vKnfnR6fE3lxunzRPxLCRj
gWAnS4+wqL37wU+i5JOSKyKMUbBL7zmhoWpDyr5w/Sk9Bb5mbNsN5KkC1v0EqsVOup0UBGYvKrCr
7BJsC2F9Ua8Z3yYz6Vm4oJzfTY9TikcsBMN0pCROU2pm0+dGL+3nPB+6tdquU155ugcDyvfSuAEd
7L2lWNnGNI4/QxCPUR4ltM1uc6MuGZ4o9s2dghJGNEoVga/v08wUb4us8n26C+0BJMRC6vrzeCZF
YGyosRE8o2CkFZ407BUCDpugv4rQdvEvN8ovM7N2DBzMTcyEn6p8dHGEa21UAhanzoiJJdTuvzt1
NaTD8jc7NT3AlO7+77VD/Fer378O6ddx+HGffvvYv7Zp8QHvFUhJHnlEOkz1XvwfwTn+PCBBYUVJ
JqnLXvyfbZpRzqbuSl3B5xf/3qal+SHwA9fxqSB6FHrAMv2D4j1h3Z+2aeTwFps0oQSB73sdsGMt
xAu4gx7qKhbojdJil2CKh0XW8LK4+RefGQBaE/BaNaogzDO2GKWW/MoXeROag//EITC/wn82v1Fj
cT3RScnJ1T2BKLXp7WCoehlgTPAhZNqRo+6lXZrbNm7sDQiVYN8EAKECF10eROL7BjPtrZlEmHBK
P9+J1lNwobjmuR8rAxYfmmZrbrO8f5mK4ImukZpiV41JlZN9cY3G3BYlfz2nghBShwI2N3UvgvQp
rkET53XNeywj75m94wGl6Zep4/Ku07wUdfod4r69UbUHE9W17jna9LqfFoeJBiyH2bUvrtAsH6o1
OO7y9Sqa30JFaX87GaQvO/8yhhm0i3oezRREdI5zjF+z/DveN2rjujxKXAj7rdnyQ4uJRyDz+CNf
gcdgkjBOOZhHHX9ropwUTo00dkmEfnnEd/KQSdqb6gIxmdu6/Gku72cfvKj+ZCbpoE4DkrGrRS9b
vPAImgLUqTOI9T6ui3tKJtMOvgfvBEHD0ZEkL6oZodXYckM2pcctKOKPeU/wEHmI1YO6+r5UbQ05
urOQ1KFGw5+ZVmFQxl/p3RU8h+CJMviws6uCEqmZEbHp3k05IGun19iCDRL0T5Ef5fR5uVGISdK6
b1aEarPP07N7Ljo73qUvjKfzIKFn08eCue23jcc4EIt9X04wYDszeJpZ4EmW8o/SdO6nlJuKs1xe
2oZOYGVjT1N0qa68gI79qdGjaODvUrE5pWROcAdGN+1NMOrdyFU8JgbWWJRNiDr6xHj+ji+kvUHU
7QMhSb/QKcK7X/mvLGIBnoSB8HLwe3gqNZ/RIRYJSAgSHj3CZgtetuu7l/P7LumQJPRiWNEHRntc
wpDB9IBXDy1rM7p+cWWK+DuTnFHt8nd98kyh7zFUaj0XYtBmH4uE/8T184tNjEijFHq9CXnzaeRx
wcx7Wlbe/NwyTzwQm1ccy9cbWogb1G39C+12Teh6vGF/ZDD5zMbzw6iQHIcgt2h7yssvECwAT5le
e1VYvbNjI8fbM4cYvFAueCh7VLikYGDN6MY8e2iaPUbduoOsNrdnDkVrwuid46Q/+j0sLRShWEu3
URqetXu5x6RE6XdNSR3C7Ai21674QzVX+Q1NdubWNlkI/CkpdhjIFzuTeWIWU3o/JQ6dYHqAYPF9
MHVnspIwQsYaymg9ZvUGXHm/lbhtXsWJCVTStPMdhr5MwxyG+fndgjDX3paUPRDusoQwBKoGqoo9
82zOo/zMk8LfNbjoY5nvFnx091jfFFvMtBEg6wGgRzhT/J5m5erCXljGgon5LVcN+dWveRhnbbfO
MFK5NewmNPevTeoYByfhqyKKxJBlFMYhCujZhJr+JV1086bIv4PTwb/GZvaYVGhCgoFA955HVyYA
3mtEferkKOqoc/YFi/EFiTQENdKv+Q7+LwDxlbzYGY+CkkNcLx6Jf1RSAI5LOgGNnqzXirE8a2/5
WvUsDmKtNqmSF3gZ0oALHQaUHUpQ2dskZgfT3uJzi3aVM9gl9XaoK5oAqtLSPBBv0MlSxCyKMSxl
GC4msnJUCtFo3ScItXErpYGgGVhMGhrjQgdYi5aYpuE8CmYRJteHEm77oaRD/21tsgL6Zs6Tdkoh
nNB9/MTPTu6cjiHROfLeWjJgbpHh09Zb620HmO7Sqmbfuynvry7MbdKaMOVcqU6jRwAtHR7Nwgw4
P2vOxYhXS34kBJ1gLys330k19FvDd1gC6YyE8G9Ed2R8S7S7SO/9qP3eevx2OWY7Jj0xYMp6Io0i
pQu2++pj4ARPn3Rh3XrP1GPqXW4kd8ZMsli7pdizH18tqaKBE+ZyIbYcFcwdjmPEopUyiHrXYv0t
d9BUbFCbUjAIfNHTf7t22RcLSfaWggast9S0nmAkFFs81JrsZonBrmFNzCu0zYjwPQKTOO4ys8Wt
vU6HO5KD+DOSHYTUtsfLdwJfkQ868Ay6frfKpEFq27bGVRONr8ZQ19/6YPoqU7NGIGGr/Lvf2tAq
WSXWtQ9Z/ufDUKGED8pcUc/qIIWFTYZitMzkZGxjtiKor350g3P1auwLG4faE8oF37usAtmXBzzJ
B+NlienkTUYqZ9dw+2yguV0BtIFWX2qplEutZRdbVQQshzPgVeK5Tz+EYn+RxyNC+lGVSPpBG1Wh
uAPmganl+y6gIjAsiNPdiIxiWcAEJN/TnM3FrvynsYM67gzMOpky0n99XZ0e/EEN+XZdCZAdUZHp
oc7iz39o4aPbxMIhvBkPYj4vdsxBO82/VVApNqrJv//6au9ydW9X88j80lQCgvO9AAzdpUFPcTUe
ioUBoiOBII+MHalL8+17/Tdd9zeHAC2s++Up4LEeh+R/bF/zevgpXffHB/84BwTuB0mITdweELi/
iQL/LeKVH0zybTbHayjcP4p4pfMhkGh1fWL0P/WdIlEnW+faKHl1u+o/OQZY9rtsHXJFcn+6A8sl
bWgC4383bM2+GqKoNY5SiukesS+2uLJzLssCt04kcsSs62Q9gOZBzVHLdQcgMiBw8yGg5/X8tMAe
ONo9UlfRDv4hp8MMQ7Msq0JYCBnhdJXs8iF+IOw/yHyYYIV0BaiJ6nke87vZokKRz7EfGqwkG+GS
AaLsDUiCiiKe37mJok0W1iNNR8mmaSwUs3ZcnuQ89U/w36lPIDfeUhgtvpnGuFl8+2NGS57dDCzo
0Xi/BKgXs9p1LtrZkbhdo7d4AAM5XtUUnY5snxgrKbR3FyAaSWtAxrxeZte7LGFP7LJsHa4keav9
0I82FZN6dQG/m+apcw1LbWa5RNtJKSQgHvygZLNgNn9Yzc6EjCGJe53WuTY7/wBD/qExhbdhtxc3
ZS6OtNaXgAYC1mKfwBUHUBCQLSKswWzKkAGDGKwSHb1jOIykc4tpGLwcXlZJW4ikf9YxvCtqdG6I
YwxIb/iae2XF5CoV/A+H5KCKd3mxPkIba7fzkjwHi7A+YjfjXirpTZ8rUVubpEeeZGLKHJ3g6lvm
rqghfZJ6NRJhHqcqstdHnBNgTqDHqn3ja45vLLmQusC5kARWn9GQV9X9GppOLacNorGWbgMnWx4w
hvFPQRwATJ/ZadSGaLKdL0oCjQPu1+oCtSF+MSm63FtOUmhMiUaGzQJblJY5fwWotRni1Ln28g7Q
OC7w+c7IV1bTYQrKYpONMj8ZC12sxtYoFXzxC2K6tetucPZKjQRYPTxaysH8oN6DqjdBOaquvKga
3O4zOBDnoVupNNJ9hI+zkeUIy2qKfffRkJcXnH98L76lq2Sa5n0AT2hcL+TadMMDrBrOzh9nc+zN
R2NaXJ92N5ppSuK4mDSwtafK5CtQ7rkLNlHdzGm1NO2+7aOKNo/CFJ9wWFD3s2pXrNmzqtUmiCKr
EQ/GapvSexyFxtj3mJgvk/Gc5E5KQ9DqlXRwuKW6wQkA5k4VtN+cNW6xq22t6KEqEoPg1XPaZoN+
J3mOnCovTwZ6IBEioTRv12l2p31BPBmFY5vUyCZpryYLLhJyAIWxS1fPjkOOlstjFyVoiDlhoQ5O
iwB6Zevav7WJtLZFXMa30H/bWxd65W6AdhW6iajmC27AvFlNjhRl3BKHVMV6wJWsuXOp+T4HSPlI
ebdCrhtJaZiusEDgQ5Fl0WXiu9Gl33gGRcR+wEEnHpSzxexjQKoqKo9XvublJnPsYaHwSbtfYvbD
wzh51V3rN/GF18pNIibnNqBt8ykqGnUEf2GBqDDi9a2T/b8b4t9tiA7Zqh+ilD/1tHx67ZO0ioe6
+jErZr997I/tkH3mQ0C3L51abxsi+82/tkNLfvD+yJW9E9Vb8oyYA+FOUes/GTHnA70n1KwodFFz
Yr/+J1vhzxEVeyrVMUYcXTbC5MD63rtsrdeW7P3okngoyjWsUjXed0Wv/UDmtv/thwfzt0Hq+WL4
UNKEg7WISwvPu1b12OFcS+VB3icGBPFK1tbTwrL2nKcDdXsKwc3n2PTkazBl3eH/49KEp6aPFxyt
du/K3KmRC1hhuFSuAXiCKuiMYDctCCl3SF8Av/hKWGiLOngvfUQFa/Pry/8cJutv7lmSrnafZCYv
7v3lLTsFy0YG/77A+ApbFmPCS8xEo9JcpRwr0o1Cwvw3LfsWY+SH2PyPizJUyLYS53jvzwRVU0Vj
3JBldEDwEDf40GlKd233ID6C5wby2rVMbS4+wpTpLxKwYN/chubBwqCmG7bkSS8aam7q0BtdHO3A
uclXTCf7NoycyRTHqQFYu03X2iBqaQREUlVUtv03gIOfuz7evobLEk492BHmn9AD/uzbo/ISEpSj
wVgZC3mpCiyX934P2Z6Opvqocnoyf/3GyEb/6eFxag44mzIx+PfPESJ2Hl6mkNfdZ2KCzW1AIGi9
KvluZqq9X8SqHhzZiJPjgbLYLAlts7++/p8npnbYxnbL1bbexL4/X38KgipvcyXuXcNVD6meMEsw
qrt4asXfKCDe0SDPT5jyODMLbAWxwXtkBTDcoTLNUdxLWB0P9EbD0p1SoaXFtt1/U7mUr2hb9ew0
sShovJnJYmTwzrIcde4//+I2LXY2Ublj/2nUWtKog9aM6KomqGpDicK5vrYwSgLAXsEf//XV/mqS
4Byp5yX/85z3GhOSELTN2ZN13/UDuNUFYCe8SFUfR8/EOLzLSLlOfX1s25RRDoxZnMopwDeMCIKN
W2RrfTTcST3EraNjT9Pyrwe6tHdicNVdkhD98VMzZpnjV2q+Coipiv2vv4T4i+XFs3h/KGVom2TE
/jxYsiKGLroE4j6KyJTsV6/rDudxo4ay+dx1JY0fpFc+VwsPsEQQDrt8LTCmWIL20Cyw2jdpLskK
rfNadHQXmP03v0PF+ev7/KvbpDMTbYHkZim//HybhrLGyQV3ee+AykJ0oB8zfMPmszDh37fQbv5m
ZFvvZxHVU0Y1ey7nPdqc3l+xHPCrMvOlR3pu10dnKJ3XKFD6HzZdQ6OpoWO2S5NllEZRR096llDr
mJfgMYW2jDVztQzf7Jp+cEqncCINJgFEORZOPSbOj6hn13ApeAJr7CevPi40rl0bBmwuy+MLrctY
/419NN+AB/WfrIuGClFGCzzkJhK5yZ/EJivEfTT6S3xf86kQLsbabTPPyG5bu1iGQwWgdA4zb8oG
mM/0bIcpno7JPkholqJIZdomdK+GyD2zph09/t4etDZYYhRtIzw0ES86mexE69a01wBxZTIbHxsD
u3taZkBCbuaY7u8Q3/OEk7JlMjOyfh7pD01w284zeOTSb6r7sRoSsuVldg0AoD7hVem1W7/uUIE0
dCO9CDiRt6Jeiq8AssW2IA7AR2FZV6rkakq+LU69QFZdEpwRB/bvKyzWKRTArG3uWhOlCpYKVFoQ
aZMAgkHmIzn0PKN5HitIZViEeN4jGthEA/LjHGmgNbXTpsSeFjqgGyxdCPDY/9IaRefTudIP+WFV
64DWdBwlUXrLuewywsb72opHyugNZGpojsHjMk9iDD0JjvbemMmNEKVrS+KWlqAkLJO4ae483Ly6
UAUyibaoL4PnOBnZdikUHL1lZMrhPBFQF0/meEdoEOw8An/urnac1x7mXBpWPqsNISALMV7I6qFP
Fz4GKhSTj8gGAOX3USE3Cm2Adw0hOafrMBKJ8Kn+VSMN+VcgiLLlBpluew2zxEf8vtSYA20arf8F
WYLvVx4MX6GguMiD0ctcmGnWbQO7jE9Afbt9F6QUcmqITpAgX4SWHFtafAxO0/qykF4NnbTtL6hl
RntLS5VLLVqubXqtaPdCyKwlzTGmX8Nm1UJnc+T1gE4ZkCHEDQR5rYZmYJ0RHjR0IpRetGbaRzwt
W9MNlZPGtAWdxdUTKX6U1tWb7HoC8Iv1X1IstbctPdwBOSQv6PywHSD3FFn8WwDXcEigy9QQyQaP
2MUtt34ugubFgCloc7t5ViGzb5fS3xumDn5WhB11nvOkaeqrjybAXdp/MkO+IvaHcoUBbUOrHgYa
H5XR88aWaGBTAPowhpMXsK7gmZJepAujkpqvYDOVnHbB+wkPlHvX82aRgvNS06w2qO9CvpwD6jS6
vsqr1zYkXSrj+9Hz8bRb6Tx6jRwsFePUJF4dCp/VqJydVxWtwfMM8Olbv4LrdKm1XRuUia49WQa7
sktaKhzMULT8cDfBLbaOpq/YTn0krIueR5eaBxYt9RGkpfXUmpoYuIDjvB6GifWZ5SwC0goJNqaF
deB34lVTQaaUwId0EL9BUamG3+XwcDpL9yINBV3vUGFEdhrpuaSC5HBXMWzp68Cr1QNyQTb1N8KG
XiOJ4XDPAapyxDq7O0S1339rA/0og06Kp54E1EjAwd2W40itAVIEIDHCTgsFWbqgO9axSF64srvF
c6Q7xPEkTuPKG5kkkeFizeJpQmKysyzSM2PKccMuMpCdEUSyZFAaKqWjx4Wi4KsoF74UU5Ir5cnU
f4P/rx4y/StgYQ2dBRnRp5lPzisdf4j6dHjUFOy2bRC3n7O8JPpVab88nAOFFRvuBVeown21FPE9
x39ebcvNKMvPvtE4rz0TwGBd1q1hnsyEKe3WEe106Lrra4YR787Sd1vVLRtPX3eHnvrsg5mZBOF1
3QY7B13CZ1pS2c3BihrdLsK48NVFjBihU3aX+rLtO+584jOThqDQ6NsaHdZM5wBn1KFKTsPRt7fD
j6335CULIPoUziLJWRo5pRcPzZO8mZFWIeVz5GviweG6YNvhBhtLZSv1FJT5u6YU0ZfCSLh4dZ5C
AiiU2k+q02EQO8+w7eZ7X84QDIKed9REPsEd/xnEgg0YhidrW62PKnmCyY9YoHKyDNiXLm/6VKGd
vuTr1EesN9yHdBkXSoUJDjZgM9PugDOFOA16eDpVIU5mnLEz5XLkJ2cT4ar0odzcNJQRgFklEWdA
4VaMWlBcPr0I/N81GTIGMLlGntkg/OBZTakHUBZc1W5oTbiiFlXrTZGAgkrKmWdKHpTvf14EcpDc
D0ta8VSKHGcsd3HsyxaThGPj6suX1NTDTM96bNKbzzhV1McAG9sD4X57aCObt5paFGkKNnKeAxjo
Y1Cl0TMCNTCfS+y+dv7AfDWRPe6sdDVIzDrM+K7ruZPzSJQqE/1xTlkCHEGMvhMdVp7EtG3c3wUK
OfWlX+sXhCcVS5OFTeKh7ETwjE+PQu3BcZQ6mjsQFFn+SAxkzXH5uJiZ82pn8GktA8+wEJMFtibl
i6eZ/lyQMdYiaN2JsgAyVRo0n6HYM9FbMau78zdkJyJGxrEmpmEAKM75wIs0vvm8CpspCoXsKWXp
xpqWI+0TiCrxhGk3r4VqrbpbUYBiSqJH53nbXFaTEdUUEFdtP+G74+MdXFcWGC16DsBRjSMnGf3U
OlKgARI8UaxbeGhMek3ZzdNIvjYjPNuwSqDlFVgFPJjrAsLfw8p1P1LSpBjbxyxHac7ksiSiGjLH
HfXUhCFPg0YeqYckjVybXiivPSwpxc6dgx+q86C6WZOWZ5mvodGZzivMGUYNfzt4rpTJsZWWpMu8
rTX+OYCefkVDEZ+mJc1qHxEZzwyRCPhXuOrNJc3Oa5+yMuOijgWLPKEIxsUULcDOa+55fTw/gLe1
SB/cUeyzLuiFtYvxpw3PYzeKFduaGhrA/xQKv3RsQ/fn8SmtMbrISARcwP2Q+Q2SGIaIb47dgUrz
dJXEuFH8MSBK/C6/o1jJ0aZ0U3cwdB9bsTTOawxZ4ek8Klws6HH4tCJxciU0R9FW4kQmk4eQ9wZC
VRcWJ4ICB3hhCHbEoMnMIgnRoX5cN6n+QgYuX80m7fBr6+TMny0EQt2W9V6ckEqST9eLA6w0CMhU
g5lZXtSywyBNs/d1w6BBO8Fqb6fiFiHves9JnUFtIoUe0aqwaJ9XQMozebmtMe0rwyFCpws3OuMp
2d7MtNEbULWBp7XM5NIHFoU67qYI/xc/YLkCzbky4Aammd3i87CPm0U9lIvs3E3DUY3870Lg58R8
b0yG6R3RtR/ajGWHgrsjFlofIdyn6jCMU5Xcih694yV4FXHqzIm7cHxIxOz8NaPdFNHaPQ3OSBAS
G3nwbM5YmFSN0t/XC2YkwJb3OPqqvAXIAXQlMsI8yPqDU7T0N3bMHTzWsu8xdgkwI9poY7scqXEG
tpnAYGgesrRhR1rSeQ0hBAwBEcriPufZwnNOG15o7cwrNnJjRjNo5WNAFLcYxCYT3SJpQ/nelr0Q
IbtmecnJXh0q0UBYRG1b3UQYjuCkWhAvuJZiMSTIjDZdbw3+Tik6fK9avfhfZVFMIhLYFDHVKGtO
MEUF1Ly2yMKQZRvDtohm4xFPPF4PUhT+2QaCh2Q7q7ojAzhvfBtnCwAZrEvtRIxT6pCuTXy6EmP8
DOgEM6gFzMwZfVDOITIfZztgqgZJCx7Q7Lg9/I5INlk18YGMZu4UpQM/L0pYt1ckbPnvNTEmu0vQ
BLtM7+HCyKJn1F+MoPPBMMaStrkqwPux5A2sabWrvOhIPq07eAmmP2kAf3tuAnGKlRM8C2Pov1kr
VXuXBstLzmC818q12D+7jM1tLGNWq9VNrSfEdkV4XjeDLGdxxL7d3i1txZwodLzZRLDGyw7KOSQ2
0lezkuD/wVKgpmfd61qm0FAweNLIQMxYO3s31ivzutbsQJztkgO2DenvcnLN/ug0IzNuMGi/cnII
7cZbhNGSIzHYmcu88uUl1G7Tu+TApoZDz/kGLdbYXdRUEPeFtCyfs8oAPDFfxZPvC1J2TsCqRJ6H
R+JluFxtosjiJFG6bCwu9aUnanF4HLfgeRtHMR9WjZF/C5kds/zuxpQiyZKVJkj20vN37jJYe66c
PCUdBACVuLopeUk/NmMM2JwZwurMaQdXvcIavY3nliYqG9kYd53h1pRg16Dyd3Znq4MVO8bXsbGd
bwBb1t8LosrvdaF6wu25oOMRWTiZi968xgiuxivbn18kt9uBO4wKTMbaKmt3sNPbKwfDylPqoZ2L
Mzf9VDZD/OgS46twLItlm/eOebH4znJCxh19TFAafa3bhZ/kVGbaEylXQQwowODEWpjxjD3yYKJ7
omPJ/W+F5/8Js23ROkSm6v8ufL5JvyZp/PpTfeePD/1R3/GtDyDJAhjxf3DJyNb+Ud8JzA+SzBOg
ME46qJx/lD37HwggTXhKAUwz8p3cBc22Q/K//6cUtDs5/5ZKk5j8J0Wes5zhP/kix4KXBEsXyy4y
vFKatk7M/aDSaRWszrboqb+jWCMsm2Ic2A+dAyafGm/lQv9MOAeCQCCn+TFVFSl2uh4avCcCtnXY
DZUlMNDL7EltnMxdlw7kWSGzY2yRPNng4MVe1VY9u/QPT/ovSkY/pwy5c3KFKMOpGfmW4yAq//nO
gc/MRUR9+3iOH4U+ITkz3g/LpIk1xsIK/OsLQjP+KbmmL0keVZCfRJLuQpmTP1/SgPDUGGMdH103
uK4H0mq4dFPhu8gkQTTerVC4D6KjWBXMNEgxkeXkyQOabuICJ05EfRl5KRv+OoES0F0MFNEtnQ32
Kw57GmpIEAqC66mwyPhcyKiqj/Qgc0iJ04p8gsjxlqcTu2UfdNTIeh7PFc/6nGYGVY4MV6zO61A1
nFSy1udSQRJN8a7zIk5C9ERzJJ7BzPkhNWgW9JJVeNxHPSiFRW8ftEgxCGabI0wH3fZikQbBDPRz
VlmfJiSUjyQXd3jUkJo657FNiAT4ciax9SSEoSM0jzasTd9l7edzlB27M7ehrNQnEnIIPa1pZkN1
gUomtyopuaNAH4ZoD0nUxw4n55WDtsGmbtFE0h+tGq3Qac1nunhcb3GbFwvPi+Rq6DiWe3FPlGug
n5gegB3ga2FDt/nU+EIZv9nWwJNLex3ZkpBS9WXX6BPK1KEDCSOXcG9TNDqWasacu7OyiZBTrch5
NwYi7kR7DBEX1pyJsdTDajJF8lI5oF11jmRxg+dp7Pg41i1duW1T9z5xcfkNOYLzkN7SPK4chv4l
gSLVHORKkWTHcyRz4Zzra1QOCN+UM7Tr40I71BpOFEfFMV4DAp7zju7phxNw1OD96VR10Bq6tFYM
BtofxBg3UMjWe8M38cbMFJNXG9n5uBOlaFT7bmESFrTTEGm4Hvxa2BcFEmfdfeO0QlswquWJXOdw
MpxAecAdIiT5qzOCn88G52bhaPlsTJ44zVNT3Nl2Hr9aMzYolPakz5m08l6rOJ8+NTYFsD3q2vqY
zBjDTbSR+2GSQZwO6fHLlytLuQ62V2y3z4bb9sP92zHVmTyGDcQmHi+HU7e7NVE72Hta5eAnh6U+
8HGK5pS12tuMEWl9nUtdlEXqIufv6GPH5jO/LCGPq5mKWMkpCr4pR7P6nDajxjmGhFXiCeYMr6fI
jdYliz3zbvGu4nC1euQxeTJMLtAbTEpYA3AVekC6/cs5r4IDORPBWD0ecGo1lntxDg4dTGObTaTQ
8MRTRgB7Th4BS28PZA5IqNjQceONV49c5e3kI5htpHlUxnPxzpHuCCzmWCW51T3BazSMZ2OEzHs9
WJ3R3S0KjMy+WOjx+7iW1B8+ptIs84dIV8IVzpgkdidizHWSLBDrUvIsO+ya0ZebM2FREMQ8iMYs
SaEVPvbktNUxe5qWw1B4Hsi5MnhxNYFWt3UnPSmGDi0lZX6cyVjMqcWnoyYBaJGb+6IKf7Ruswhc
G55HIq+/evYsTgkafcLbQp/MDM4S6uBFcZf91okO37ONM+KNa0f+kH/qWCFEgpvw6nS3NaIn1yeE
NiLS3EVMmorWBn4SlYjsqm/hoOGWQu4mGzD4/uSPUZv/TiMtLZuoZug/hF08WdZtyf6zthtrxLrs
MuK0X2LWWLumeZlY9P5vKClCsDTS2MS9egWylsb+qbLN4MWZxiisV/HoTbHSYOh6/Ij/uIFKr0+2
DAwAVyPAILuAiWJHEQKpMp2o79mABbeJVzoHo5/dGZdykFDppziRY7+XjeNWdDrArKpYZOrLpvHN
595prJCun98McIHw2cEY5Es1bNJkVv5B5Fb8pegj73cVA9tB7VbdDoV7DXirXdCudererb34N8ee
qh3dGnKLwan94NP88JuQSbm3KjOOQm8tnY05eB3plSUH66cF9vCkAXA3cfHRynoP3E0/7FdjUBsD
uV5YdTiBTeXc3E7FWl47+B3vRgyz7lnWm98IdJPHSRZ3s2eq7KJrewBaCxQPE2jxBRD49JH0TYGW
Tvbx/v+wd669bRvbGv4rwf4ug/fLAfYGTuSrnLhOmqZNvwiKrYgUKZIiKfHy688zJO2KlCs3mQCH
ODhEUbiVPSRHM2vWete73pVConrncoCdh8G2noUTFxhYp5cs+c6IYh/b9t/6ez3+xKGT/BGZm8Q7
X9dZdOnAxP7dsxA4Vzl63LeOZSIdZqHhdUeKA748qarz1dzOvvmpnSLwYFC5W69Xl0WoaXfmKrON
c08xowphGNyB84yczu0228RosG0rShIBoG9sDz7ayiR5P4+TK6X0qKLmHf+gL1RCGaS2t24iBIX2
VEHYu7ttbsx/dRPPugLODy7NiWshOD6pncsK0Ye7iZdvbzHY1bUSRdVNMVHdG+TBi4uKAu5prhmE
pLtqTduvzPq09/f1o6KE61vyzfVtGqVU/572UPp8COGfoG8rcn8YIxeirEgOHjpz8UZ31qKRQYPj
BOCXU6UQqDuaSA4lquQsKDl+jUAjvJ6eC8ldTZq+0GVC8I5c4TUd3NWY10iUF1TMbtHV/kKjdQxD
koNVflf6v307qgfpZYG3RxJh4H3tvdjaZe4KyepAeBi2kmKzRTM9sxSR9emp7KeH25vZ0ICZTrKy
7pD9RGVBNkHk3Z01aH4smp5ltGyZTnz0o07f6tiRdSCsM28I5ar48wNHdrty7WSC2vgMhUj1LhLN
tMyCnoWUZMe3mU37ye++HzQjDeqPC9vaHFICVFp0QG+kLrcuvfnn9giKPIUTA1lIvJE2l3j6nv20
tJhOXs5RHA4Vgy9v6KxXCMXlbpobM1rV4V3ZNJADKXfnnMARyqzkaakZ1Un3kY0Gh1tzfJx+gONF
6piWKQoDbFvTjggGcWRsFUrrrRlFyiIbADpcquA8P3AXxCNc0ExTIzLpb4UQCJ3KrsyarVCvB/YF
3rSdqnhlbb70LgSUaOqSUGbjDe5iUV+0NSe8C72pgYR8GtPRN+8HlgmsaiTX4bg7VOYOKBnBdrOl
i1lszrQ5oDyCauy5lhfXJDTypNzXr4R0x/YLm4414bUMnZ8GLxb5+3lVkLADd5pbf6h0zJvVyh5X
ZBeikwGqCM7U5q9Of23Hm90R/XHouqJQAny0I1wN8e06MbVZsGN3z2PsZC4yoPWaDOXpW73wiiwO
eIb44DYh/8BY2mFBhyGEh2ZNO9VqA95VZ3nyJTRYMIGI4Eqxak7f9KX3gwriQOY0IZoO6X57mm3q
sCHUWWiRSY02Bn2tFMe7ItDhSz19rwHjSGx1uh/bptDNgW90vNM8J3UU7MmMFCDFmmt1Y8JitpXw
Y7Kv0zvI6BBp5hU5VpQXiSrwtbI7yBd03DDofUtwEZsL+n9mjyr95/A6a6jc905gJeEr03JseBFs
R1LJxSLR/2lI8Ip8syDvj34GOkbcyEdl9Mu6nHBe7tcGS42a3dfOSvV477oQnPArdZI3gsPXtxAr
VDQ1+AcscWeCr1s6Iv2e04oeVhUciqmXzMV6X/vq3XYXbr/QP7BWzxEeBqbONHhY29UOniZeEp2/
aIvrfffh4EIpBA0SLYiOq+Ap4KXdpMOu39QOTjeSE3+qq4k+yyhv898WW+U1GOdobVK3I3YDUA5L
1NAGZmbrZ8Lpr+rZ3gB/zmg9vIaOAF7NyU40fnpxvnQzcCMhYO5iaoakL6fWXGUFiWBWrgDy14I0
iFYeUY6pJERJp2929FXzZuSFQXcRnMWcDbY6YioqYnlKNUOihcASbVJWFhuRKPH0jQZMRbYc6giW
cB6glnOkDz2jUPcQLYV7iQeRetl9m8eaAKsHvyFLW2e3yXoPEmKsoKd5hbcpiUhsnVoakSQtY1Jj
HorB4dtJQbA0RfOORIbIfzSkNhfUi5xOKNCPYhsQHBfaqrrPo9hFzuz0mxx/P3CSXRPA1DX1Y8Ut
6kIoethk2axJdhTUSt/Sghh1VQU+1OlbHW1+C2koJo7udUB6+vB4o3e9lu9LesykgkPgkD8lJSRo
E9QxxbdGVL6KH4rT68BPho2HPaTgjH9DOTz6lqJ6o6uIKBoza1saS8vS9rPUIOvbACKWnYHqbOvQ
/C0uS+0VS6cNlwjcJg3tJQuCOYJXeEJ63+4Y4TxH1AWJVxVx3w3svTUZdRKnVr3TaaJSzp2vlopY
5TkKdmpGnRLUg0hPV/61lldkvhqOjLLbgCLWgcBrtqktAotdys9wNvWbFLUJNA0Z/95GLxlteHpa
mNfuZBWg7xQ4evzBXGf1ZzLLHHcTDoOrKk/VZNbyZzQrK+/NogQay+YBuF8AcDR/629pxXburAot
eG8qE3oxKmqw+VCANlBzlk+uSsO37uNKRTA3tiP4XfscaUKFnLHyDlgasfLMNnfuWw/RCOi3SHRN
7TChl09ciVIhWh6jGeCrU7oVmzv4HqqHkjd9sHwooUK7oYgXer2O6BMWQqar6deuhupjkTrQcNaT
NfvFhSkEGFrRzv0esXx+tifbOr6xYiDKKzelWOra2gdERdG25tMmcdU4n/tgDvLihsKv2SYQSL0I
as030HK/mKJGmBK4Vyl6DDcrZ1J+TMp6493rmxjac7Da7vMPmZ7xhWiJze6O1U0SfIwRlVDhOOTq
9pK0E3lNQTsm+x4HH+1EhbKdKbxFoa/NeqlbEdyddKsKKKoI+Zrpy80fNmxYs+Bxf01U14AGpK2N
dx1PKNmBzfmkxstLK0F6+xwcBOQqrz2AcGdTQXrY63NG3CFNr36tCz262Zbr3eTXMva59TaoObVc
JTKAcLyQUslfomJv5h9VitSy84DlQjE5aHM6hQRaJNOGMbvfp5kdnO+gn01regTQXlmkiin4YgVF
SPTDSbEL34Z+Szn/jUdH7jnnqooUUky9tYa2+S6rr8qQGJbmBi4o42qnlOknNTLhKzm+yQKLqLvS
7iZ+ytnQ+AFg9qw+uo0DNcAmADdTLVuvbucAITBK6youv5E2nN87NUTgFoIzwx0Po3tUIBhrzVz4
c8+bX2S7rEiu221l0eKPFcqegTS4dhaR6Qv2gkkuXS1Vz78G7QWb13KoF9PUMllFW8ciMoNZxLxq
mcDM9XW2+1r5cbG/LH0yCG1qBvU2GIG6cCSQcgCPiyma2ahrgcSmwPNvE5EvLlWyrdPm+LOtHSCj
B3Zlv6OBxg5mhuKX68vYCcjvbtwV23STTMg0hJXBxBrzvaFfrukY4X/Ioi0PoiJXkV4mSGd8jGp1
W/5JSYY+QbbJNoPgoxO75e69WYbqJ4siWIN2VXO/WsLIZMmuna1mUDKRQFbyKnxjnf1X2BvOY9IA
dB/wgCtYKwbZnIAdnOv27zjmlM++NSlOTNAv8PcJKqHzOUpfU0y4uZ6FKXLZ5xUtbVTkCqLaAZJA
FWa2UZB6p7bVL3MHgKxGEKRoT/z/r4R7pRKOAjbctr9Pk577WZ76D/mb+NubKaWwm699Qcf277uM
qU1BHE1YQEQcYn50onASnoSi7DPOaqB2PCocdnydZ6Eo3aGhDML7EPrVpo8rH3UZUz4CYIF8J1w+
gn/ruyrEhU5V7xhHyIfTm4NUo6LC0psC8gO4q4JFocIeU66DMp5uVt9wX3+hfffNGk3UqIiuN74y
y5T5hTvf/aEiqLfWs1d8dCG+dfQIHOZkbnlnhHkHcXJMkJc4Dj1k47RS7ubGH5VLr5h9cBFtYDwg
9ajkNMZzk1WEfCNyrIjHXVGFFl0U2hcDNaIaPd5ksnqv1JO3dFm+zCloTcjwIDILEoNcPLUv55M9
am1K8mCUiNbG6PVESAkHf65RDxI/VnRqNPzqt6yOr3wk+7PJRWW619ByKEyHUf+O4BIotlZy5DUm
KZHcuRLsppUefaaFOSwFVb8uQf43KDQDGd2uwJvhcNQfjDxDHy5ExcmZvDdN9Pb1XM8usuCdMdl9
IHjcUUm7eqshtPzBcr+o+oQex8hQZjzBZq3C3ofSaJHIQs5R8byLXRxSkr6ZprvgYzmZf1pvi/Qi
yDYXcLb+3KEBcOWHu3vQ41tEtb7WKxhg64AStyK8smoegwZzcKCi6GFTGgoShg4NLpXiITJW5ysA
yXdRViDIrSTTxMq4Wc3ZqP+y2qxX/8eMS2clRRXsRSMq92G3TKuPy2wX5tmTMpv49D72o/xT/GO/
dHqgrqXcK+YK26GBy/TsVfNQzROfGiNcoJa3e6RfHe3OXddFVhawr7nYgyHKcN3HE1Wxz0yCGVHL
1P5Cc8ODSfq7aTj9hu18nv6dU2/Q8l5uHv/9L8QtDKIA2VlQgXTR2RIFtFwUmh7Ogg1ZBWupA3T8
L73+Q7yLcrEMIUL2aTpCAPCfvPxghL+WADrBvBpVZDqJAnExm4cv79L+jDpNUADOJXG1NxzREqBp
m8Hp+k9mYfG4oe1zd47zns8bQVfPwOYFuEjlmbgGS4BZADyDpiNKh8XFRuGGI5oFkx0sOwl0wIPA
hU+Cd/DCJMAjO6POWqMqT21nYWyToAoCmPwskPQAjTL/+qoPN4RjnmmOTYoSd7G52rU3oqWAS2ex
fqU2hKGfQaq1cF5JYzRX3yyoGqrkJhWnZDrGtgpekmT/7pNROXNIcZBp666BQbDtM4BvnHi7OxhH
ZxDABQ3ZvYBglY5BIETo/AO+68O9YLlnmmoRwpAwb67RHQ4kiB1Zu2jQexdtffgIRrsYBkekaNvL
HKlgk+N7f9qQSdsCvEQyisj/w1cQ1+D9bfMM7RKScqDezUXUOq7DUbNZxLIWES9Qg6mLwk17DXxl
vESToF2QEdrPW7d0ROcCwbZo2yB3LtCngngdzKCze2yuQ4vg0HYCPwlvpDsdxzcLPLvsLNCNm+0O
SmNBURLXcC040NsdhUZg3eejmwWsgsiuSK0FICm0LvCIOQSba3BGus4ZGSm0Mw9Oj3HZBcQRnfar
eSj/a7WMnwP774ihdaHgTtQAktWuhcGOcFU8CdWhBKjbMaM7I3Ssd+u+SMwCK95A/h6ks52FgadA
ExuQPltHmLJdK6PbEZrKlpbfEZgEqDeky5uLAQ+to0sdjSA3svfaWRpd7EAhj7RZMFjwWD/A5fYl
B8ZRTILu0oqLeWqu8U0CPIfWh/nxDdHEylAFm2KkwzXAi58RYMIRIXsurna+R+QnkAyVxlOMM6ho
2Lwnl3BgDlQVb0p4Skz0OCfBoaZM1hoAnbEC0JLrNsLgZMBvNoiwycJ0LuX4NoKBZpjkLIAxEx6S
s6LsrLmw/If7wdUBIDk+1W47iHTYuLyEhu0iOwv6mQUjjSZt4mW5BrMgogcoozC3OuytPYrGZBWa
Z5ZzGLUzEYhpmkhcHK4BxzoDrBDxZec9tCH7iN4e70CR9g54fTwt6KSdoziwB8ROmENNYYLaNTK+
nQDyKzsLhgWmRNobWmH7lsOowTgDuoLDrI1uC2AIdOmTkUwCzFQgtb+Aw8OtIKR0LdMk1wSWIK7R
uQewQFXpoxEfSHchWD/NwsAg2C6l40yCZbXuwfgOBQBwwVCVtYckLATX/OWsk6PTZYDEHAX27VYZ
X9AEcaN9qB/3lHXWAqVzuAjtSx7l3gBbFAwCNS+d3RybgwDtW1TZy60FFwVtsquwn5+/60O7wBGJ
Ny0q4rrDYXzOIhRx2VnQnDMT8JDT4eW14BA7ilYwosqsuUa3IzphdKm1QMLBEJUL9KxuV/zAOrbJ
N5Hr7HCG0Z0RoluKbPJJJwVJJZNgtj9/170dIVJ0QnuEvHRzjc5dokBKFkZoGIHUyOEUtpMw8JZI
wCKXbwuCxtisIplDTfr18ZZg5hAYdYcDBuZwDTQ4AlUBDR9ydGGjJYqxpC0BxBQWOUmX5hq8v4L8
DvI6lEo8f84NRxQ4ibBechIsIgJRiIfQcvuSzGpvEZjamYZUokF4PbZNgGsgja3TI5ayPkHC6vKr
x3Ejt6Hpw3NgObZZEMeBbIbBMICNSTEDk7SrYHgoshUI0PClu/TeiDYB/GpBAJcyBbjJ9GV3KWzs
HMSBKcRBRAILKicYQ3ONzinQYEDL2gL2ggGCLpqstKtgkFzAQeQTEk2Yi+Ya3bGoUaHN0pVaC8Ii
kEojDf9ynskmSw/MpClPp8Loco6gXNLIsvCNyKSArvfPA2ovbIU85DNldXRrABC4Q7d+PGzGHlJb
io6WqII8PA5tjdQKpeCW0/kMo4sUO3FBuS1AlhHGtihDfdkQmBBRqFIVDZmaa3TRAYZAOl7WORQ1
8uqq0eFkg7VAceQZ3XWwFc7ojgNaAKrtzpTaBOjaKJT9vLwKVBVLCBcJ4Y/R7QL8GGmfSGSNTNWE
nfh85g9MAUXhXfnZuOICcsNCKlTOBvD6sNFFfNi+/sAlgrUPM0dQ9juX6TvWwD/wHp/rgaaeHz42
lUD+MnupYOjvfuGpAub48676pSlxocaj94uiMKi9d1sHI/77P73ShiYAPPjwKSBs7tP9efeCx7fu
3evprZ7+57W/TBfpg1c1H1TdY94tNlQT/Xe4+LrYLA7bBOKesMX/epJ//6v3nAff/ysDZ8FgXBFV
So9LWX8c9QduuA/yAwe0YV9kT48ovsaWWSM78nQR+t+Q6uyXnrbFH9JjU3KfLh7jw6duISz5kaNo
+ZD7D7u8N3hjAWUHP1+Gi2KRLg9Hbtkb0iP/s4rfpk7wxWq9Z+t2anVfMuv+Y38VtlC67PNfLWO0
Lfojt2kr2ZGvmXHfP5xxteVMyQ5887jweguw8xKkx0UoNYr9/o5ssRnpoaNHfzGwIm1CSHrkuOh/
eS0dR3bY22Pb1LKBpQdmgN1DUPXWRVuSJTv0u3jnZ0fT3NJ3Zcd+v/CjnvXoSmfkx02rcBE9Hk5H
F/fKD51liwdvly3RXe6P39TDSo/vP/ytJLykuXvvcxZkcd5b2XTmFcQS+cfOMp9/kqRnmzryzs8Y
PUYK6Ok5G+esZQ1LDx1H+cCGdJVLsiPfLb+m9FTrz3bre8sPvV/0z62OICM/cPHmerFJMrrS9zYm
47tgZz9j/NkyzZY9S9UBcz9j8PfL0n/oHWNdsP8zBv8Sp8HTHDRLsC3xkh46TnPvzXSRxpyU/eXS
En5+zg3OF8Fw71N/AD4pO/wvnt+f8RZtlh42CPFI+lENQLZgvUgPnS5Xw3L+pnJXduD7ZRRlVbhf
DMKErjBWdviPXvy4fHOTHZ1tbZWd7PC/ihYhLy7EjlXwc25wvBC7LJXs8J+Y/WWWLXuWq8sAyY9d
9qPKTvxAdtzf8oX3tKCFTely97LDfl6mG0623sgt9C09sk9kM1jeelvZJzv07wvOHbp/9bdmx+uR
HnyZ5W8+v/TwbRGW9Ph+9oBevt9TCekKP6XHpncuE9P7NlsRmtMjv4Q0PXMUjvGnJ3GYl/6sD66J
33gIl4v0P/8DAAD//w==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41777</xdr:colOff>
      <xdr:row>0</xdr:row>
      <xdr:rowOff>9525</xdr:rowOff>
    </xdr:from>
    <xdr:to>
      <xdr:col>17</xdr:col>
      <xdr:colOff>0</xdr:colOff>
      <xdr:row>2</xdr:row>
      <xdr:rowOff>154163</xdr:rowOff>
    </xdr:to>
    <xdr:sp macro="" textlink="">
      <xdr:nvSpPr>
        <xdr:cNvPr id="2" name="TextBox 1">
          <a:extLst>
            <a:ext uri="{FF2B5EF4-FFF2-40B4-BE49-F238E27FC236}">
              <a16:creationId xmlns:a16="http://schemas.microsoft.com/office/drawing/2014/main" id="{3027753C-5325-92BF-65F8-672C9A092438}"/>
            </a:ext>
          </a:extLst>
        </xdr:cNvPr>
        <xdr:cNvSpPr txBox="1"/>
      </xdr:nvSpPr>
      <xdr:spPr>
        <a:xfrm>
          <a:off x="41777" y="9525"/>
          <a:ext cx="10313892" cy="521208"/>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chemeClr val="bg1"/>
              </a:solidFill>
            </a:rPr>
            <a:t>Superstore</a:t>
          </a:r>
          <a:r>
            <a:rPr lang="en-US" sz="3600" baseline="0">
              <a:solidFill>
                <a:schemeClr val="bg1"/>
              </a:solidFill>
            </a:rPr>
            <a:t> Executive Overview Trends</a:t>
          </a:r>
          <a:endParaRPr lang="en-US" sz="3600">
            <a:solidFill>
              <a:schemeClr val="bg1"/>
            </a:solidFill>
          </a:endParaRPr>
        </a:p>
      </xdr:txBody>
    </xdr:sp>
    <xdr:clientData/>
  </xdr:twoCellAnchor>
  <xdr:twoCellAnchor>
    <xdr:from>
      <xdr:col>17</xdr:col>
      <xdr:colOff>68667</xdr:colOff>
      <xdr:row>0</xdr:row>
      <xdr:rowOff>0</xdr:rowOff>
    </xdr:from>
    <xdr:to>
      <xdr:col>26</xdr:col>
      <xdr:colOff>0</xdr:colOff>
      <xdr:row>13</xdr:row>
      <xdr:rowOff>0</xdr:rowOff>
    </xdr:to>
    <xdr:graphicFrame macro="">
      <xdr:nvGraphicFramePr>
        <xdr:cNvPr id="3" name="Chart 2">
          <a:extLst>
            <a:ext uri="{FF2B5EF4-FFF2-40B4-BE49-F238E27FC236}">
              <a16:creationId xmlns:a16="http://schemas.microsoft.com/office/drawing/2014/main" id="{AD3AF715-F352-44B8-AF72-EF2E719F1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85005</xdr:colOff>
      <xdr:row>24</xdr:row>
      <xdr:rowOff>164417</xdr:rowOff>
    </xdr:from>
    <xdr:to>
      <xdr:col>26</xdr:col>
      <xdr:colOff>0</xdr:colOff>
      <xdr:row>39</xdr:row>
      <xdr:rowOff>83344</xdr:rowOff>
    </xdr:to>
    <xdr:graphicFrame macro="">
      <xdr:nvGraphicFramePr>
        <xdr:cNvPr id="4" name="Chart 3">
          <a:extLst>
            <a:ext uri="{FF2B5EF4-FFF2-40B4-BE49-F238E27FC236}">
              <a16:creationId xmlns:a16="http://schemas.microsoft.com/office/drawing/2014/main" id="{9AE2A7FE-18C9-4409-A617-BDFB8FB9A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95250</xdr:colOff>
      <xdr:row>13</xdr:row>
      <xdr:rowOff>47625</xdr:rowOff>
    </xdr:from>
    <xdr:to>
      <xdr:col>26</xdr:col>
      <xdr:colOff>0</xdr:colOff>
      <xdr:row>24</xdr:row>
      <xdr:rowOff>110534</xdr:rowOff>
    </xdr:to>
    <xdr:graphicFrame macro="">
      <xdr:nvGraphicFramePr>
        <xdr:cNvPr id="5" name="Chart 4">
          <a:extLst>
            <a:ext uri="{FF2B5EF4-FFF2-40B4-BE49-F238E27FC236}">
              <a16:creationId xmlns:a16="http://schemas.microsoft.com/office/drawing/2014/main" id="{EC3C68BC-073A-458C-8DE8-46AC978A0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7</xdr:row>
      <xdr:rowOff>0</xdr:rowOff>
    </xdr:from>
    <xdr:to>
      <xdr:col>17</xdr:col>
      <xdr:colOff>0</xdr:colOff>
      <xdr:row>31</xdr:row>
      <xdr:rowOff>86590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D01B2774-B1F8-457C-AA84-B4A2EFD77A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12273" y="1363807"/>
              <a:ext cx="9092045" cy="47624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0</xdr:colOff>
      <xdr:row>32</xdr:row>
      <xdr:rowOff>0</xdr:rowOff>
    </xdr:from>
    <xdr:to>
      <xdr:col>17</xdr:col>
      <xdr:colOff>0</xdr:colOff>
      <xdr:row>39</xdr:row>
      <xdr:rowOff>145046</xdr:rowOff>
    </xdr:to>
    <mc:AlternateContent xmlns:mc="http://schemas.openxmlformats.org/markup-compatibility/2006">
      <mc:Choice xmlns:sle15="http://schemas.microsoft.com/office/drawing/2012/slicer" Requires="sle15">
        <xdr:graphicFrame macro="">
          <xdr:nvGraphicFramePr>
            <xdr:cNvPr id="7" name="Location 1">
              <a:extLst>
                <a:ext uri="{FF2B5EF4-FFF2-40B4-BE49-F238E27FC236}">
                  <a16:creationId xmlns:a16="http://schemas.microsoft.com/office/drawing/2014/main" id="{175FB269-41AA-4BC6-92FA-ED17B1D206E8}"/>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0" y="6096000"/>
              <a:ext cx="10363200" cy="147854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15</xdr:row>
      <xdr:rowOff>66453</xdr:rowOff>
    </xdr:from>
    <xdr:to>
      <xdr:col>2</xdr:col>
      <xdr:colOff>324736</xdr:colOff>
      <xdr:row>22</xdr:row>
      <xdr:rowOff>28619</xdr:rowOff>
    </xdr:to>
    <mc:AlternateContent xmlns:mc="http://schemas.openxmlformats.org/markup-compatibility/2006">
      <mc:Choice xmlns:sle15="http://schemas.microsoft.com/office/drawing/2012/slicer" Requires="sle15">
        <xdr:graphicFrame macro="">
          <xdr:nvGraphicFramePr>
            <xdr:cNvPr id="18" name="Category 2">
              <a:extLst>
                <a:ext uri="{FF2B5EF4-FFF2-40B4-BE49-F238E27FC236}">
                  <a16:creationId xmlns:a16="http://schemas.microsoft.com/office/drawing/2014/main" id="{3A967FFE-92E0-4E9A-A75D-374104062BB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0" y="2923953"/>
              <a:ext cx="1543936" cy="12956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8</xdr:row>
      <xdr:rowOff>132907</xdr:rowOff>
    </xdr:from>
    <xdr:to>
      <xdr:col>2</xdr:col>
      <xdr:colOff>324736</xdr:colOff>
      <xdr:row>15</xdr:row>
      <xdr:rowOff>95073</xdr:rowOff>
    </xdr:to>
    <mc:AlternateContent xmlns:mc="http://schemas.openxmlformats.org/markup-compatibility/2006">
      <mc:Choice xmlns:sle15="http://schemas.microsoft.com/office/drawing/2012/slicer" Requires="sle15">
        <xdr:graphicFrame macro="">
          <xdr:nvGraphicFramePr>
            <xdr:cNvPr id="20" name="Season 1">
              <a:extLst>
                <a:ext uri="{FF2B5EF4-FFF2-40B4-BE49-F238E27FC236}">
                  <a16:creationId xmlns:a16="http://schemas.microsoft.com/office/drawing/2014/main" id="{335F46B3-6628-42AC-AC18-34B1FC32CAB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0" y="1656907"/>
              <a:ext cx="1543936" cy="12956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22</xdr:row>
      <xdr:rowOff>11075</xdr:rowOff>
    </xdr:from>
    <xdr:to>
      <xdr:col>2</xdr:col>
      <xdr:colOff>336166</xdr:colOff>
      <xdr:row>31</xdr:row>
      <xdr:rowOff>53871</xdr:rowOff>
    </xdr:to>
    <mc:AlternateContent xmlns:mc="http://schemas.openxmlformats.org/markup-compatibility/2006">
      <mc:Choice xmlns:sle15="http://schemas.microsoft.com/office/drawing/2012/slicer" Requires="sle15">
        <xdr:graphicFrame macro="">
          <xdr:nvGraphicFramePr>
            <xdr:cNvPr id="24" name="Payment Method 1">
              <a:extLst>
                <a:ext uri="{FF2B5EF4-FFF2-40B4-BE49-F238E27FC236}">
                  <a16:creationId xmlns:a16="http://schemas.microsoft.com/office/drawing/2014/main" id="{AB4D20C5-1726-41AC-A6B0-A6B3D3B97B28}"/>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0" y="4202075"/>
              <a:ext cx="1555366" cy="17572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9525</xdr:colOff>
      <xdr:row>3</xdr:row>
      <xdr:rowOff>11704</xdr:rowOff>
    </xdr:from>
    <xdr:to>
      <xdr:col>2</xdr:col>
      <xdr:colOff>345691</xdr:colOff>
      <xdr:row>7</xdr:row>
      <xdr:rowOff>0</xdr:rowOff>
    </xdr:to>
    <xdr:grpSp>
      <xdr:nvGrpSpPr>
        <xdr:cNvPr id="36" name="Group 35">
          <a:extLst>
            <a:ext uri="{FF2B5EF4-FFF2-40B4-BE49-F238E27FC236}">
              <a16:creationId xmlns:a16="http://schemas.microsoft.com/office/drawing/2014/main" id="{ACF6BEFE-F4BB-4666-B1D5-D93A9FE3E5F0}"/>
            </a:ext>
          </a:extLst>
        </xdr:cNvPr>
        <xdr:cNvGrpSpPr/>
      </xdr:nvGrpSpPr>
      <xdr:grpSpPr>
        <a:xfrm>
          <a:off x="9525" y="583204"/>
          <a:ext cx="1555366" cy="750296"/>
          <a:chOff x="0" y="569118"/>
          <a:chExt cx="2095501" cy="800100"/>
        </a:xfrm>
        <a:solidFill>
          <a:schemeClr val="accent1">
            <a:lumMod val="40000"/>
            <a:lumOff val="60000"/>
          </a:schemeClr>
        </a:solidFill>
      </xdr:grpSpPr>
      <xdr:sp macro="" textlink="KPIs!B3">
        <xdr:nvSpPr>
          <xdr:cNvPr id="37" name="Rectangle: Rounded Corners 36">
            <a:extLst>
              <a:ext uri="{FF2B5EF4-FFF2-40B4-BE49-F238E27FC236}">
                <a16:creationId xmlns:a16="http://schemas.microsoft.com/office/drawing/2014/main" id="{587CFAA4-8A1D-C17C-FBB8-E385F04CF2D1}"/>
              </a:ext>
            </a:extLst>
          </xdr:cNvPr>
          <xdr:cNvSpPr/>
        </xdr:nvSpPr>
        <xdr:spPr>
          <a:xfrm>
            <a:off x="0" y="569118"/>
            <a:ext cx="2095501" cy="8001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B70CD97-CE20-4E01-8A39-5367EE56A21C}" type="TxLink">
              <a:rPr lang="en-US" sz="2400" b="1" i="0" u="none" strike="noStrike">
                <a:solidFill>
                  <a:srgbClr val="000000"/>
                </a:solidFill>
                <a:latin typeface="Calibri"/>
                <a:ea typeface="Calibri"/>
                <a:cs typeface="Calibri"/>
              </a:rPr>
              <a:t>$233,081</a:t>
            </a:fld>
            <a:endParaRPr lang="en-US" sz="4800" b="1">
              <a:solidFill>
                <a:schemeClr val="tx1"/>
              </a:solidFill>
            </a:endParaRPr>
          </a:p>
        </xdr:txBody>
      </xdr:sp>
      <xdr:sp macro="" textlink="">
        <xdr:nvSpPr>
          <xdr:cNvPr id="38" name="TextBox 37">
            <a:extLst>
              <a:ext uri="{FF2B5EF4-FFF2-40B4-BE49-F238E27FC236}">
                <a16:creationId xmlns:a16="http://schemas.microsoft.com/office/drawing/2014/main" id="{0F84159C-0A6A-60B0-C8D0-28FD14582680}"/>
              </a:ext>
            </a:extLst>
          </xdr:cNvPr>
          <xdr:cNvSpPr txBox="1"/>
        </xdr:nvSpPr>
        <xdr:spPr>
          <a:xfrm>
            <a:off x="132353" y="569118"/>
            <a:ext cx="1830795" cy="3333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Total</a:t>
            </a:r>
            <a:r>
              <a:rPr lang="en-US" sz="1400" b="1" baseline="0">
                <a:solidFill>
                  <a:schemeClr val="tx1"/>
                </a:solidFill>
              </a:rPr>
              <a:t> Revenue</a:t>
            </a:r>
            <a:endParaRPr lang="en-US" sz="1400" b="1">
              <a:solidFill>
                <a:schemeClr val="tx1"/>
              </a:solidFill>
            </a:endParaRPr>
          </a:p>
        </xdr:txBody>
      </xdr:sp>
    </xdr:grpSp>
    <xdr:clientData/>
  </xdr:twoCellAnchor>
  <xdr:twoCellAnchor>
    <xdr:from>
      <xdr:col>2</xdr:col>
      <xdr:colOff>379970</xdr:colOff>
      <xdr:row>3</xdr:row>
      <xdr:rowOff>11704</xdr:rowOff>
    </xdr:from>
    <xdr:to>
      <xdr:col>5</xdr:col>
      <xdr:colOff>15539</xdr:colOff>
      <xdr:row>7</xdr:row>
      <xdr:rowOff>3048</xdr:rowOff>
    </xdr:to>
    <xdr:grpSp>
      <xdr:nvGrpSpPr>
        <xdr:cNvPr id="39" name="Group 38">
          <a:extLst>
            <a:ext uri="{FF2B5EF4-FFF2-40B4-BE49-F238E27FC236}">
              <a16:creationId xmlns:a16="http://schemas.microsoft.com/office/drawing/2014/main" id="{73738FA9-811D-4108-BC12-7D026E2EE53D}"/>
            </a:ext>
          </a:extLst>
        </xdr:cNvPr>
        <xdr:cNvGrpSpPr/>
      </xdr:nvGrpSpPr>
      <xdr:grpSpPr>
        <a:xfrm>
          <a:off x="1599170" y="583204"/>
          <a:ext cx="1464369" cy="753344"/>
          <a:chOff x="1778000" y="513401"/>
          <a:chExt cx="1927226" cy="703901"/>
        </a:xfrm>
        <a:solidFill>
          <a:schemeClr val="accent1">
            <a:lumMod val="40000"/>
            <a:lumOff val="60000"/>
          </a:schemeClr>
        </a:solidFill>
      </xdr:grpSpPr>
      <xdr:sp macro="" textlink="KPIs!B4">
        <xdr:nvSpPr>
          <xdr:cNvPr id="40" name="Rectangle: Rounded Corners 39">
            <a:extLst>
              <a:ext uri="{FF2B5EF4-FFF2-40B4-BE49-F238E27FC236}">
                <a16:creationId xmlns:a16="http://schemas.microsoft.com/office/drawing/2014/main" id="{BF7C3804-0C05-2334-AD49-5CB3F632D632}"/>
              </a:ext>
            </a:extLst>
          </xdr:cNvPr>
          <xdr:cNvSpPr/>
        </xdr:nvSpPr>
        <xdr:spPr>
          <a:xfrm>
            <a:off x="1778000" y="513401"/>
            <a:ext cx="1927226" cy="703901"/>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A2FFF06-EA81-475E-AAD2-CDB5A490A9A9}" type="TxLink">
              <a:rPr lang="en-US" sz="2400" b="1" i="0" u="none" strike="noStrike">
                <a:solidFill>
                  <a:srgbClr val="000000"/>
                </a:solidFill>
                <a:latin typeface="Calibri"/>
                <a:ea typeface="Calibri"/>
                <a:cs typeface="Calibri"/>
              </a:rPr>
              <a:t>3900</a:t>
            </a:fld>
            <a:endParaRPr lang="en-US" sz="4400" b="1">
              <a:solidFill>
                <a:schemeClr val="tx1"/>
              </a:solidFill>
            </a:endParaRPr>
          </a:p>
        </xdr:txBody>
      </xdr:sp>
      <xdr:sp macro="" textlink="">
        <xdr:nvSpPr>
          <xdr:cNvPr id="41" name="TextBox 40">
            <a:extLst>
              <a:ext uri="{FF2B5EF4-FFF2-40B4-BE49-F238E27FC236}">
                <a16:creationId xmlns:a16="http://schemas.microsoft.com/office/drawing/2014/main" id="{F060CED7-FEE8-2CE3-E3A1-094DE70211A3}"/>
              </a:ext>
            </a:extLst>
          </xdr:cNvPr>
          <xdr:cNvSpPr txBox="1"/>
        </xdr:nvSpPr>
        <xdr:spPr>
          <a:xfrm>
            <a:off x="1888398" y="513401"/>
            <a:ext cx="1706428" cy="31005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Total</a:t>
            </a:r>
            <a:r>
              <a:rPr lang="en-US" sz="1400" b="1" baseline="0">
                <a:solidFill>
                  <a:schemeClr val="tx1"/>
                </a:solidFill>
              </a:rPr>
              <a:t> Orders</a:t>
            </a:r>
            <a:endParaRPr lang="en-US" sz="1400" b="1">
              <a:solidFill>
                <a:schemeClr val="tx1"/>
              </a:solidFill>
            </a:endParaRPr>
          </a:p>
        </xdr:txBody>
      </xdr:sp>
    </xdr:grpSp>
    <xdr:clientData/>
  </xdr:twoCellAnchor>
  <xdr:twoCellAnchor>
    <xdr:from>
      <xdr:col>5</xdr:col>
      <xdr:colOff>49818</xdr:colOff>
      <xdr:row>3</xdr:row>
      <xdr:rowOff>11704</xdr:rowOff>
    </xdr:from>
    <xdr:to>
      <xdr:col>9</xdr:col>
      <xdr:colOff>82070</xdr:colOff>
      <xdr:row>7</xdr:row>
      <xdr:rowOff>0</xdr:rowOff>
    </xdr:to>
    <xdr:grpSp>
      <xdr:nvGrpSpPr>
        <xdr:cNvPr id="42" name="Group 41">
          <a:extLst>
            <a:ext uri="{FF2B5EF4-FFF2-40B4-BE49-F238E27FC236}">
              <a16:creationId xmlns:a16="http://schemas.microsoft.com/office/drawing/2014/main" id="{653EB822-6D6B-4360-8431-DE2051B847C8}"/>
            </a:ext>
          </a:extLst>
        </xdr:cNvPr>
        <xdr:cNvGrpSpPr/>
      </xdr:nvGrpSpPr>
      <xdr:grpSpPr>
        <a:xfrm>
          <a:off x="3097818" y="583204"/>
          <a:ext cx="2470652" cy="750296"/>
          <a:chOff x="4086226" y="838200"/>
          <a:chExt cx="1617141" cy="800100"/>
        </a:xfrm>
        <a:solidFill>
          <a:schemeClr val="accent1">
            <a:lumMod val="40000"/>
            <a:lumOff val="60000"/>
          </a:schemeClr>
        </a:solidFill>
      </xdr:grpSpPr>
      <xdr:sp macro="" textlink="KPIs!B5">
        <xdr:nvSpPr>
          <xdr:cNvPr id="43" name="Rectangle: Rounded Corners 42">
            <a:extLst>
              <a:ext uri="{FF2B5EF4-FFF2-40B4-BE49-F238E27FC236}">
                <a16:creationId xmlns:a16="http://schemas.microsoft.com/office/drawing/2014/main" id="{64EA4A71-0A4A-51DC-F57D-700F6D5E4FFB}"/>
              </a:ext>
            </a:extLst>
          </xdr:cNvPr>
          <xdr:cNvSpPr/>
        </xdr:nvSpPr>
        <xdr:spPr>
          <a:xfrm>
            <a:off x="4086226" y="838200"/>
            <a:ext cx="1617141" cy="8001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3EC18EF-043A-4927-89D1-90DDE7E9AD08}" type="TxLink">
              <a:rPr lang="en-US" sz="2400" b="1" i="0" u="none" strike="noStrike">
                <a:solidFill>
                  <a:srgbClr val="000000"/>
                </a:solidFill>
                <a:latin typeface="Calibri"/>
                <a:ea typeface="Calibri"/>
                <a:cs typeface="Calibri"/>
              </a:rPr>
              <a:t>3900</a:t>
            </a:fld>
            <a:endParaRPr lang="en-US" sz="2400" b="1">
              <a:solidFill>
                <a:schemeClr val="tx1"/>
              </a:solidFill>
            </a:endParaRPr>
          </a:p>
        </xdr:txBody>
      </xdr:sp>
      <xdr:sp macro="" textlink="">
        <xdr:nvSpPr>
          <xdr:cNvPr id="44" name="TextBox 43">
            <a:extLst>
              <a:ext uri="{FF2B5EF4-FFF2-40B4-BE49-F238E27FC236}">
                <a16:creationId xmlns:a16="http://schemas.microsoft.com/office/drawing/2014/main" id="{7D51C6C7-0DF0-7B93-0523-15B37ED1FDE7}"/>
              </a:ext>
            </a:extLst>
          </xdr:cNvPr>
          <xdr:cNvSpPr txBox="1"/>
        </xdr:nvSpPr>
        <xdr:spPr>
          <a:xfrm>
            <a:off x="4249136" y="838200"/>
            <a:ext cx="1291320" cy="35689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Total</a:t>
            </a:r>
            <a:r>
              <a:rPr lang="en-US" sz="1400" b="1" baseline="0">
                <a:solidFill>
                  <a:schemeClr val="tx1"/>
                </a:solidFill>
              </a:rPr>
              <a:t> Unique Customers</a:t>
            </a:r>
            <a:endParaRPr lang="en-US" sz="1400" b="1">
              <a:solidFill>
                <a:schemeClr val="tx1"/>
              </a:solidFill>
            </a:endParaRPr>
          </a:p>
        </xdr:txBody>
      </xdr:sp>
    </xdr:grpSp>
    <xdr:clientData/>
  </xdr:twoCellAnchor>
  <xdr:twoCellAnchor>
    <xdr:from>
      <xdr:col>8</xdr:col>
      <xdr:colOff>605116</xdr:colOff>
      <xdr:row>3</xdr:row>
      <xdr:rowOff>11704</xdr:rowOff>
    </xdr:from>
    <xdr:to>
      <xdr:col>12</xdr:col>
      <xdr:colOff>574876</xdr:colOff>
      <xdr:row>7</xdr:row>
      <xdr:rowOff>3048</xdr:rowOff>
    </xdr:to>
    <xdr:grpSp>
      <xdr:nvGrpSpPr>
        <xdr:cNvPr id="45" name="Group 44">
          <a:extLst>
            <a:ext uri="{FF2B5EF4-FFF2-40B4-BE49-F238E27FC236}">
              <a16:creationId xmlns:a16="http://schemas.microsoft.com/office/drawing/2014/main" id="{7A03B53A-23CA-4891-9B8D-5A75C2A0458B}"/>
            </a:ext>
          </a:extLst>
        </xdr:cNvPr>
        <xdr:cNvGrpSpPr/>
      </xdr:nvGrpSpPr>
      <xdr:grpSpPr>
        <a:xfrm>
          <a:off x="5481916" y="583204"/>
          <a:ext cx="2408160" cy="753344"/>
          <a:chOff x="5911300" y="571500"/>
          <a:chExt cx="1837600" cy="682834"/>
        </a:xfrm>
        <a:solidFill>
          <a:schemeClr val="accent1">
            <a:lumMod val="40000"/>
            <a:lumOff val="60000"/>
          </a:schemeClr>
        </a:solidFill>
      </xdr:grpSpPr>
      <xdr:sp macro="" textlink="KPIs!B6">
        <xdr:nvSpPr>
          <xdr:cNvPr id="46" name="Rectangle: Rounded Corners 45">
            <a:extLst>
              <a:ext uri="{FF2B5EF4-FFF2-40B4-BE49-F238E27FC236}">
                <a16:creationId xmlns:a16="http://schemas.microsoft.com/office/drawing/2014/main" id="{F1083C2E-8AB3-E973-0B90-084CF7DB714F}"/>
              </a:ext>
            </a:extLst>
          </xdr:cNvPr>
          <xdr:cNvSpPr/>
        </xdr:nvSpPr>
        <xdr:spPr>
          <a:xfrm>
            <a:off x="6000749" y="571500"/>
            <a:ext cx="1748151" cy="68283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755A097-578A-462E-B815-7AA3FD2D0C9C}" type="TxLink">
              <a:rPr lang="en-US" sz="2400" b="1" i="0" u="none" strike="noStrike">
                <a:solidFill>
                  <a:srgbClr val="000000"/>
                </a:solidFill>
                <a:latin typeface="Calibri"/>
                <a:ea typeface="Calibri"/>
                <a:cs typeface="Calibri"/>
              </a:rPr>
              <a:t>39%</a:t>
            </a:fld>
            <a:endParaRPr lang="en-US" sz="2400" b="1">
              <a:solidFill>
                <a:schemeClr val="tx1"/>
              </a:solidFill>
            </a:endParaRPr>
          </a:p>
        </xdr:txBody>
      </xdr:sp>
      <xdr:sp macro="" textlink="">
        <xdr:nvSpPr>
          <xdr:cNvPr id="47" name="TextBox 46">
            <a:extLst>
              <a:ext uri="{FF2B5EF4-FFF2-40B4-BE49-F238E27FC236}">
                <a16:creationId xmlns:a16="http://schemas.microsoft.com/office/drawing/2014/main" id="{7E859232-C36B-BAF3-0229-3E20B7217EE7}"/>
              </a:ext>
            </a:extLst>
          </xdr:cNvPr>
          <xdr:cNvSpPr txBox="1"/>
        </xdr:nvSpPr>
        <xdr:spPr>
          <a:xfrm>
            <a:off x="5911300" y="571500"/>
            <a:ext cx="167567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tx1"/>
                </a:solidFill>
              </a:rPr>
              <a:t>Repeat</a:t>
            </a:r>
            <a:r>
              <a:rPr lang="en-US" sz="1400" b="1" baseline="0">
                <a:solidFill>
                  <a:schemeClr val="tx1"/>
                </a:solidFill>
              </a:rPr>
              <a:t> Purchase </a:t>
            </a:r>
            <a:r>
              <a:rPr lang="en-US" sz="1400" b="1">
                <a:solidFill>
                  <a:schemeClr val="tx1"/>
                </a:solidFill>
              </a:rPr>
              <a:t>Rate %</a:t>
            </a:r>
          </a:p>
        </xdr:txBody>
      </xdr:sp>
    </xdr:grpSp>
    <xdr:clientData/>
  </xdr:twoCellAnchor>
  <xdr:twoCellAnchor>
    <xdr:from>
      <xdr:col>13</xdr:col>
      <xdr:colOff>0</xdr:colOff>
      <xdr:row>3</xdr:row>
      <xdr:rowOff>11704</xdr:rowOff>
    </xdr:from>
    <xdr:to>
      <xdr:col>17</xdr:col>
      <xdr:colOff>0</xdr:colOff>
      <xdr:row>6</xdr:row>
      <xdr:rowOff>187514</xdr:rowOff>
    </xdr:to>
    <xdr:grpSp>
      <xdr:nvGrpSpPr>
        <xdr:cNvPr id="48" name="Group 47">
          <a:extLst>
            <a:ext uri="{FF2B5EF4-FFF2-40B4-BE49-F238E27FC236}">
              <a16:creationId xmlns:a16="http://schemas.microsoft.com/office/drawing/2014/main" id="{8568C223-C0E6-453D-83A3-7767635E4C13}"/>
            </a:ext>
          </a:extLst>
        </xdr:cNvPr>
        <xdr:cNvGrpSpPr/>
      </xdr:nvGrpSpPr>
      <xdr:grpSpPr>
        <a:xfrm>
          <a:off x="7924800" y="583204"/>
          <a:ext cx="2438400" cy="747310"/>
          <a:chOff x="8410572" y="828675"/>
          <a:chExt cx="4005638" cy="771525"/>
        </a:xfrm>
        <a:solidFill>
          <a:schemeClr val="accent1">
            <a:lumMod val="40000"/>
            <a:lumOff val="60000"/>
          </a:schemeClr>
        </a:solidFill>
      </xdr:grpSpPr>
      <xdr:sp macro="" textlink="KPIs!B7">
        <xdr:nvSpPr>
          <xdr:cNvPr id="49" name="Rectangle: Rounded Corners 48">
            <a:extLst>
              <a:ext uri="{FF2B5EF4-FFF2-40B4-BE49-F238E27FC236}">
                <a16:creationId xmlns:a16="http://schemas.microsoft.com/office/drawing/2014/main" id="{153386DF-5252-CFEF-6A82-1C1A29E5F16F}"/>
              </a:ext>
            </a:extLst>
          </xdr:cNvPr>
          <xdr:cNvSpPr/>
        </xdr:nvSpPr>
        <xdr:spPr>
          <a:xfrm>
            <a:off x="8410572" y="828675"/>
            <a:ext cx="3763048" cy="7715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B906319-BD20-4B86-9380-CD8F27A360CC}" type="TxLink">
              <a:rPr lang="en-US" sz="2400" b="1" i="0" u="none" strike="noStrike">
                <a:solidFill>
                  <a:srgbClr val="000000"/>
                </a:solidFill>
                <a:latin typeface="Calibri"/>
                <a:ea typeface="Calibri"/>
                <a:cs typeface="Calibri"/>
              </a:rPr>
              <a:t>$59.76</a:t>
            </a:fld>
            <a:endParaRPr lang="en-US" sz="2400" b="1">
              <a:solidFill>
                <a:schemeClr val="tx1"/>
              </a:solidFill>
            </a:endParaRPr>
          </a:p>
        </xdr:txBody>
      </xdr:sp>
      <xdr:sp macro="" textlink="">
        <xdr:nvSpPr>
          <xdr:cNvPr id="50" name="TextBox 49">
            <a:extLst>
              <a:ext uri="{FF2B5EF4-FFF2-40B4-BE49-F238E27FC236}">
                <a16:creationId xmlns:a16="http://schemas.microsoft.com/office/drawing/2014/main" id="{7EBB179F-2FDC-C4AB-0E71-FB560C54648B}"/>
              </a:ext>
            </a:extLst>
          </xdr:cNvPr>
          <xdr:cNvSpPr txBox="1"/>
        </xdr:nvSpPr>
        <xdr:spPr>
          <a:xfrm>
            <a:off x="8410572" y="828675"/>
            <a:ext cx="4005638" cy="38126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tx1"/>
                </a:solidFill>
              </a:rPr>
              <a:t>Average Order Value (AOV)</a:t>
            </a:r>
            <a:endParaRPr lang="en-US" sz="1400" b="1">
              <a:solidFill>
                <a:schemeClr val="tx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0</xdr:row>
      <xdr:rowOff>0</xdr:rowOff>
    </xdr:from>
    <xdr:to>
      <xdr:col>26</xdr:col>
      <xdr:colOff>0</xdr:colOff>
      <xdr:row>2</xdr:row>
      <xdr:rowOff>147970</xdr:rowOff>
    </xdr:to>
    <xdr:sp macro="" textlink="">
      <xdr:nvSpPr>
        <xdr:cNvPr id="18" name="TextBox 17">
          <a:extLst>
            <a:ext uri="{FF2B5EF4-FFF2-40B4-BE49-F238E27FC236}">
              <a16:creationId xmlns:a16="http://schemas.microsoft.com/office/drawing/2014/main" id="{16E8843A-886D-4ECB-81FF-D7BC49985B51}"/>
            </a:ext>
          </a:extLst>
        </xdr:cNvPr>
        <xdr:cNvSpPr txBox="1"/>
      </xdr:nvSpPr>
      <xdr:spPr>
        <a:xfrm>
          <a:off x="9524" y="0"/>
          <a:ext cx="15840076" cy="52897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chemeClr val="bg1"/>
              </a:solidFill>
            </a:rPr>
            <a:t>Customer</a:t>
          </a:r>
          <a:r>
            <a:rPr lang="en-US" sz="3600" baseline="0">
              <a:solidFill>
                <a:schemeClr val="bg1"/>
              </a:solidFill>
            </a:rPr>
            <a:t> and Operations Insights</a:t>
          </a:r>
          <a:endParaRPr lang="en-US" sz="3600">
            <a:solidFill>
              <a:schemeClr val="bg1"/>
            </a:solidFill>
          </a:endParaRPr>
        </a:p>
      </xdr:txBody>
    </xdr:sp>
    <xdr:clientData/>
  </xdr:twoCellAnchor>
  <xdr:twoCellAnchor>
    <xdr:from>
      <xdr:col>0</xdr:col>
      <xdr:colOff>0</xdr:colOff>
      <xdr:row>2</xdr:row>
      <xdr:rowOff>157317</xdr:rowOff>
    </xdr:from>
    <xdr:to>
      <xdr:col>5</xdr:col>
      <xdr:colOff>60960</xdr:colOff>
      <xdr:row>6</xdr:row>
      <xdr:rowOff>154269</xdr:rowOff>
    </xdr:to>
    <xdr:grpSp>
      <xdr:nvGrpSpPr>
        <xdr:cNvPr id="19" name="Group 18">
          <a:extLst>
            <a:ext uri="{FF2B5EF4-FFF2-40B4-BE49-F238E27FC236}">
              <a16:creationId xmlns:a16="http://schemas.microsoft.com/office/drawing/2014/main" id="{A68C09BB-8154-410B-BCC0-BE37F3BB2F2D}"/>
            </a:ext>
          </a:extLst>
        </xdr:cNvPr>
        <xdr:cNvGrpSpPr/>
      </xdr:nvGrpSpPr>
      <xdr:grpSpPr>
        <a:xfrm>
          <a:off x="0" y="538317"/>
          <a:ext cx="3108960" cy="758952"/>
          <a:chOff x="0" y="569118"/>
          <a:chExt cx="2095501" cy="800100"/>
        </a:xfrm>
        <a:solidFill>
          <a:schemeClr val="accent1">
            <a:lumMod val="40000"/>
            <a:lumOff val="60000"/>
          </a:schemeClr>
        </a:solidFill>
      </xdr:grpSpPr>
      <xdr:sp macro="" textlink="Subscriber_Revenue">
        <xdr:nvSpPr>
          <xdr:cNvPr id="20" name="Rectangle: Rounded Corners 19">
            <a:extLst>
              <a:ext uri="{FF2B5EF4-FFF2-40B4-BE49-F238E27FC236}">
                <a16:creationId xmlns:a16="http://schemas.microsoft.com/office/drawing/2014/main" id="{B4F182B6-8EA3-327D-5CAB-4F93C195E277}"/>
              </a:ext>
            </a:extLst>
          </xdr:cNvPr>
          <xdr:cNvSpPr/>
        </xdr:nvSpPr>
        <xdr:spPr>
          <a:xfrm>
            <a:off x="0" y="569118"/>
            <a:ext cx="2095501" cy="8001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0087EB0-8189-4C0B-8389-11BE974AC85E}" type="TxLink">
              <a:rPr lang="en-US" sz="2400" b="1" i="0" u="none" strike="noStrike">
                <a:solidFill>
                  <a:srgbClr val="000000"/>
                </a:solidFill>
                <a:latin typeface="Calibri"/>
                <a:ea typeface="Calibri"/>
                <a:cs typeface="Calibri"/>
              </a:rPr>
              <a:pPr algn="ctr"/>
              <a:t>27%</a:t>
            </a:fld>
            <a:endParaRPr lang="en-US" sz="2400" b="1">
              <a:solidFill>
                <a:schemeClr val="tx1"/>
              </a:solidFill>
            </a:endParaRPr>
          </a:p>
        </xdr:txBody>
      </xdr:sp>
      <xdr:sp macro="" textlink="">
        <xdr:nvSpPr>
          <xdr:cNvPr id="21" name="TextBox 20">
            <a:extLst>
              <a:ext uri="{FF2B5EF4-FFF2-40B4-BE49-F238E27FC236}">
                <a16:creationId xmlns:a16="http://schemas.microsoft.com/office/drawing/2014/main" id="{2E2A9A2C-D1BD-5F9B-1559-A651ED3F3F72}"/>
              </a:ext>
            </a:extLst>
          </xdr:cNvPr>
          <xdr:cNvSpPr txBox="1"/>
        </xdr:nvSpPr>
        <xdr:spPr>
          <a:xfrm>
            <a:off x="0" y="593903"/>
            <a:ext cx="1830794" cy="3333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Subscriber Revenue %</a:t>
            </a:r>
          </a:p>
        </xdr:txBody>
      </xdr:sp>
    </xdr:grpSp>
    <xdr:clientData/>
  </xdr:twoCellAnchor>
  <xdr:twoCellAnchor>
    <xdr:from>
      <xdr:col>5</xdr:col>
      <xdr:colOff>137160</xdr:colOff>
      <xdr:row>2</xdr:row>
      <xdr:rowOff>157317</xdr:rowOff>
    </xdr:from>
    <xdr:to>
      <xdr:col>10</xdr:col>
      <xdr:colOff>198120</xdr:colOff>
      <xdr:row>6</xdr:row>
      <xdr:rowOff>157317</xdr:rowOff>
    </xdr:to>
    <xdr:grpSp>
      <xdr:nvGrpSpPr>
        <xdr:cNvPr id="22" name="Group 21">
          <a:extLst>
            <a:ext uri="{FF2B5EF4-FFF2-40B4-BE49-F238E27FC236}">
              <a16:creationId xmlns:a16="http://schemas.microsoft.com/office/drawing/2014/main" id="{E2CE810F-75C9-4685-B0A6-4F7796C5A701}"/>
            </a:ext>
          </a:extLst>
        </xdr:cNvPr>
        <xdr:cNvGrpSpPr/>
      </xdr:nvGrpSpPr>
      <xdr:grpSpPr>
        <a:xfrm>
          <a:off x="3185160" y="538317"/>
          <a:ext cx="3108960" cy="762000"/>
          <a:chOff x="1778000" y="513401"/>
          <a:chExt cx="1927226" cy="703901"/>
        </a:xfrm>
        <a:solidFill>
          <a:schemeClr val="accent1">
            <a:lumMod val="40000"/>
            <a:lumOff val="60000"/>
          </a:schemeClr>
        </a:solidFill>
      </xdr:grpSpPr>
      <xdr:sp macro="" textlink="Promo_Usage_Rate">
        <xdr:nvSpPr>
          <xdr:cNvPr id="23" name="Rectangle: Rounded Corners 22">
            <a:extLst>
              <a:ext uri="{FF2B5EF4-FFF2-40B4-BE49-F238E27FC236}">
                <a16:creationId xmlns:a16="http://schemas.microsoft.com/office/drawing/2014/main" id="{5A30CBDE-D3D5-9A1D-C4F2-7734CE3B9543}"/>
              </a:ext>
            </a:extLst>
          </xdr:cNvPr>
          <xdr:cNvSpPr/>
        </xdr:nvSpPr>
        <xdr:spPr>
          <a:xfrm>
            <a:off x="1778000" y="513401"/>
            <a:ext cx="1927226" cy="703901"/>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1A8967-A102-465D-BEA4-F513F5430EC9}" type="TxLink">
              <a:rPr lang="en-US" sz="2400" b="1" i="0" u="none" strike="noStrike">
                <a:solidFill>
                  <a:srgbClr val="000000"/>
                </a:solidFill>
                <a:latin typeface="Calibri"/>
                <a:ea typeface="Calibri"/>
                <a:cs typeface="Calibri"/>
              </a:rPr>
              <a:pPr algn="ctr"/>
              <a:t>42.65%</a:t>
            </a:fld>
            <a:endParaRPr lang="en-US" sz="2000" b="1">
              <a:solidFill>
                <a:schemeClr val="tx1"/>
              </a:solidFill>
            </a:endParaRPr>
          </a:p>
        </xdr:txBody>
      </xdr:sp>
      <xdr:sp macro="" textlink="">
        <xdr:nvSpPr>
          <xdr:cNvPr id="24" name="TextBox 23">
            <a:extLst>
              <a:ext uri="{FF2B5EF4-FFF2-40B4-BE49-F238E27FC236}">
                <a16:creationId xmlns:a16="http://schemas.microsoft.com/office/drawing/2014/main" id="{CDD9A9E1-DDD7-F078-5438-49C13DC9DE8C}"/>
              </a:ext>
            </a:extLst>
          </xdr:cNvPr>
          <xdr:cNvSpPr txBox="1"/>
        </xdr:nvSpPr>
        <xdr:spPr>
          <a:xfrm>
            <a:off x="1778000" y="513401"/>
            <a:ext cx="1706428" cy="31005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Discount</a:t>
            </a:r>
            <a:r>
              <a:rPr lang="en-US" sz="1400" b="1" baseline="0">
                <a:solidFill>
                  <a:schemeClr val="tx1"/>
                </a:solidFill>
              </a:rPr>
              <a:t> Usage Rate</a:t>
            </a:r>
            <a:endParaRPr lang="en-US" sz="1400" b="1">
              <a:solidFill>
                <a:schemeClr val="tx1"/>
              </a:solidFill>
            </a:endParaRPr>
          </a:p>
        </xdr:txBody>
      </xdr:sp>
    </xdr:grpSp>
    <xdr:clientData/>
  </xdr:twoCellAnchor>
  <xdr:twoCellAnchor>
    <xdr:from>
      <xdr:col>10</xdr:col>
      <xdr:colOff>274320</xdr:colOff>
      <xdr:row>2</xdr:row>
      <xdr:rowOff>157317</xdr:rowOff>
    </xdr:from>
    <xdr:to>
      <xdr:col>15</xdr:col>
      <xdr:colOff>335280</xdr:colOff>
      <xdr:row>6</xdr:row>
      <xdr:rowOff>154269</xdr:rowOff>
    </xdr:to>
    <xdr:grpSp>
      <xdr:nvGrpSpPr>
        <xdr:cNvPr id="25" name="Group 24">
          <a:extLst>
            <a:ext uri="{FF2B5EF4-FFF2-40B4-BE49-F238E27FC236}">
              <a16:creationId xmlns:a16="http://schemas.microsoft.com/office/drawing/2014/main" id="{12DCB538-BF64-4050-83EA-947D40D57B7C}"/>
            </a:ext>
          </a:extLst>
        </xdr:cNvPr>
        <xdr:cNvGrpSpPr/>
      </xdr:nvGrpSpPr>
      <xdr:grpSpPr>
        <a:xfrm>
          <a:off x="6370320" y="538317"/>
          <a:ext cx="3108960" cy="758952"/>
          <a:chOff x="4086226" y="838200"/>
          <a:chExt cx="2047874" cy="800100"/>
        </a:xfrm>
        <a:solidFill>
          <a:schemeClr val="accent1">
            <a:lumMod val="40000"/>
            <a:lumOff val="60000"/>
          </a:schemeClr>
        </a:solidFill>
      </xdr:grpSpPr>
      <xdr:sp macro="" textlink="Avg_Review_Rating">
        <xdr:nvSpPr>
          <xdr:cNvPr id="26" name="Rectangle: Rounded Corners 25">
            <a:extLst>
              <a:ext uri="{FF2B5EF4-FFF2-40B4-BE49-F238E27FC236}">
                <a16:creationId xmlns:a16="http://schemas.microsoft.com/office/drawing/2014/main" id="{7FFA1DA1-B9B1-B8AC-D128-CEF41798E8B7}"/>
              </a:ext>
            </a:extLst>
          </xdr:cNvPr>
          <xdr:cNvSpPr/>
        </xdr:nvSpPr>
        <xdr:spPr>
          <a:xfrm>
            <a:off x="4086226" y="838200"/>
            <a:ext cx="2047874" cy="8001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D0A035F-A4DA-4AD0-9474-AD77432C4356}" type="TxLink">
              <a:rPr lang="en-US" sz="2400" b="1" i="0" u="none" strike="noStrike">
                <a:solidFill>
                  <a:srgbClr val="000000"/>
                </a:solidFill>
                <a:latin typeface="Calibri"/>
                <a:ea typeface="Calibri"/>
                <a:cs typeface="Calibri"/>
              </a:rPr>
              <a:pPr algn="ctr"/>
              <a:t>3.7</a:t>
            </a:fld>
            <a:endParaRPr lang="en-US" sz="1100" b="1">
              <a:solidFill>
                <a:schemeClr val="tx1"/>
              </a:solidFill>
            </a:endParaRPr>
          </a:p>
        </xdr:txBody>
      </xdr:sp>
      <xdr:sp macro="" textlink="">
        <xdr:nvSpPr>
          <xdr:cNvPr id="27" name="TextBox 26">
            <a:extLst>
              <a:ext uri="{FF2B5EF4-FFF2-40B4-BE49-F238E27FC236}">
                <a16:creationId xmlns:a16="http://schemas.microsoft.com/office/drawing/2014/main" id="{36B2E967-5CB4-57B9-7403-24D1EA6E78EC}"/>
              </a:ext>
            </a:extLst>
          </xdr:cNvPr>
          <xdr:cNvSpPr txBox="1"/>
        </xdr:nvSpPr>
        <xdr:spPr>
          <a:xfrm>
            <a:off x="4396807" y="849775"/>
            <a:ext cx="1554781" cy="35689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1"/>
                </a:solidFill>
              </a:rPr>
              <a:t>Average Review Rating</a:t>
            </a:r>
          </a:p>
        </xdr:txBody>
      </xdr:sp>
    </xdr:grpSp>
    <xdr:clientData/>
  </xdr:twoCellAnchor>
  <xdr:twoCellAnchor>
    <xdr:from>
      <xdr:col>15</xdr:col>
      <xdr:colOff>411480</xdr:colOff>
      <xdr:row>2</xdr:row>
      <xdr:rowOff>157317</xdr:rowOff>
    </xdr:from>
    <xdr:to>
      <xdr:col>20</xdr:col>
      <xdr:colOff>472440</xdr:colOff>
      <xdr:row>6</xdr:row>
      <xdr:rowOff>157317</xdr:rowOff>
    </xdr:to>
    <xdr:grpSp>
      <xdr:nvGrpSpPr>
        <xdr:cNvPr id="28" name="Group 27">
          <a:extLst>
            <a:ext uri="{FF2B5EF4-FFF2-40B4-BE49-F238E27FC236}">
              <a16:creationId xmlns:a16="http://schemas.microsoft.com/office/drawing/2014/main" id="{6788F877-9BE3-4E39-A971-B06A77A92EDD}"/>
            </a:ext>
          </a:extLst>
        </xdr:cNvPr>
        <xdr:cNvGrpSpPr/>
      </xdr:nvGrpSpPr>
      <xdr:grpSpPr>
        <a:xfrm>
          <a:off x="9555480" y="538317"/>
          <a:ext cx="3108960" cy="762000"/>
          <a:chOff x="6000750" y="571500"/>
          <a:chExt cx="2390881" cy="682834"/>
        </a:xfrm>
        <a:solidFill>
          <a:schemeClr val="accent1">
            <a:lumMod val="40000"/>
            <a:lumOff val="60000"/>
          </a:schemeClr>
        </a:solidFill>
      </xdr:grpSpPr>
      <xdr:sp macro="" textlink="Repeat_Purchase_Rate">
        <xdr:nvSpPr>
          <xdr:cNvPr id="29" name="Rectangle: Rounded Corners 28">
            <a:extLst>
              <a:ext uri="{FF2B5EF4-FFF2-40B4-BE49-F238E27FC236}">
                <a16:creationId xmlns:a16="http://schemas.microsoft.com/office/drawing/2014/main" id="{BC828074-340E-6AD4-4781-7FC2F711CB8D}"/>
              </a:ext>
            </a:extLst>
          </xdr:cNvPr>
          <xdr:cNvSpPr/>
        </xdr:nvSpPr>
        <xdr:spPr>
          <a:xfrm>
            <a:off x="6000750" y="571500"/>
            <a:ext cx="2390881" cy="68283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7F0B77C-5175-4F93-BFE1-16F4BEB2B63E}" type="TxLink">
              <a:rPr lang="en-US" sz="2400" b="1" i="0" u="none" strike="noStrike">
                <a:solidFill>
                  <a:schemeClr val="tx1"/>
                </a:solidFill>
                <a:latin typeface="Calibri"/>
                <a:ea typeface="Calibri"/>
                <a:cs typeface="Calibri"/>
              </a:rPr>
              <a:pPr algn="ctr"/>
              <a:t>100%</a:t>
            </a:fld>
            <a:endParaRPr lang="en-US" sz="1100" b="1">
              <a:solidFill>
                <a:schemeClr val="tx1"/>
              </a:solidFill>
            </a:endParaRPr>
          </a:p>
        </xdr:txBody>
      </xdr:sp>
      <xdr:sp macro="" textlink="">
        <xdr:nvSpPr>
          <xdr:cNvPr id="30" name="TextBox 29">
            <a:extLst>
              <a:ext uri="{FF2B5EF4-FFF2-40B4-BE49-F238E27FC236}">
                <a16:creationId xmlns:a16="http://schemas.microsoft.com/office/drawing/2014/main" id="{1CFDC2C2-4C55-687C-5AB6-A722FB054D14}"/>
              </a:ext>
            </a:extLst>
          </xdr:cNvPr>
          <xdr:cNvSpPr txBox="1"/>
        </xdr:nvSpPr>
        <xdr:spPr>
          <a:xfrm>
            <a:off x="6084073" y="578061"/>
            <a:ext cx="2202678"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tx1"/>
                </a:solidFill>
              </a:rPr>
              <a:t>Express Shipping Adoption Rate</a:t>
            </a:r>
            <a:r>
              <a:rPr lang="en-US" sz="1400" b="1" baseline="0">
                <a:solidFill>
                  <a:schemeClr val="tx1"/>
                </a:solidFill>
              </a:rPr>
              <a:t> (%)</a:t>
            </a:r>
            <a:endParaRPr lang="en-US" sz="1400" b="1">
              <a:solidFill>
                <a:schemeClr val="tx1"/>
              </a:solidFill>
            </a:endParaRPr>
          </a:p>
        </xdr:txBody>
      </xdr:sp>
    </xdr:grpSp>
    <xdr:clientData/>
  </xdr:twoCellAnchor>
  <xdr:twoCellAnchor>
    <xdr:from>
      <xdr:col>20</xdr:col>
      <xdr:colOff>548640</xdr:colOff>
      <xdr:row>2</xdr:row>
      <xdr:rowOff>157317</xdr:rowOff>
    </xdr:from>
    <xdr:to>
      <xdr:col>26</xdr:col>
      <xdr:colOff>0</xdr:colOff>
      <xdr:row>6</xdr:row>
      <xdr:rowOff>154269</xdr:rowOff>
    </xdr:to>
    <xdr:grpSp>
      <xdr:nvGrpSpPr>
        <xdr:cNvPr id="31" name="Group 30">
          <a:extLst>
            <a:ext uri="{FF2B5EF4-FFF2-40B4-BE49-F238E27FC236}">
              <a16:creationId xmlns:a16="http://schemas.microsoft.com/office/drawing/2014/main" id="{AB6FA951-2F20-49CF-95E4-71677D300DF8}"/>
            </a:ext>
          </a:extLst>
        </xdr:cNvPr>
        <xdr:cNvGrpSpPr/>
      </xdr:nvGrpSpPr>
      <xdr:grpSpPr>
        <a:xfrm>
          <a:off x="12740640" y="538317"/>
          <a:ext cx="3108960" cy="758952"/>
          <a:chOff x="8410572" y="828675"/>
          <a:chExt cx="1781175" cy="781050"/>
        </a:xfrm>
        <a:solidFill>
          <a:schemeClr val="accent1">
            <a:lumMod val="40000"/>
            <a:lumOff val="60000"/>
          </a:schemeClr>
        </a:solidFill>
      </xdr:grpSpPr>
      <xdr:sp macro="" textlink="Average_Order_Value__AOV">
        <xdr:nvSpPr>
          <xdr:cNvPr id="32" name="Rectangle: Rounded Corners 31">
            <a:extLst>
              <a:ext uri="{FF2B5EF4-FFF2-40B4-BE49-F238E27FC236}">
                <a16:creationId xmlns:a16="http://schemas.microsoft.com/office/drawing/2014/main" id="{B5CA2A14-F041-0E8B-99E6-61206FCDAC12}"/>
              </a:ext>
            </a:extLst>
          </xdr:cNvPr>
          <xdr:cNvSpPr/>
        </xdr:nvSpPr>
        <xdr:spPr>
          <a:xfrm>
            <a:off x="8410572" y="838200"/>
            <a:ext cx="1781175" cy="7715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082A87E-470F-4500-B7E2-439B443F9DF3}" type="TxLink">
              <a:rPr lang="en-US" sz="2400" b="1" i="0" u="none" strike="noStrike">
                <a:solidFill>
                  <a:schemeClr val="tx1"/>
                </a:solidFill>
                <a:latin typeface="Calibri"/>
                <a:ea typeface="Calibri"/>
                <a:cs typeface="Calibri"/>
              </a:rPr>
              <a:pPr algn="ctr"/>
              <a:t>$59.76</a:t>
            </a:fld>
            <a:endParaRPr lang="en-US" sz="1100" b="1">
              <a:solidFill>
                <a:schemeClr val="tx1"/>
              </a:solidFill>
            </a:endParaRPr>
          </a:p>
        </xdr:txBody>
      </xdr:sp>
      <xdr:sp macro="" textlink="">
        <xdr:nvSpPr>
          <xdr:cNvPr id="33" name="TextBox 32">
            <a:extLst>
              <a:ext uri="{FF2B5EF4-FFF2-40B4-BE49-F238E27FC236}">
                <a16:creationId xmlns:a16="http://schemas.microsoft.com/office/drawing/2014/main" id="{DD300CF6-A691-BE9A-32B6-7839257612B6}"/>
              </a:ext>
            </a:extLst>
          </xdr:cNvPr>
          <xdr:cNvSpPr txBox="1"/>
        </xdr:nvSpPr>
        <xdr:spPr>
          <a:xfrm>
            <a:off x="8496300" y="828675"/>
            <a:ext cx="153352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tx1"/>
                </a:solidFill>
              </a:rPr>
              <a:t>Average Order Value (AOV)</a:t>
            </a:r>
            <a:endParaRPr lang="en-US" sz="1400" b="1">
              <a:solidFill>
                <a:schemeClr val="tx1"/>
              </a:solidFill>
            </a:endParaRPr>
          </a:p>
        </xdr:txBody>
      </xdr:sp>
    </xdr:grpSp>
    <xdr:clientData/>
  </xdr:twoCellAnchor>
  <xdr:twoCellAnchor>
    <xdr:from>
      <xdr:col>13</xdr:col>
      <xdr:colOff>1</xdr:colOff>
      <xdr:row>22</xdr:row>
      <xdr:rowOff>48610</xdr:rowOff>
    </xdr:from>
    <xdr:to>
      <xdr:col>25</xdr:col>
      <xdr:colOff>506634</xdr:colOff>
      <xdr:row>39</xdr:row>
      <xdr:rowOff>154809</xdr:rowOff>
    </xdr:to>
    <xdr:graphicFrame macro="">
      <xdr:nvGraphicFramePr>
        <xdr:cNvPr id="2" name="Chart 1">
          <a:extLst>
            <a:ext uri="{FF2B5EF4-FFF2-40B4-BE49-F238E27FC236}">
              <a16:creationId xmlns:a16="http://schemas.microsoft.com/office/drawing/2014/main" id="{1C85D962-FD2A-4CE1-8C39-273DE7CB7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416308</xdr:colOff>
      <xdr:row>22</xdr:row>
      <xdr:rowOff>1</xdr:rowOff>
    </xdr:from>
    <xdr:to>
      <xdr:col>13</xdr:col>
      <xdr:colOff>0</xdr:colOff>
      <xdr:row>39</xdr:row>
      <xdr:rowOff>142329</xdr:rowOff>
    </xdr:to>
    <xdr:graphicFrame macro="">
      <xdr:nvGraphicFramePr>
        <xdr:cNvPr id="3" name="Chart 2">
          <a:extLst>
            <a:ext uri="{FF2B5EF4-FFF2-40B4-BE49-F238E27FC236}">
              <a16:creationId xmlns:a16="http://schemas.microsoft.com/office/drawing/2014/main" id="{0698347C-F2F3-4089-873F-D57DFD01B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525518</xdr:colOff>
      <xdr:row>7</xdr:row>
      <xdr:rowOff>0</xdr:rowOff>
    </xdr:from>
    <xdr:to>
      <xdr:col>11</xdr:col>
      <xdr:colOff>295604</xdr:colOff>
      <xdr:row>21</xdr:row>
      <xdr:rowOff>137511</xdr:rowOff>
    </xdr:to>
    <xdr:graphicFrame macro="">
      <xdr:nvGraphicFramePr>
        <xdr:cNvPr id="4" name="Chart 3">
          <a:extLst>
            <a:ext uri="{FF2B5EF4-FFF2-40B4-BE49-F238E27FC236}">
              <a16:creationId xmlns:a16="http://schemas.microsoft.com/office/drawing/2014/main" id="{F23E2BDA-340A-4DC6-A700-0F3F85949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321880</xdr:colOff>
      <xdr:row>7</xdr:row>
      <xdr:rowOff>0</xdr:rowOff>
    </xdr:from>
    <xdr:to>
      <xdr:col>25</xdr:col>
      <xdr:colOff>602156</xdr:colOff>
      <xdr:row>21</xdr:row>
      <xdr:rowOff>137511</xdr:rowOff>
    </xdr:to>
    <xdr:graphicFrame macro="">
      <xdr:nvGraphicFramePr>
        <xdr:cNvPr id="5" name="Chart 4">
          <a:extLst>
            <a:ext uri="{FF2B5EF4-FFF2-40B4-BE49-F238E27FC236}">
              <a16:creationId xmlns:a16="http://schemas.microsoft.com/office/drawing/2014/main" id="{E3D71809-F993-496B-9620-BB4E7FAD5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7</xdr:row>
      <xdr:rowOff>0</xdr:rowOff>
    </xdr:from>
    <xdr:to>
      <xdr:col>18</xdr:col>
      <xdr:colOff>193293</xdr:colOff>
      <xdr:row>21</xdr:row>
      <xdr:rowOff>0</xdr:rowOff>
    </xdr:to>
    <xdr:graphicFrame macro="">
      <xdr:nvGraphicFramePr>
        <xdr:cNvPr id="6" name="Chart 5">
          <a:extLst>
            <a:ext uri="{FF2B5EF4-FFF2-40B4-BE49-F238E27FC236}">
              <a16:creationId xmlns:a16="http://schemas.microsoft.com/office/drawing/2014/main" id="{43F96B19-9784-4460-9E68-A87227762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22</xdr:row>
      <xdr:rowOff>0</xdr:rowOff>
    </xdr:from>
    <xdr:to>
      <xdr:col>8</xdr:col>
      <xdr:colOff>0</xdr:colOff>
      <xdr:row>39</xdr:row>
      <xdr:rowOff>137510</xdr:rowOff>
    </xdr:to>
    <xdr:graphicFrame macro="">
      <xdr:nvGraphicFramePr>
        <xdr:cNvPr id="7" name="Chart 6">
          <a:extLst>
            <a:ext uri="{FF2B5EF4-FFF2-40B4-BE49-F238E27FC236}">
              <a16:creationId xmlns:a16="http://schemas.microsoft.com/office/drawing/2014/main" id="{E73B6617-4C4E-4BA4-BD2B-846327AA2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xdr:row>
      <xdr:rowOff>0</xdr:rowOff>
    </xdr:from>
    <xdr:to>
      <xdr:col>5</xdr:col>
      <xdr:colOff>613103</xdr:colOff>
      <xdr:row>22</xdr:row>
      <xdr:rowOff>0</xdr:rowOff>
    </xdr:to>
    <xdr:graphicFrame macro="">
      <xdr:nvGraphicFramePr>
        <xdr:cNvPr id="8" name="Chart 7">
          <a:extLst>
            <a:ext uri="{FF2B5EF4-FFF2-40B4-BE49-F238E27FC236}">
              <a16:creationId xmlns:a16="http://schemas.microsoft.com/office/drawing/2014/main" id="{CCC827E4-E92E-4AF2-90C1-357DF5D34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180975</xdr:colOff>
      <xdr:row>10</xdr:row>
      <xdr:rowOff>33337</xdr:rowOff>
    </xdr:from>
    <xdr:to>
      <xdr:col>17</xdr:col>
      <xdr:colOff>485775</xdr:colOff>
      <xdr:row>24</xdr:row>
      <xdr:rowOff>109537</xdr:rowOff>
    </xdr:to>
    <xdr:graphicFrame macro="">
      <xdr:nvGraphicFramePr>
        <xdr:cNvPr id="3" name="Chart 2">
          <a:extLst>
            <a:ext uri="{FF2B5EF4-FFF2-40B4-BE49-F238E27FC236}">
              <a16:creationId xmlns:a16="http://schemas.microsoft.com/office/drawing/2014/main" id="{61E4263C-2C4F-B7FB-7895-889F72993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0</xdr:colOff>
      <xdr:row>8</xdr:row>
      <xdr:rowOff>171450</xdr:rowOff>
    </xdr:from>
    <xdr:to>
      <xdr:col>10</xdr:col>
      <xdr:colOff>0</xdr:colOff>
      <xdr:row>22</xdr:row>
      <xdr:rowOff>28575</xdr:rowOff>
    </xdr:to>
    <mc:AlternateContent xmlns:mc="http://schemas.openxmlformats.org/markup-compatibility/2006">
      <mc:Choice xmlns:sle15="http://schemas.microsoft.com/office/drawing/2012/slicer" Requires="sle15">
        <xdr:graphicFrame macro="">
          <xdr:nvGraphicFramePr>
            <xdr:cNvPr id="4" name="Category 1">
              <a:extLst>
                <a:ext uri="{FF2B5EF4-FFF2-40B4-BE49-F238E27FC236}">
                  <a16:creationId xmlns:a16="http://schemas.microsoft.com/office/drawing/2014/main" id="{186A4F1B-1196-5774-753C-1DC0FCA46DC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19625" y="1695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171450</xdr:colOff>
      <xdr:row>5</xdr:row>
      <xdr:rowOff>114300</xdr:rowOff>
    </xdr:from>
    <xdr:to>
      <xdr:col>10</xdr:col>
      <xdr:colOff>476250</xdr:colOff>
      <xdr:row>20</xdr:row>
      <xdr:rowOff>0</xdr:rowOff>
    </xdr:to>
    <xdr:graphicFrame macro="">
      <xdr:nvGraphicFramePr>
        <xdr:cNvPr id="3" name="Chart 2">
          <a:extLst>
            <a:ext uri="{FF2B5EF4-FFF2-40B4-BE49-F238E27FC236}">
              <a16:creationId xmlns:a16="http://schemas.microsoft.com/office/drawing/2014/main" id="{1536A591-3465-1CCF-BF9A-7883BA918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190500</xdr:colOff>
      <xdr:row>10</xdr:row>
      <xdr:rowOff>180975</xdr:rowOff>
    </xdr:from>
    <xdr:to>
      <xdr:col>12</xdr:col>
      <xdr:colOff>190500</xdr:colOff>
      <xdr:row>24</xdr:row>
      <xdr:rowOff>38100</xdr:rowOff>
    </xdr:to>
    <mc:AlternateContent xmlns:mc="http://schemas.openxmlformats.org/markup-compatibility/2006">
      <mc:Choice xmlns:sle15="http://schemas.microsoft.com/office/drawing/2012/slicer" Requires="sle15">
        <xdr:graphicFrame macro="">
          <xdr:nvGraphicFramePr>
            <xdr:cNvPr id="4" name="Season">
              <a:extLst>
                <a:ext uri="{FF2B5EF4-FFF2-40B4-BE49-F238E27FC236}">
                  <a16:creationId xmlns:a16="http://schemas.microsoft.com/office/drawing/2014/main" id="{6E15A870-3032-F23A-37BC-2D957F1E8B5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6762750" y="2085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10</xdr:row>
      <xdr:rowOff>0</xdr:rowOff>
    </xdr:from>
    <xdr:to>
      <xdr:col>22</xdr:col>
      <xdr:colOff>0</xdr:colOff>
      <xdr:row>33</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C4FE353-8E1A-F737-A5F3-A98B4636A0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34100" y="1905000"/>
              <a:ext cx="7924800" cy="4381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6</xdr:col>
      <xdr:colOff>0</xdr:colOff>
      <xdr:row>8</xdr:row>
      <xdr:rowOff>57150</xdr:rowOff>
    </xdr:from>
    <xdr:to>
      <xdr:col>9</xdr:col>
      <xdr:colOff>0</xdr:colOff>
      <xdr:row>21</xdr:row>
      <xdr:rowOff>104775</xdr:rowOff>
    </xdr:to>
    <mc:AlternateContent xmlns:mc="http://schemas.openxmlformats.org/markup-compatibility/2006">
      <mc:Choice xmlns:sle15="http://schemas.microsoft.com/office/drawing/2012/slicer" Requires="sle15">
        <xdr:graphicFrame macro="">
          <xdr:nvGraphicFramePr>
            <xdr:cNvPr id="5" name="Location">
              <a:extLst>
                <a:ext uri="{FF2B5EF4-FFF2-40B4-BE49-F238E27FC236}">
                  <a16:creationId xmlns:a16="http://schemas.microsoft.com/office/drawing/2014/main" id="{BBD8E132-62B5-3132-3C8D-DA52E12CF25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4305300" y="1581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304800</xdr:colOff>
      <xdr:row>16</xdr:row>
      <xdr:rowOff>76200</xdr:rowOff>
    </xdr:to>
    <xdr:graphicFrame macro="">
      <xdr:nvGraphicFramePr>
        <xdr:cNvPr id="2" name="Chart 1">
          <a:extLst>
            <a:ext uri="{FF2B5EF4-FFF2-40B4-BE49-F238E27FC236}">
              <a16:creationId xmlns:a16="http://schemas.microsoft.com/office/drawing/2014/main" id="{09D95E24-9777-BBC7-46C3-8B63672B9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95250</xdr:colOff>
      <xdr:row>10</xdr:row>
      <xdr:rowOff>180975</xdr:rowOff>
    </xdr:from>
    <xdr:to>
      <xdr:col>12</xdr:col>
      <xdr:colOff>95250</xdr:colOff>
      <xdr:row>24</xdr:row>
      <xdr:rowOff>38100</xdr:rowOff>
    </xdr:to>
    <mc:AlternateContent xmlns:mc="http://schemas.openxmlformats.org/markup-compatibility/2006">
      <mc:Choice xmlns:sle15="http://schemas.microsoft.com/office/drawing/2012/slicer" Requires="sle15">
        <xdr:graphicFrame macro="">
          <xdr:nvGraphicFramePr>
            <xdr:cNvPr id="3" name="Payment Method">
              <a:extLst>
                <a:ext uri="{FF2B5EF4-FFF2-40B4-BE49-F238E27FC236}">
                  <a16:creationId xmlns:a16="http://schemas.microsoft.com/office/drawing/2014/main" id="{27AE29F9-BB34-936A-5EB0-23F9CC2078A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6762750" y="2085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12</xdr:col>
      <xdr:colOff>0</xdr:colOff>
      <xdr:row>10</xdr:row>
      <xdr:rowOff>33337</xdr:rowOff>
    </xdr:from>
    <xdr:to>
      <xdr:col>17</xdr:col>
      <xdr:colOff>42862</xdr:colOff>
      <xdr:row>24</xdr:row>
      <xdr:rowOff>109537</xdr:rowOff>
    </xdr:to>
    <xdr:graphicFrame macro="">
      <xdr:nvGraphicFramePr>
        <xdr:cNvPr id="2" name="Chart 1">
          <a:extLst>
            <a:ext uri="{FF2B5EF4-FFF2-40B4-BE49-F238E27FC236}">
              <a16:creationId xmlns:a16="http://schemas.microsoft.com/office/drawing/2014/main" id="{9D9C4B13-AB34-8CAF-7A88-B13B54CFA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414337</xdr:colOff>
      <xdr:row>10</xdr:row>
      <xdr:rowOff>33337</xdr:rowOff>
    </xdr:from>
    <xdr:to>
      <xdr:col>14</xdr:col>
      <xdr:colOff>109537</xdr:colOff>
      <xdr:row>24</xdr:row>
      <xdr:rowOff>109537</xdr:rowOff>
    </xdr:to>
    <xdr:graphicFrame macro="">
      <xdr:nvGraphicFramePr>
        <xdr:cNvPr id="2" name="Chart 1">
          <a:extLst>
            <a:ext uri="{FF2B5EF4-FFF2-40B4-BE49-F238E27FC236}">
              <a16:creationId xmlns:a16="http://schemas.microsoft.com/office/drawing/2014/main" id="{97881607-9D50-81C1-0057-8C94ACF67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395287</xdr:colOff>
      <xdr:row>10</xdr:row>
      <xdr:rowOff>33337</xdr:rowOff>
    </xdr:from>
    <xdr:to>
      <xdr:col>13</xdr:col>
      <xdr:colOff>0</xdr:colOff>
      <xdr:row>24</xdr:row>
      <xdr:rowOff>109537</xdr:rowOff>
    </xdr:to>
    <xdr:graphicFrame macro="">
      <xdr:nvGraphicFramePr>
        <xdr:cNvPr id="2" name="Chart 1">
          <a:extLst>
            <a:ext uri="{FF2B5EF4-FFF2-40B4-BE49-F238E27FC236}">
              <a16:creationId xmlns:a16="http://schemas.microsoft.com/office/drawing/2014/main" id="{F175BBBF-6823-125F-55BF-2CDCE7921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414337</xdr:colOff>
      <xdr:row>10</xdr:row>
      <xdr:rowOff>33337</xdr:rowOff>
    </xdr:from>
    <xdr:to>
      <xdr:col>14</xdr:col>
      <xdr:colOff>109537</xdr:colOff>
      <xdr:row>24</xdr:row>
      <xdr:rowOff>109537</xdr:rowOff>
    </xdr:to>
    <xdr:graphicFrame macro="">
      <xdr:nvGraphicFramePr>
        <xdr:cNvPr id="2" name="Chart 1">
          <a:extLst>
            <a:ext uri="{FF2B5EF4-FFF2-40B4-BE49-F238E27FC236}">
              <a16:creationId xmlns:a16="http://schemas.microsoft.com/office/drawing/2014/main" id="{5204DC91-B36B-FD86-51A6-D68A8742F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9</xdr:col>
      <xdr:colOff>28575</xdr:colOff>
      <xdr:row>10</xdr:row>
      <xdr:rowOff>33337</xdr:rowOff>
    </xdr:from>
    <xdr:to>
      <xdr:col>16</xdr:col>
      <xdr:colOff>333375</xdr:colOff>
      <xdr:row>24</xdr:row>
      <xdr:rowOff>109537</xdr:rowOff>
    </xdr:to>
    <xdr:graphicFrame macro="">
      <xdr:nvGraphicFramePr>
        <xdr:cNvPr id="3" name="Chart 2">
          <a:extLst>
            <a:ext uri="{FF2B5EF4-FFF2-40B4-BE49-F238E27FC236}">
              <a16:creationId xmlns:a16="http://schemas.microsoft.com/office/drawing/2014/main" id="{E304EBBD-0B62-F986-BC47-0B41D45F2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8</xdr:col>
      <xdr:colOff>395287</xdr:colOff>
      <xdr:row>10</xdr:row>
      <xdr:rowOff>33337</xdr:rowOff>
    </xdr:from>
    <xdr:to>
      <xdr:col>16</xdr:col>
      <xdr:colOff>90487</xdr:colOff>
      <xdr:row>24</xdr:row>
      <xdr:rowOff>109537</xdr:rowOff>
    </xdr:to>
    <xdr:graphicFrame macro="">
      <xdr:nvGraphicFramePr>
        <xdr:cNvPr id="3" name="Chart 2">
          <a:extLst>
            <a:ext uri="{FF2B5EF4-FFF2-40B4-BE49-F238E27FC236}">
              <a16:creationId xmlns:a16="http://schemas.microsoft.com/office/drawing/2014/main" id="{B53CA529-5C7C-BBE3-7A62-F4894D41F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8</xdr:col>
      <xdr:colOff>71436</xdr:colOff>
      <xdr:row>8</xdr:row>
      <xdr:rowOff>0</xdr:rowOff>
    </xdr:from>
    <xdr:to>
      <xdr:col>18</xdr:col>
      <xdr:colOff>0</xdr:colOff>
      <xdr:row>35</xdr:row>
      <xdr:rowOff>95250</xdr:rowOff>
    </xdr:to>
    <xdr:graphicFrame macro="">
      <xdr:nvGraphicFramePr>
        <xdr:cNvPr id="3" name="Chart 2">
          <a:extLst>
            <a:ext uri="{FF2B5EF4-FFF2-40B4-BE49-F238E27FC236}">
              <a16:creationId xmlns:a16="http://schemas.microsoft.com/office/drawing/2014/main" id="{A6079DB8-9767-25BA-39A8-52D3EE620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6B362CD-03F7-492B-96F8-32D1FFD9B7B4}" sourceName="Location">
  <extLst>
    <x:ext xmlns:x15="http://schemas.microsoft.com/office/spreadsheetml/2010/11/main" uri="{2F2917AC-EB37-4324-AD4E-5DD8C200BD13}">
      <x15:tableSlicerCache tableId="2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78624C1-C9E6-47A3-AA40-3E650FC72C39}" sourceName="Category">
  <extLst>
    <x:ext xmlns:x15="http://schemas.microsoft.com/office/spreadsheetml/2010/11/main" uri="{2F2917AC-EB37-4324-AD4E-5DD8C200BD13}">
      <x15:tableSlicerCache tableId="13"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731CB41C-6115-48D5-9584-C65200D98EC3}" sourceName="Season">
  <extLst>
    <x:ext xmlns:x15="http://schemas.microsoft.com/office/spreadsheetml/2010/11/main" uri="{2F2917AC-EB37-4324-AD4E-5DD8C200BD13}">
      <x15:tableSlicerCache tableId="2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C0EE9B3-8FA0-453C-B957-873CB432E55F}" sourceName="Payment Type">
  <extLst>
    <x:ext xmlns:x15="http://schemas.microsoft.com/office/spreadsheetml/2010/11/main" uri="{2F2917AC-EB37-4324-AD4E-5DD8C200BD13}">
      <x15:tableSlicerCache tableId="2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9ED3DC34-EAFD-4576-A292-4A0C041AF2A6}" cache="Slicer_Location" caption="Location" columnCount="10" rowHeight="182880"/>
  <slicer name="Category 2" xr10:uid="{E7DE32E4-D1A9-4016-8EF8-3448381F95F9}" cache="Slicer_Category1" caption="Category" rowHeight="182880"/>
  <slicer name="Season 1" xr10:uid="{0E6B229C-2BB3-4815-B8E4-0B45D8344AF1}" cache="Slicer_Season" caption="Season" rowHeight="182880"/>
  <slicer name="Payment Method 1" xr10:uid="{02474A63-6216-4C2F-8930-BD4198DE7259}" cache="Slicer_Payment_Method" caption="Payment Type"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0A720EB-9D7D-44C6-BF75-01BBAFC3E3EF}" cache="Slicer_Category1"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1FB864D3-EC4D-4725-B605-FC2D5D9F353E}" cache="Slicer_Season" caption="Seas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0E13836-0E45-4F0E-BF28-E9A5F48EF0DC}" cache="Slicer_Location" caption="Locati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999A425C-1D71-446B-85F1-64472A48BEFC}" cache="Slicer_Payment_Method" caption="Payment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440796-761C-4716-96BF-F0820653961E}" name="shopping_trendTBL" displayName="shopping_trendTBL" ref="A1:S3901" totalsRowShown="0">
  <autoFilter ref="A1:S3901" xr:uid="{60440796-761C-4716-96BF-F0820653961E}"/>
  <tableColumns count="19">
    <tableColumn id="1" xr3:uid="{B1D15CB9-E92E-4357-97E3-8129A4813107}" name="Customer ID"/>
    <tableColumn id="2" xr3:uid="{1D1F6534-2CE8-4FEC-9892-1BEE8C83A4B1}" name="Age"/>
    <tableColumn id="3" xr3:uid="{5F0F8DAB-AA74-4829-8ABA-F20573FA1247}" name="Gender"/>
    <tableColumn id="4" xr3:uid="{0DB1A40B-8E15-4255-A61F-133414AB9789}" name="Item Purchased"/>
    <tableColumn id="5" xr3:uid="{CB669F11-B339-449D-B8E0-FC58A9980462}" name="Category"/>
    <tableColumn id="6" xr3:uid="{E2909578-25EA-4F0E-85D6-ABF1E9DA8CFE}" name="Purchase Amount (USD)" dataDxfId="13"/>
    <tableColumn id="7" xr3:uid="{DD61C794-4ACA-4265-BA9D-1BC78191B82D}" name="Location"/>
    <tableColumn id="8" xr3:uid="{BA2208C6-B7FA-4513-A74F-A564480C82AE}" name="Size"/>
    <tableColumn id="9" xr3:uid="{8E2F8F22-C8E6-43B5-9AED-42910D5628D3}" name="Color"/>
    <tableColumn id="10" xr3:uid="{60F4DE4C-9ECA-4576-8BB9-5A17D9D2C29B}" name="Season"/>
    <tableColumn id="11" xr3:uid="{CDD443EB-75FD-4427-AA14-CFA7F60E7BE9}" name="Review Rating" dataDxfId="12"/>
    <tableColumn id="12" xr3:uid="{2B9FE32B-61B2-4E39-B446-8C843AAAEFAE}" name="Subscription Status"/>
    <tableColumn id="13" xr3:uid="{46301534-FBCC-4584-B633-20A4DEA9AF78}" name="Payment Method"/>
    <tableColumn id="14" xr3:uid="{C28EF0E6-3A9A-45AC-8303-C55C23118BA3}" name="Shipping Type"/>
    <tableColumn id="15" xr3:uid="{9FCC5626-5BD8-4193-8305-DDC28EF50F10}" name="Discount Applied"/>
    <tableColumn id="16" xr3:uid="{720F4B33-CD7D-48CB-9BDB-514D85897851}" name="Promo Code Used"/>
    <tableColumn id="17" xr3:uid="{AAFD6B79-506E-431C-B692-6BBEDCD9BB4D}" name="Previous Purchases" dataDxfId="11"/>
    <tableColumn id="18" xr3:uid="{F26287F2-B48F-4D54-B216-F9074C69CFFD}" name="Preferred Payment Method"/>
    <tableColumn id="19" xr3:uid="{1AB2B864-2F1C-4765-ACC0-71D5382BBF16}" name="Frequency of Purchas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CDAC16C-94E4-4769-8A88-6F5CCDFF98E0}" name="Table13" displayName="Table13" ref="A1:B5" totalsRowShown="0">
  <autoFilter ref="A1:B5" xr:uid="{FCDAC16C-94E4-4769-8A88-6F5CCDFF98E0}"/>
  <sortState xmlns:xlrd2="http://schemas.microsoft.com/office/spreadsheetml/2017/richdata2" ref="A2:B5">
    <sortCondition descending="1" ref="B1:B5"/>
  </sortState>
  <tableColumns count="2">
    <tableColumn id="1" xr3:uid="{940346CF-042D-407D-8C92-740658571647}" name="Category"/>
    <tableColumn id="2" xr3:uid="{2774F5CC-EE7D-4D17-ADB4-67E233431015}" name="Total Sales">
      <calculatedColumnFormula xml:space="preserve"> COUNTIF(Category,A2)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E61C622-D43B-407F-B878-5E1F2E888B0B}" name="Table24" displayName="Table24" ref="A1:C5" totalsRowShown="0">
  <autoFilter ref="A1:C5" xr:uid="{4E61C622-D43B-407F-B878-5E1F2E888B0B}"/>
  <sortState xmlns:xlrd2="http://schemas.microsoft.com/office/spreadsheetml/2017/richdata2" ref="A2:C5">
    <sortCondition descending="1" ref="B1:B5"/>
  </sortState>
  <tableColumns count="3">
    <tableColumn id="1" xr3:uid="{7FB56C1A-EAE7-4C82-8AAB-CADBB86D67FC}" name="Season"/>
    <tableColumn id="2" xr3:uid="{029B7268-1282-4D32-9DF2-4F49EB8E4B10}" name="Total Sales Value" dataDxfId="10">
      <calculatedColumnFormula>SUMIF(Season,A2, Purchase_Amount__USD)</calculatedColumnFormula>
    </tableColumn>
    <tableColumn id="3" xr3:uid="{01D226F4-38A1-43BA-A2B0-C70AB999C584}" name="Total Orders">
      <calculatedColumnFormula>COUNTIF(Season,A2)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1C4A2B5-CAAA-4C8E-9713-23B911A2B644}" name="Table26" displayName="Table26" ref="A1:C51" totalsRowShown="0">
  <autoFilter ref="A1:C51" xr:uid="{31C4A2B5-CAAA-4C8E-9713-23B911A2B644}"/>
  <tableColumns count="3">
    <tableColumn id="1" xr3:uid="{ABFA428E-30A9-4C17-A7CF-F5D39E0D889A}" name="Location"/>
    <tableColumn id="2" xr3:uid="{46092CC5-FF49-4FF6-89FE-8CD571E53381}" name="Total Sales" dataDxfId="9">
      <calculatedColumnFormula>SUMIF(Location,A2, Purchase_Amount__USD)</calculatedColumnFormula>
    </tableColumn>
    <tableColumn id="3" xr3:uid="{41C335C0-A0A9-47B6-A73A-C0B35FAE21EE}" name="Total Orders">
      <calculatedColumnFormula xml:space="preserve"> COUNTIF(Location,A2)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ADE3859-C4D1-48B4-B246-E6346393515D}" name="Table27" displayName="Table27" ref="A1:C7" totalsRowShown="0">
  <autoFilter ref="A1:C7" xr:uid="{DADE3859-C4D1-48B4-B246-E6346393515D}"/>
  <sortState xmlns:xlrd2="http://schemas.microsoft.com/office/spreadsheetml/2017/richdata2" ref="A2:C7">
    <sortCondition descending="1" ref="B1:B7"/>
  </sortState>
  <tableColumns count="3">
    <tableColumn id="1" xr3:uid="{F55034AA-5959-4E47-9935-B4C80A3DECCA}" name="Payment Type"/>
    <tableColumn id="2" xr3:uid="{9F7C114A-126A-49AA-8F81-350DABED20A1}" name="Total Sales" dataDxfId="8">
      <calculatedColumnFormula>SUMIF(Payment_Method,A2, Purchase_Amount__USD)</calculatedColumnFormula>
    </tableColumn>
    <tableColumn id="3" xr3:uid="{C42429BB-A8C5-477F-AD54-A8043B3CB825}" name="Total Orders">
      <calculatedColumnFormula xml:space="preserve"> COUNTIF(Payment_Method,A2)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335F7C3-15FD-4503-B17D-851D9D12DE1E}" name="Table28" displayName="Table28" ref="A1:C3" totalsRowShown="0">
  <autoFilter ref="A1:C3" xr:uid="{9335F7C3-15FD-4503-B17D-851D9D12DE1E}"/>
  <tableColumns count="3">
    <tableColumn id="1" xr3:uid="{A920B1BC-3EE8-4F7D-9E43-018BE29F94B8}" name="Gender"/>
    <tableColumn id="3" xr3:uid="{47BEA463-CBC6-4598-B6D7-59CE905CF96A}" name="Total Order" dataDxfId="7">
      <calculatedColumnFormula>COUNTIF(Gender,A2)</calculatedColumnFormula>
    </tableColumn>
    <tableColumn id="2" xr3:uid="{5AB64BBC-CA98-4260-97E2-EF3F1E4ADF50}" name="AOV">
      <calculatedColumnFormula>AVERAGEIF(Gender, A2, Purchase_Amount__USD)</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37AD3DD-C78C-4AC1-8B5B-869F09B1FC4F}" name="Table29" displayName="Table29" ref="A1:C8" totalsRowShown="0">
  <autoFilter ref="A1:C8" xr:uid="{937AD3DD-C78C-4AC1-8B5B-869F09B1FC4F}"/>
  <sortState xmlns:xlrd2="http://schemas.microsoft.com/office/spreadsheetml/2017/richdata2" ref="A2:C8">
    <sortCondition descending="1" ref="B1:B8"/>
  </sortState>
  <tableColumns count="3">
    <tableColumn id="1" xr3:uid="{CE70959B-87B1-400D-A4B7-FB560B6AF33B}" name="Frequency of Purchase"/>
    <tableColumn id="2" xr3:uid="{F854EE4E-A7A9-4947-9B4C-2F4388466FA5}" name="Total Order">
      <calculatedColumnFormula xml:space="preserve"> COUNTIF(Frequency_of_Purchases,A2)</calculatedColumnFormula>
    </tableColumn>
    <tableColumn id="3" xr3:uid="{F422A517-2C27-4B1D-A511-942BC5A02E2F}" name="AOV" dataDxfId="6">
      <calculatedColumnFormula>AVERAGEIF(Frequency_of_Purchases,A2, Purchase_Amount__USD)</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01B9B05-FAD2-444E-94DB-938E5D3DD592}" name="Table30" displayName="Table30" ref="A1:C3" totalsRowShown="0">
  <autoFilter ref="A1:C3" xr:uid="{401B9B05-FAD2-444E-94DB-938E5D3DD592}"/>
  <tableColumns count="3">
    <tableColumn id="1" xr3:uid="{52E51A91-1E48-44CB-9F51-76A9E9321069}" name="Subscriber"/>
    <tableColumn id="2" xr3:uid="{A1F50389-888C-4B80-AFFB-1F88B3545F14}" name="Total Sales" dataDxfId="4">
      <calculatedColumnFormula>SUMIF(Subscription_Status, A2, Purchase_Amount__USD)</calculatedColumnFormula>
    </tableColumn>
    <tableColumn id="3" xr3:uid="{07FD8647-29C8-4490-9118-64C2B03A8258}" name="Total Adoption Rate" dataDxfId="5">
      <calculatedColumnFormula array="1">COUNTA(_xlfn.UNIQUE(_xlfn._xlws.FILTER(Customer_ID, Subscription_Status="No")))
 / COUNTA(_xlfn.UNIQUE(Customer_ID))</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028DFB8-A0D0-4813-95E6-4124C92247D4}" name="Table31" displayName="Table31" ref="A1:C7" totalsRowShown="0">
  <autoFilter ref="A1:C7" xr:uid="{2028DFB8-A0D0-4813-95E6-4124C92247D4}"/>
  <sortState xmlns:xlrd2="http://schemas.microsoft.com/office/spreadsheetml/2017/richdata2" ref="A2:C7">
    <sortCondition descending="1" ref="B1:B7"/>
  </sortState>
  <tableColumns count="3">
    <tableColumn id="1" xr3:uid="{D26D6E4B-1C7F-42D0-8BF6-29E7757E1B7E}" name="Shipping Type"/>
    <tableColumn id="2" xr3:uid="{3F15F2A3-D16B-4BC9-B649-D51D2F230617}" name="Total Order">
      <calculatedColumnFormula>COUNTIF(Shipping_Type, A2)</calculatedColumnFormula>
    </tableColumn>
    <tableColumn id="3" xr3:uid="{19FF9488-EAC5-498E-ABEC-2612C02B3664}" name="AOV" dataDxfId="3">
      <calculatedColumnFormula>AVERAGEIF(Shipping_Type,A2, Purchase_Amount__USD)</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519EFFC-4D22-4AEC-8F8C-B55B9BE52CA9}" name="Table32" displayName="Table32" ref="A1:B5" totalsRowShown="0">
  <autoFilter ref="A1:B5" xr:uid="{6519EFFC-4D22-4AEC-8F8C-B55B9BE52CA9}"/>
  <sortState xmlns:xlrd2="http://schemas.microsoft.com/office/spreadsheetml/2017/richdata2" ref="A2:B5">
    <sortCondition ref="B1:B5"/>
  </sortState>
  <tableColumns count="2">
    <tableColumn id="1" xr3:uid="{3A14720B-CAA4-4BAC-9273-E1B7FC8E1C83}" name="Size"/>
    <tableColumn id="2" xr3:uid="{BAF42B55-DE1E-4280-93CB-2E420F898A9C}" name="Toal Sales" dataDxfId="2">
      <calculatedColumnFormula>SUMIF(Size,A2, Purchase_Amount__USD)</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C1FE3F03-2B52-4723-B689-E41FE3206F13}" name="Table33" displayName="Table33" ref="A1:C26" totalsRowShown="0">
  <autoFilter ref="A1:C26" xr:uid="{C1FE3F03-2B52-4723-B689-E41FE3206F13}">
    <filterColumn colId="1">
      <top10 val="10" filterVal="9433"/>
    </filterColumn>
  </autoFilter>
  <sortState xmlns:xlrd2="http://schemas.microsoft.com/office/spreadsheetml/2017/richdata2" ref="A2:C24">
    <sortCondition descending="1" ref="B1:B26"/>
  </sortState>
  <tableColumns count="3">
    <tableColumn id="1" xr3:uid="{E2AD912E-52DB-4945-9DEF-C87B8B7A9948}" name="Product"/>
    <tableColumn id="2" xr3:uid="{BB79A45C-6AFE-443D-97F4-4A6D96A616D0}" name="Total Sales Amount" dataDxfId="0">
      <calculatedColumnFormula xml:space="preserve"> SUMIF(Item_Purchased,A2, Purchase_Amount__USD)</calculatedColumnFormula>
    </tableColumn>
    <tableColumn id="3" xr3:uid="{E08CFD79-0F34-4BFD-8575-625E387E226C}" name="AOV" dataDxfId="1">
      <calculatedColumnFormula>AVERAGEIF(Item_Purchased,A2, Purchase_Amount__USD)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5.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35CA6-AEBB-41A6-9BF1-06F1698AD60D}">
  <sheetPr codeName="Sheet1"/>
  <dimension ref="A1:S3901"/>
  <sheetViews>
    <sheetView workbookViewId="0"/>
  </sheetViews>
  <sheetFormatPr defaultRowHeight="15" x14ac:dyDescent="0.25"/>
  <cols>
    <col min="1" max="1" width="14" customWidth="1"/>
    <col min="3" max="3" width="9.85546875" customWidth="1"/>
    <col min="4" max="4" width="17.140625" bestFit="1" customWidth="1"/>
    <col min="5" max="5" width="11" customWidth="1"/>
    <col min="6" max="6" width="24.28515625" customWidth="1"/>
    <col min="7" max="7" width="10.5703125" customWidth="1"/>
    <col min="10" max="10" width="9.42578125" customWidth="1"/>
    <col min="11" max="11" width="15.7109375" customWidth="1"/>
    <col min="12" max="12" width="20" customWidth="1"/>
    <col min="13" max="13" width="18.5703125" customWidth="1"/>
    <col min="14" max="14" width="15.5703125" customWidth="1"/>
    <col min="15" max="15" width="18.28515625" customWidth="1"/>
    <col min="16" max="16" width="19" customWidth="1"/>
    <col min="17" max="17" width="20.140625" customWidth="1"/>
    <col min="18" max="18" width="27.5703125" customWidth="1"/>
    <col min="19" max="19" width="24"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v>55</v>
      </c>
      <c r="C2" t="s">
        <v>19</v>
      </c>
      <c r="D2" t="s">
        <v>20</v>
      </c>
      <c r="E2" t="s">
        <v>21</v>
      </c>
      <c r="F2" s="1">
        <v>53</v>
      </c>
      <c r="G2" t="s">
        <v>22</v>
      </c>
      <c r="H2" t="s">
        <v>23</v>
      </c>
      <c r="I2" t="s">
        <v>24</v>
      </c>
      <c r="J2" t="s">
        <v>25</v>
      </c>
      <c r="K2" s="2">
        <v>3.1</v>
      </c>
      <c r="L2" t="s">
        <v>26</v>
      </c>
      <c r="M2" t="s">
        <v>27</v>
      </c>
      <c r="N2" t="s">
        <v>28</v>
      </c>
      <c r="O2" t="s">
        <v>26</v>
      </c>
      <c r="P2" t="s">
        <v>26</v>
      </c>
      <c r="Q2" s="3">
        <v>14</v>
      </c>
      <c r="R2" t="s">
        <v>29</v>
      </c>
      <c r="S2" t="s">
        <v>30</v>
      </c>
    </row>
    <row r="3" spans="1:19" x14ac:dyDescent="0.25">
      <c r="A3">
        <v>2</v>
      </c>
      <c r="B3">
        <v>19</v>
      </c>
      <c r="C3" t="s">
        <v>19</v>
      </c>
      <c r="D3" t="s">
        <v>31</v>
      </c>
      <c r="E3" t="s">
        <v>21</v>
      </c>
      <c r="F3" s="1">
        <v>64</v>
      </c>
      <c r="G3" t="s">
        <v>32</v>
      </c>
      <c r="H3" t="s">
        <v>23</v>
      </c>
      <c r="I3" t="s">
        <v>33</v>
      </c>
      <c r="J3" t="s">
        <v>25</v>
      </c>
      <c r="K3" s="2">
        <v>3.1</v>
      </c>
      <c r="L3" t="s">
        <v>26</v>
      </c>
      <c r="M3" t="s">
        <v>34</v>
      </c>
      <c r="N3" t="s">
        <v>28</v>
      </c>
      <c r="O3" t="s">
        <v>26</v>
      </c>
      <c r="P3" t="s">
        <v>26</v>
      </c>
      <c r="Q3" s="3">
        <v>2</v>
      </c>
      <c r="R3" t="s">
        <v>35</v>
      </c>
      <c r="S3" t="s">
        <v>30</v>
      </c>
    </row>
    <row r="4" spans="1:19" x14ac:dyDescent="0.25">
      <c r="A4">
        <v>3</v>
      </c>
      <c r="B4">
        <v>50</v>
      </c>
      <c r="C4" t="s">
        <v>19</v>
      </c>
      <c r="D4" t="s">
        <v>36</v>
      </c>
      <c r="E4" t="s">
        <v>21</v>
      </c>
      <c r="F4" s="1">
        <v>73</v>
      </c>
      <c r="G4" t="s">
        <v>37</v>
      </c>
      <c r="H4" t="s">
        <v>38</v>
      </c>
      <c r="I4" t="s">
        <v>33</v>
      </c>
      <c r="J4" t="s">
        <v>39</v>
      </c>
      <c r="K4" s="2">
        <v>3.1</v>
      </c>
      <c r="L4" t="s">
        <v>26</v>
      </c>
      <c r="M4" t="s">
        <v>35</v>
      </c>
      <c r="N4" t="s">
        <v>40</v>
      </c>
      <c r="O4" t="s">
        <v>26</v>
      </c>
      <c r="P4" t="s">
        <v>26</v>
      </c>
      <c r="Q4" s="3">
        <v>23</v>
      </c>
      <c r="R4" t="s">
        <v>27</v>
      </c>
      <c r="S4" t="s">
        <v>41</v>
      </c>
    </row>
    <row r="5" spans="1:19" x14ac:dyDescent="0.25">
      <c r="A5">
        <v>4</v>
      </c>
      <c r="B5">
        <v>21</v>
      </c>
      <c r="C5" t="s">
        <v>19</v>
      </c>
      <c r="D5" t="s">
        <v>42</v>
      </c>
      <c r="E5" t="s">
        <v>43</v>
      </c>
      <c r="F5" s="1">
        <v>90</v>
      </c>
      <c r="G5" t="s">
        <v>44</v>
      </c>
      <c r="H5" t="s">
        <v>45</v>
      </c>
      <c r="I5" t="s">
        <v>33</v>
      </c>
      <c r="J5" t="s">
        <v>39</v>
      </c>
      <c r="K5" s="2">
        <v>3.5</v>
      </c>
      <c r="L5" t="s">
        <v>26</v>
      </c>
      <c r="M5" t="s">
        <v>46</v>
      </c>
      <c r="N5" t="s">
        <v>47</v>
      </c>
      <c r="O5" t="s">
        <v>26</v>
      </c>
      <c r="P5" t="s">
        <v>26</v>
      </c>
      <c r="Q5" s="3">
        <v>49</v>
      </c>
      <c r="R5" t="s">
        <v>46</v>
      </c>
      <c r="S5" t="s">
        <v>41</v>
      </c>
    </row>
    <row r="6" spans="1:19" x14ac:dyDescent="0.25">
      <c r="A6">
        <v>5</v>
      </c>
      <c r="B6">
        <v>45</v>
      </c>
      <c r="C6" t="s">
        <v>19</v>
      </c>
      <c r="D6" t="s">
        <v>20</v>
      </c>
      <c r="E6" t="s">
        <v>21</v>
      </c>
      <c r="F6" s="1">
        <v>49</v>
      </c>
      <c r="G6" t="s">
        <v>48</v>
      </c>
      <c r="H6" t="s">
        <v>45</v>
      </c>
      <c r="I6" t="s">
        <v>49</v>
      </c>
      <c r="J6" t="s">
        <v>39</v>
      </c>
      <c r="K6" s="2">
        <v>2.7</v>
      </c>
      <c r="L6" t="s">
        <v>26</v>
      </c>
      <c r="M6" t="s">
        <v>35</v>
      </c>
      <c r="N6" t="s">
        <v>40</v>
      </c>
      <c r="O6" t="s">
        <v>26</v>
      </c>
      <c r="P6" t="s">
        <v>26</v>
      </c>
      <c r="Q6" s="3">
        <v>31</v>
      </c>
      <c r="R6" t="s">
        <v>46</v>
      </c>
      <c r="S6" t="s">
        <v>50</v>
      </c>
    </row>
    <row r="7" spans="1:19" x14ac:dyDescent="0.25">
      <c r="A7">
        <v>6</v>
      </c>
      <c r="B7">
        <v>46</v>
      </c>
      <c r="C7" t="s">
        <v>19</v>
      </c>
      <c r="D7" t="s">
        <v>51</v>
      </c>
      <c r="E7" t="s">
        <v>43</v>
      </c>
      <c r="F7" s="1">
        <v>20</v>
      </c>
      <c r="G7" t="s">
        <v>52</v>
      </c>
      <c r="H7" t="s">
        <v>45</v>
      </c>
      <c r="I7" t="s">
        <v>53</v>
      </c>
      <c r="J7" t="s">
        <v>54</v>
      </c>
      <c r="K7" s="2">
        <v>2.9</v>
      </c>
      <c r="L7" t="s">
        <v>26</v>
      </c>
      <c r="M7" t="s">
        <v>29</v>
      </c>
      <c r="N7" t="s">
        <v>55</v>
      </c>
      <c r="O7" t="s">
        <v>26</v>
      </c>
      <c r="P7" t="s">
        <v>26</v>
      </c>
      <c r="Q7" s="3">
        <v>14</v>
      </c>
      <c r="R7" t="s">
        <v>29</v>
      </c>
      <c r="S7" t="s">
        <v>41</v>
      </c>
    </row>
    <row r="8" spans="1:19" x14ac:dyDescent="0.25">
      <c r="A8">
        <v>7</v>
      </c>
      <c r="B8">
        <v>63</v>
      </c>
      <c r="C8" t="s">
        <v>19</v>
      </c>
      <c r="D8" t="s">
        <v>56</v>
      </c>
      <c r="E8" t="s">
        <v>21</v>
      </c>
      <c r="F8" s="1">
        <v>85</v>
      </c>
      <c r="G8" t="s">
        <v>57</v>
      </c>
      <c r="H8" t="s">
        <v>45</v>
      </c>
      <c r="I8" t="s">
        <v>24</v>
      </c>
      <c r="J8" t="s">
        <v>58</v>
      </c>
      <c r="K8" s="2">
        <v>3.2</v>
      </c>
      <c r="L8" t="s">
        <v>26</v>
      </c>
      <c r="M8" t="s">
        <v>59</v>
      </c>
      <c r="N8" t="s">
        <v>40</v>
      </c>
      <c r="O8" t="s">
        <v>26</v>
      </c>
      <c r="P8" t="s">
        <v>26</v>
      </c>
      <c r="Q8" s="3">
        <v>49</v>
      </c>
      <c r="R8" t="s">
        <v>35</v>
      </c>
      <c r="S8" t="s">
        <v>60</v>
      </c>
    </row>
    <row r="9" spans="1:19" x14ac:dyDescent="0.25">
      <c r="A9">
        <v>8</v>
      </c>
      <c r="B9">
        <v>27</v>
      </c>
      <c r="C9" t="s">
        <v>19</v>
      </c>
      <c r="D9" t="s">
        <v>61</v>
      </c>
      <c r="E9" t="s">
        <v>21</v>
      </c>
      <c r="F9" s="1">
        <v>34</v>
      </c>
      <c r="G9" t="s">
        <v>62</v>
      </c>
      <c r="H9" t="s">
        <v>23</v>
      </c>
      <c r="I9" t="s">
        <v>63</v>
      </c>
      <c r="J9" t="s">
        <v>25</v>
      </c>
      <c r="K9" s="2">
        <v>3.2</v>
      </c>
      <c r="L9" t="s">
        <v>26</v>
      </c>
      <c r="M9" t="s">
        <v>59</v>
      </c>
      <c r="N9" t="s">
        <v>40</v>
      </c>
      <c r="O9" t="s">
        <v>26</v>
      </c>
      <c r="P9" t="s">
        <v>26</v>
      </c>
      <c r="Q9" s="3">
        <v>19</v>
      </c>
      <c r="R9" t="s">
        <v>27</v>
      </c>
      <c r="S9" t="s">
        <v>41</v>
      </c>
    </row>
    <row r="10" spans="1:19" x14ac:dyDescent="0.25">
      <c r="A10">
        <v>9</v>
      </c>
      <c r="B10">
        <v>26</v>
      </c>
      <c r="C10" t="s">
        <v>19</v>
      </c>
      <c r="D10" t="s">
        <v>64</v>
      </c>
      <c r="E10" t="s">
        <v>65</v>
      </c>
      <c r="F10" s="1">
        <v>97</v>
      </c>
      <c r="G10" t="s">
        <v>66</v>
      </c>
      <c r="H10" t="s">
        <v>23</v>
      </c>
      <c r="I10" t="s">
        <v>67</v>
      </c>
      <c r="J10" t="s">
        <v>54</v>
      </c>
      <c r="K10" s="2">
        <v>2.6</v>
      </c>
      <c r="L10" t="s">
        <v>26</v>
      </c>
      <c r="M10" t="s">
        <v>29</v>
      </c>
      <c r="N10" t="s">
        <v>28</v>
      </c>
      <c r="O10" t="s">
        <v>26</v>
      </c>
      <c r="P10" t="s">
        <v>26</v>
      </c>
      <c r="Q10" s="3">
        <v>8</v>
      </c>
      <c r="R10" t="s">
        <v>29</v>
      </c>
      <c r="S10" t="s">
        <v>50</v>
      </c>
    </row>
    <row r="11" spans="1:19" x14ac:dyDescent="0.25">
      <c r="A11">
        <v>10</v>
      </c>
      <c r="B11">
        <v>57</v>
      </c>
      <c r="C11" t="s">
        <v>19</v>
      </c>
      <c r="D11" t="s">
        <v>68</v>
      </c>
      <c r="E11" t="s">
        <v>69</v>
      </c>
      <c r="F11" s="1">
        <v>31</v>
      </c>
      <c r="G11" t="s">
        <v>70</v>
      </c>
      <c r="H11" t="s">
        <v>45</v>
      </c>
      <c r="I11" t="s">
        <v>71</v>
      </c>
      <c r="J11" t="s">
        <v>39</v>
      </c>
      <c r="K11" s="2">
        <v>4.8</v>
      </c>
      <c r="L11" t="s">
        <v>26</v>
      </c>
      <c r="M11" t="s">
        <v>46</v>
      </c>
      <c r="N11" t="s">
        <v>72</v>
      </c>
      <c r="O11" t="s">
        <v>26</v>
      </c>
      <c r="P11" t="s">
        <v>26</v>
      </c>
      <c r="Q11" s="3">
        <v>4</v>
      </c>
      <c r="R11" t="s">
        <v>35</v>
      </c>
      <c r="S11" t="s">
        <v>60</v>
      </c>
    </row>
    <row r="12" spans="1:19" x14ac:dyDescent="0.25">
      <c r="A12">
        <v>11</v>
      </c>
      <c r="B12">
        <v>53</v>
      </c>
      <c r="C12" t="s">
        <v>19</v>
      </c>
      <c r="D12" t="s">
        <v>73</v>
      </c>
      <c r="E12" t="s">
        <v>43</v>
      </c>
      <c r="F12" s="1">
        <v>34</v>
      </c>
      <c r="G12" t="s">
        <v>74</v>
      </c>
      <c r="H12" t="s">
        <v>23</v>
      </c>
      <c r="I12" t="s">
        <v>75</v>
      </c>
      <c r="J12" t="s">
        <v>58</v>
      </c>
      <c r="K12" s="2">
        <v>4.0999999999999996</v>
      </c>
      <c r="L12" t="s">
        <v>26</v>
      </c>
      <c r="M12" t="s">
        <v>27</v>
      </c>
      <c r="N12" t="s">
        <v>76</v>
      </c>
      <c r="O12" t="s">
        <v>26</v>
      </c>
      <c r="P12" t="s">
        <v>26</v>
      </c>
      <c r="Q12" s="3">
        <v>26</v>
      </c>
      <c r="R12" t="s">
        <v>34</v>
      </c>
      <c r="S12" t="s">
        <v>77</v>
      </c>
    </row>
    <row r="13" spans="1:19" x14ac:dyDescent="0.25">
      <c r="A13">
        <v>12</v>
      </c>
      <c r="B13">
        <v>30</v>
      </c>
      <c r="C13" t="s">
        <v>19</v>
      </c>
      <c r="D13" t="s">
        <v>61</v>
      </c>
      <c r="E13" t="s">
        <v>21</v>
      </c>
      <c r="F13" s="1">
        <v>68</v>
      </c>
      <c r="G13" t="s">
        <v>78</v>
      </c>
      <c r="H13" t="s">
        <v>38</v>
      </c>
      <c r="I13" t="s">
        <v>79</v>
      </c>
      <c r="J13" t="s">
        <v>25</v>
      </c>
      <c r="K13" s="2">
        <v>4.9000000000000004</v>
      </c>
      <c r="L13" t="s">
        <v>26</v>
      </c>
      <c r="M13" t="s">
        <v>46</v>
      </c>
      <c r="N13" t="s">
        <v>76</v>
      </c>
      <c r="O13" t="s">
        <v>26</v>
      </c>
      <c r="P13" t="s">
        <v>26</v>
      </c>
      <c r="Q13" s="3">
        <v>10</v>
      </c>
      <c r="R13" t="s">
        <v>34</v>
      </c>
      <c r="S13" t="s">
        <v>30</v>
      </c>
    </row>
    <row r="14" spans="1:19" x14ac:dyDescent="0.25">
      <c r="A14">
        <v>13</v>
      </c>
      <c r="B14">
        <v>61</v>
      </c>
      <c r="C14" t="s">
        <v>19</v>
      </c>
      <c r="D14" t="s">
        <v>64</v>
      </c>
      <c r="E14" t="s">
        <v>65</v>
      </c>
      <c r="F14" s="1">
        <v>72</v>
      </c>
      <c r="G14" t="s">
        <v>80</v>
      </c>
      <c r="H14" t="s">
        <v>45</v>
      </c>
      <c r="I14" t="s">
        <v>81</v>
      </c>
      <c r="J14" t="s">
        <v>25</v>
      </c>
      <c r="K14" s="2">
        <v>4.5</v>
      </c>
      <c r="L14" t="s">
        <v>26</v>
      </c>
      <c r="M14" t="s">
        <v>46</v>
      </c>
      <c r="N14" t="s">
        <v>28</v>
      </c>
      <c r="O14" t="s">
        <v>26</v>
      </c>
      <c r="P14" t="s">
        <v>26</v>
      </c>
      <c r="Q14" s="3">
        <v>37</v>
      </c>
      <c r="R14" t="s">
        <v>29</v>
      </c>
      <c r="S14" t="s">
        <v>30</v>
      </c>
    </row>
    <row r="15" spans="1:19" x14ac:dyDescent="0.25">
      <c r="A15">
        <v>14</v>
      </c>
      <c r="B15">
        <v>65</v>
      </c>
      <c r="C15" t="s">
        <v>19</v>
      </c>
      <c r="D15" t="s">
        <v>82</v>
      </c>
      <c r="E15" t="s">
        <v>21</v>
      </c>
      <c r="F15" s="1">
        <v>51</v>
      </c>
      <c r="G15" t="s">
        <v>83</v>
      </c>
      <c r="H15" t="s">
        <v>45</v>
      </c>
      <c r="I15" t="s">
        <v>84</v>
      </c>
      <c r="J15" t="s">
        <v>39</v>
      </c>
      <c r="K15" s="2">
        <v>4.7</v>
      </c>
      <c r="L15" t="s">
        <v>26</v>
      </c>
      <c r="M15" t="s">
        <v>59</v>
      </c>
      <c r="N15" t="s">
        <v>28</v>
      </c>
      <c r="O15" t="s">
        <v>26</v>
      </c>
      <c r="P15" t="s">
        <v>26</v>
      </c>
      <c r="Q15" s="3">
        <v>31</v>
      </c>
      <c r="R15" t="s">
        <v>46</v>
      </c>
      <c r="S15" t="s">
        <v>41</v>
      </c>
    </row>
    <row r="16" spans="1:19" x14ac:dyDescent="0.25">
      <c r="A16">
        <v>15</v>
      </c>
      <c r="B16">
        <v>64</v>
      </c>
      <c r="C16" t="s">
        <v>19</v>
      </c>
      <c r="D16" t="s">
        <v>64</v>
      </c>
      <c r="E16" t="s">
        <v>65</v>
      </c>
      <c r="F16" s="1">
        <v>53</v>
      </c>
      <c r="G16" t="s">
        <v>85</v>
      </c>
      <c r="H16" t="s">
        <v>23</v>
      </c>
      <c r="I16" t="s">
        <v>86</v>
      </c>
      <c r="J16" t="s">
        <v>25</v>
      </c>
      <c r="K16" s="2">
        <v>4.7</v>
      </c>
      <c r="L16" t="s">
        <v>26</v>
      </c>
      <c r="M16" t="s">
        <v>46</v>
      </c>
      <c r="N16" t="s">
        <v>40</v>
      </c>
      <c r="O16" t="s">
        <v>26</v>
      </c>
      <c r="P16" t="s">
        <v>26</v>
      </c>
      <c r="Q16" s="3">
        <v>34</v>
      </c>
      <c r="R16" t="s">
        <v>59</v>
      </c>
      <c r="S16" t="s">
        <v>41</v>
      </c>
    </row>
    <row r="17" spans="1:19" x14ac:dyDescent="0.25">
      <c r="A17">
        <v>16</v>
      </c>
      <c r="B17">
        <v>64</v>
      </c>
      <c r="C17" t="s">
        <v>19</v>
      </c>
      <c r="D17" t="s">
        <v>87</v>
      </c>
      <c r="E17" t="s">
        <v>21</v>
      </c>
      <c r="F17" s="1">
        <v>81</v>
      </c>
      <c r="G17" t="s">
        <v>44</v>
      </c>
      <c r="H17" t="s">
        <v>45</v>
      </c>
      <c r="I17" t="s">
        <v>86</v>
      </c>
      <c r="J17" t="s">
        <v>25</v>
      </c>
      <c r="K17" s="2">
        <v>2.8</v>
      </c>
      <c r="L17" t="s">
        <v>26</v>
      </c>
      <c r="M17" t="s">
        <v>27</v>
      </c>
      <c r="N17" t="s">
        <v>76</v>
      </c>
      <c r="O17" t="s">
        <v>26</v>
      </c>
      <c r="P17" t="s">
        <v>26</v>
      </c>
      <c r="Q17" s="3">
        <v>8</v>
      </c>
      <c r="R17" t="s">
        <v>46</v>
      </c>
      <c r="S17" t="s">
        <v>88</v>
      </c>
    </row>
    <row r="18" spans="1:19" x14ac:dyDescent="0.25">
      <c r="A18">
        <v>17</v>
      </c>
      <c r="B18">
        <v>25</v>
      </c>
      <c r="C18" t="s">
        <v>19</v>
      </c>
      <c r="D18" t="s">
        <v>89</v>
      </c>
      <c r="E18" t="s">
        <v>69</v>
      </c>
      <c r="F18" s="1">
        <v>36</v>
      </c>
      <c r="G18" t="s">
        <v>90</v>
      </c>
      <c r="H18" t="s">
        <v>38</v>
      </c>
      <c r="I18" t="s">
        <v>24</v>
      </c>
      <c r="J18" t="s">
        <v>39</v>
      </c>
      <c r="K18" s="2">
        <v>4.0999999999999996</v>
      </c>
      <c r="L18" t="s">
        <v>26</v>
      </c>
      <c r="M18" t="s">
        <v>29</v>
      </c>
      <c r="N18" t="s">
        <v>47</v>
      </c>
      <c r="O18" t="s">
        <v>26</v>
      </c>
      <c r="P18" t="s">
        <v>26</v>
      </c>
      <c r="Q18" s="3">
        <v>44</v>
      </c>
      <c r="R18" t="s">
        <v>59</v>
      </c>
      <c r="S18" t="s">
        <v>77</v>
      </c>
    </row>
    <row r="19" spans="1:19" x14ac:dyDescent="0.25">
      <c r="A19">
        <v>18</v>
      </c>
      <c r="B19">
        <v>53</v>
      </c>
      <c r="C19" t="s">
        <v>19</v>
      </c>
      <c r="D19" t="s">
        <v>82</v>
      </c>
      <c r="E19" t="s">
        <v>21</v>
      </c>
      <c r="F19" s="1">
        <v>38</v>
      </c>
      <c r="G19" t="s">
        <v>91</v>
      </c>
      <c r="H19" t="s">
        <v>92</v>
      </c>
      <c r="I19" t="s">
        <v>93</v>
      </c>
      <c r="J19" t="s">
        <v>25</v>
      </c>
      <c r="K19" s="2">
        <v>4.7</v>
      </c>
      <c r="L19" t="s">
        <v>26</v>
      </c>
      <c r="M19" t="s">
        <v>59</v>
      </c>
      <c r="N19" t="s">
        <v>72</v>
      </c>
      <c r="O19" t="s">
        <v>26</v>
      </c>
      <c r="P19" t="s">
        <v>26</v>
      </c>
      <c r="Q19" s="3">
        <v>36</v>
      </c>
      <c r="R19" t="s">
        <v>29</v>
      </c>
      <c r="S19" t="s">
        <v>60</v>
      </c>
    </row>
    <row r="20" spans="1:19" x14ac:dyDescent="0.25">
      <c r="A20">
        <v>19</v>
      </c>
      <c r="B20">
        <v>52</v>
      </c>
      <c r="C20" t="s">
        <v>19</v>
      </c>
      <c r="D20" t="s">
        <v>31</v>
      </c>
      <c r="E20" t="s">
        <v>21</v>
      </c>
      <c r="F20" s="1">
        <v>48</v>
      </c>
      <c r="G20" t="s">
        <v>57</v>
      </c>
      <c r="H20" t="s">
        <v>38</v>
      </c>
      <c r="I20" t="s">
        <v>94</v>
      </c>
      <c r="J20" t="s">
        <v>54</v>
      </c>
      <c r="K20" s="2">
        <v>4.5999999999999996</v>
      </c>
      <c r="L20" t="s">
        <v>26</v>
      </c>
      <c r="M20" t="s">
        <v>34</v>
      </c>
      <c r="N20" t="s">
        <v>40</v>
      </c>
      <c r="O20" t="s">
        <v>26</v>
      </c>
      <c r="P20" t="s">
        <v>26</v>
      </c>
      <c r="Q20" s="3">
        <v>17</v>
      </c>
      <c r="R20" t="s">
        <v>35</v>
      </c>
      <c r="S20" t="s">
        <v>41</v>
      </c>
    </row>
    <row r="21" spans="1:19" x14ac:dyDescent="0.25">
      <c r="A21">
        <v>20</v>
      </c>
      <c r="B21">
        <v>66</v>
      </c>
      <c r="C21" t="s">
        <v>19</v>
      </c>
      <c r="D21" t="s">
        <v>95</v>
      </c>
      <c r="E21" t="s">
        <v>21</v>
      </c>
      <c r="F21" s="1">
        <v>90</v>
      </c>
      <c r="G21" t="s">
        <v>44</v>
      </c>
      <c r="H21" t="s">
        <v>45</v>
      </c>
      <c r="I21" t="s">
        <v>96</v>
      </c>
      <c r="J21" t="s">
        <v>54</v>
      </c>
      <c r="K21" s="2">
        <v>3.3</v>
      </c>
      <c r="L21" t="s">
        <v>26</v>
      </c>
      <c r="M21" t="s">
        <v>29</v>
      </c>
      <c r="N21" t="s">
        <v>55</v>
      </c>
      <c r="O21" t="s">
        <v>26</v>
      </c>
      <c r="P21" t="s">
        <v>26</v>
      </c>
      <c r="Q21" s="3">
        <v>46</v>
      </c>
      <c r="R21" t="s">
        <v>59</v>
      </c>
      <c r="S21" t="s">
        <v>77</v>
      </c>
    </row>
    <row r="22" spans="1:19" x14ac:dyDescent="0.25">
      <c r="A22">
        <v>21</v>
      </c>
      <c r="B22">
        <v>21</v>
      </c>
      <c r="C22" t="s">
        <v>19</v>
      </c>
      <c r="D22" t="s">
        <v>95</v>
      </c>
      <c r="E22" t="s">
        <v>21</v>
      </c>
      <c r="F22" s="1">
        <v>51</v>
      </c>
      <c r="G22" t="s">
        <v>62</v>
      </c>
      <c r="H22" t="s">
        <v>45</v>
      </c>
      <c r="I22" t="s">
        <v>94</v>
      </c>
      <c r="J22" t="s">
        <v>25</v>
      </c>
      <c r="K22" s="2">
        <v>2.8</v>
      </c>
      <c r="L22" t="s">
        <v>26</v>
      </c>
      <c r="M22" t="s">
        <v>27</v>
      </c>
      <c r="N22" t="s">
        <v>28</v>
      </c>
      <c r="O22" t="s">
        <v>26</v>
      </c>
      <c r="P22" t="s">
        <v>26</v>
      </c>
      <c r="Q22" s="3">
        <v>50</v>
      </c>
      <c r="R22" t="s">
        <v>35</v>
      </c>
      <c r="S22" t="s">
        <v>97</v>
      </c>
    </row>
    <row r="23" spans="1:19" x14ac:dyDescent="0.25">
      <c r="A23">
        <v>22</v>
      </c>
      <c r="B23">
        <v>31</v>
      </c>
      <c r="C23" t="s">
        <v>19</v>
      </c>
      <c r="D23" t="s">
        <v>95</v>
      </c>
      <c r="E23" t="s">
        <v>21</v>
      </c>
      <c r="F23" s="1">
        <v>62</v>
      </c>
      <c r="G23" t="s">
        <v>98</v>
      </c>
      <c r="H23" t="s">
        <v>45</v>
      </c>
      <c r="I23" t="s">
        <v>63</v>
      </c>
      <c r="J23" t="s">
        <v>25</v>
      </c>
      <c r="K23" s="2">
        <v>4.0999999999999996</v>
      </c>
      <c r="L23" t="s">
        <v>26</v>
      </c>
      <c r="M23" t="s">
        <v>27</v>
      </c>
      <c r="N23" t="s">
        <v>76</v>
      </c>
      <c r="O23" t="s">
        <v>26</v>
      </c>
      <c r="P23" t="s">
        <v>26</v>
      </c>
      <c r="Q23" s="3">
        <v>22</v>
      </c>
      <c r="R23" t="s">
        <v>59</v>
      </c>
      <c r="S23" t="s">
        <v>60</v>
      </c>
    </row>
    <row r="24" spans="1:19" x14ac:dyDescent="0.25">
      <c r="A24">
        <v>23</v>
      </c>
      <c r="B24">
        <v>56</v>
      </c>
      <c r="C24" t="s">
        <v>19</v>
      </c>
      <c r="D24" t="s">
        <v>95</v>
      </c>
      <c r="E24" t="s">
        <v>21</v>
      </c>
      <c r="F24" s="1">
        <v>37</v>
      </c>
      <c r="G24" t="s">
        <v>99</v>
      </c>
      <c r="H24" t="s">
        <v>45</v>
      </c>
      <c r="I24" t="s">
        <v>100</v>
      </c>
      <c r="J24" t="s">
        <v>54</v>
      </c>
      <c r="K24" s="2">
        <v>3.2</v>
      </c>
      <c r="L24" t="s">
        <v>26</v>
      </c>
      <c r="M24" t="s">
        <v>35</v>
      </c>
      <c r="N24" t="s">
        <v>76</v>
      </c>
      <c r="O24" t="s">
        <v>26</v>
      </c>
      <c r="P24" t="s">
        <v>26</v>
      </c>
      <c r="Q24" s="3">
        <v>32</v>
      </c>
      <c r="R24" t="s">
        <v>59</v>
      </c>
      <c r="S24" t="s">
        <v>50</v>
      </c>
    </row>
    <row r="25" spans="1:19" x14ac:dyDescent="0.25">
      <c r="A25">
        <v>24</v>
      </c>
      <c r="B25">
        <v>31</v>
      </c>
      <c r="C25" t="s">
        <v>19</v>
      </c>
      <c r="D25" t="s">
        <v>95</v>
      </c>
      <c r="E25" t="s">
        <v>21</v>
      </c>
      <c r="F25" s="1">
        <v>88</v>
      </c>
      <c r="G25" t="s">
        <v>101</v>
      </c>
      <c r="H25" t="s">
        <v>92</v>
      </c>
      <c r="I25" t="s">
        <v>53</v>
      </c>
      <c r="J25" t="s">
        <v>25</v>
      </c>
      <c r="K25" s="2">
        <v>4.4000000000000004</v>
      </c>
      <c r="L25" t="s">
        <v>26</v>
      </c>
      <c r="M25" t="s">
        <v>27</v>
      </c>
      <c r="N25" t="s">
        <v>28</v>
      </c>
      <c r="O25" t="s">
        <v>26</v>
      </c>
      <c r="P25" t="s">
        <v>26</v>
      </c>
      <c r="Q25" s="3">
        <v>40</v>
      </c>
      <c r="R25" t="s">
        <v>27</v>
      </c>
      <c r="S25" t="s">
        <v>41</v>
      </c>
    </row>
    <row r="26" spans="1:19" x14ac:dyDescent="0.25">
      <c r="A26">
        <v>25</v>
      </c>
      <c r="B26">
        <v>18</v>
      </c>
      <c r="C26" t="s">
        <v>19</v>
      </c>
      <c r="D26" t="s">
        <v>102</v>
      </c>
      <c r="E26" t="s">
        <v>65</v>
      </c>
      <c r="F26" s="1">
        <v>22</v>
      </c>
      <c r="G26" t="s">
        <v>103</v>
      </c>
      <c r="H26" t="s">
        <v>45</v>
      </c>
      <c r="I26" t="s">
        <v>96</v>
      </c>
      <c r="J26" t="s">
        <v>58</v>
      </c>
      <c r="K26" s="2">
        <v>2.9</v>
      </c>
      <c r="L26" t="s">
        <v>26</v>
      </c>
      <c r="M26" t="s">
        <v>35</v>
      </c>
      <c r="N26" t="s">
        <v>76</v>
      </c>
      <c r="O26" t="s">
        <v>26</v>
      </c>
      <c r="P26" t="s">
        <v>26</v>
      </c>
      <c r="Q26" s="3">
        <v>16</v>
      </c>
      <c r="R26" t="s">
        <v>59</v>
      </c>
      <c r="S26" t="s">
        <v>41</v>
      </c>
    </row>
    <row r="27" spans="1:19" x14ac:dyDescent="0.25">
      <c r="A27">
        <v>26</v>
      </c>
      <c r="B27">
        <v>18</v>
      </c>
      <c r="C27" t="s">
        <v>19</v>
      </c>
      <c r="D27" t="s">
        <v>104</v>
      </c>
      <c r="E27" t="s">
        <v>21</v>
      </c>
      <c r="F27" s="1">
        <v>25</v>
      </c>
      <c r="G27" t="s">
        <v>105</v>
      </c>
      <c r="H27" t="s">
        <v>45</v>
      </c>
      <c r="I27" t="s">
        <v>67</v>
      </c>
      <c r="J27" t="s">
        <v>54</v>
      </c>
      <c r="K27" s="2">
        <v>3.6</v>
      </c>
      <c r="L27" t="s">
        <v>26</v>
      </c>
      <c r="M27" t="s">
        <v>34</v>
      </c>
      <c r="N27" t="s">
        <v>28</v>
      </c>
      <c r="O27" t="s">
        <v>26</v>
      </c>
      <c r="P27" t="s">
        <v>26</v>
      </c>
      <c r="Q27" s="3">
        <v>14</v>
      </c>
      <c r="R27" t="s">
        <v>46</v>
      </c>
      <c r="S27" t="s">
        <v>50</v>
      </c>
    </row>
    <row r="28" spans="1:19" x14ac:dyDescent="0.25">
      <c r="A28">
        <v>27</v>
      </c>
      <c r="B28">
        <v>38</v>
      </c>
      <c r="C28" t="s">
        <v>19</v>
      </c>
      <c r="D28" t="s">
        <v>106</v>
      </c>
      <c r="E28" t="s">
        <v>69</v>
      </c>
      <c r="F28" s="1">
        <v>20</v>
      </c>
      <c r="G28" t="s">
        <v>107</v>
      </c>
      <c r="H28" t="s">
        <v>45</v>
      </c>
      <c r="I28" t="s">
        <v>108</v>
      </c>
      <c r="J28" t="s">
        <v>39</v>
      </c>
      <c r="K28" s="2">
        <v>3.6</v>
      </c>
      <c r="L28" t="s">
        <v>26</v>
      </c>
      <c r="M28" t="s">
        <v>35</v>
      </c>
      <c r="N28" t="s">
        <v>47</v>
      </c>
      <c r="O28" t="s">
        <v>26</v>
      </c>
      <c r="P28" t="s">
        <v>26</v>
      </c>
      <c r="Q28" s="3">
        <v>13</v>
      </c>
      <c r="R28" t="s">
        <v>27</v>
      </c>
      <c r="S28" t="s">
        <v>50</v>
      </c>
    </row>
    <row r="29" spans="1:19" x14ac:dyDescent="0.25">
      <c r="A29">
        <v>28</v>
      </c>
      <c r="B29">
        <v>56</v>
      </c>
      <c r="C29" t="s">
        <v>19</v>
      </c>
      <c r="D29" t="s">
        <v>61</v>
      </c>
      <c r="E29" t="s">
        <v>21</v>
      </c>
      <c r="F29" s="1">
        <v>56</v>
      </c>
      <c r="G29" t="s">
        <v>22</v>
      </c>
      <c r="H29" t="s">
        <v>23</v>
      </c>
      <c r="I29" t="s">
        <v>109</v>
      </c>
      <c r="J29" t="s">
        <v>54</v>
      </c>
      <c r="K29" s="2">
        <v>5</v>
      </c>
      <c r="L29" t="s">
        <v>26</v>
      </c>
      <c r="M29" t="s">
        <v>59</v>
      </c>
      <c r="N29" t="s">
        <v>47</v>
      </c>
      <c r="O29" t="s">
        <v>26</v>
      </c>
      <c r="P29" t="s">
        <v>26</v>
      </c>
      <c r="Q29" s="3">
        <v>7</v>
      </c>
      <c r="R29" t="s">
        <v>34</v>
      </c>
      <c r="S29" t="s">
        <v>97</v>
      </c>
    </row>
    <row r="30" spans="1:19" x14ac:dyDescent="0.25">
      <c r="A30">
        <v>29</v>
      </c>
      <c r="B30">
        <v>54</v>
      </c>
      <c r="C30" t="s">
        <v>19</v>
      </c>
      <c r="D30" t="s">
        <v>68</v>
      </c>
      <c r="E30" t="s">
        <v>69</v>
      </c>
      <c r="F30" s="1">
        <v>94</v>
      </c>
      <c r="G30" t="s">
        <v>98</v>
      </c>
      <c r="H30" t="s">
        <v>45</v>
      </c>
      <c r="I30" t="s">
        <v>24</v>
      </c>
      <c r="J30" t="s">
        <v>58</v>
      </c>
      <c r="K30" s="2">
        <v>4.4000000000000004</v>
      </c>
      <c r="L30" t="s">
        <v>26</v>
      </c>
      <c r="M30" t="s">
        <v>59</v>
      </c>
      <c r="N30" t="s">
        <v>40</v>
      </c>
      <c r="O30" t="s">
        <v>26</v>
      </c>
      <c r="P30" t="s">
        <v>26</v>
      </c>
      <c r="Q30" s="3">
        <v>41</v>
      </c>
      <c r="R30" t="s">
        <v>46</v>
      </c>
      <c r="S30" t="s">
        <v>97</v>
      </c>
    </row>
    <row r="31" spans="1:19" x14ac:dyDescent="0.25">
      <c r="A31">
        <v>30</v>
      </c>
      <c r="B31">
        <v>31</v>
      </c>
      <c r="C31" t="s">
        <v>19</v>
      </c>
      <c r="D31" t="s">
        <v>82</v>
      </c>
      <c r="E31" t="s">
        <v>21</v>
      </c>
      <c r="F31" s="1">
        <v>48</v>
      </c>
      <c r="G31" t="s">
        <v>52</v>
      </c>
      <c r="H31" t="s">
        <v>38</v>
      </c>
      <c r="I31" t="s">
        <v>94</v>
      </c>
      <c r="J31" t="s">
        <v>58</v>
      </c>
      <c r="K31" s="2">
        <v>4.0999999999999996</v>
      </c>
      <c r="L31" t="s">
        <v>26</v>
      </c>
      <c r="M31" t="s">
        <v>29</v>
      </c>
      <c r="N31" t="s">
        <v>76</v>
      </c>
      <c r="O31" t="s">
        <v>26</v>
      </c>
      <c r="P31" t="s">
        <v>26</v>
      </c>
      <c r="Q31" s="3">
        <v>14</v>
      </c>
      <c r="R31" t="s">
        <v>27</v>
      </c>
      <c r="S31" t="s">
        <v>41</v>
      </c>
    </row>
    <row r="32" spans="1:19" x14ac:dyDescent="0.25">
      <c r="A32">
        <v>31</v>
      </c>
      <c r="B32">
        <v>57</v>
      </c>
      <c r="C32" t="s">
        <v>19</v>
      </c>
      <c r="D32" t="s">
        <v>106</v>
      </c>
      <c r="E32" t="s">
        <v>69</v>
      </c>
      <c r="F32" s="1">
        <v>31</v>
      </c>
      <c r="G32" t="s">
        <v>98</v>
      </c>
      <c r="H32" t="s">
        <v>23</v>
      </c>
      <c r="I32" t="s">
        <v>94</v>
      </c>
      <c r="J32" t="s">
        <v>25</v>
      </c>
      <c r="K32" s="2">
        <v>4.7</v>
      </c>
      <c r="L32" t="s">
        <v>26</v>
      </c>
      <c r="M32" t="s">
        <v>34</v>
      </c>
      <c r="N32" t="s">
        <v>55</v>
      </c>
      <c r="O32" t="s">
        <v>26</v>
      </c>
      <c r="P32" t="s">
        <v>26</v>
      </c>
      <c r="Q32" s="3">
        <v>16</v>
      </c>
      <c r="R32" t="s">
        <v>27</v>
      </c>
      <c r="S32" t="s">
        <v>88</v>
      </c>
    </row>
    <row r="33" spans="1:19" x14ac:dyDescent="0.25">
      <c r="A33">
        <v>32</v>
      </c>
      <c r="B33">
        <v>33</v>
      </c>
      <c r="C33" t="s">
        <v>19</v>
      </c>
      <c r="D33" t="s">
        <v>82</v>
      </c>
      <c r="E33" t="s">
        <v>21</v>
      </c>
      <c r="F33" s="1">
        <v>79</v>
      </c>
      <c r="G33" t="s">
        <v>66</v>
      </c>
      <c r="H33" t="s">
        <v>23</v>
      </c>
      <c r="I33" t="s">
        <v>110</v>
      </c>
      <c r="J33" t="s">
        <v>25</v>
      </c>
      <c r="K33" s="2">
        <v>4.7</v>
      </c>
      <c r="L33" t="s">
        <v>26</v>
      </c>
      <c r="M33" t="s">
        <v>29</v>
      </c>
      <c r="N33" t="s">
        <v>76</v>
      </c>
      <c r="O33" t="s">
        <v>26</v>
      </c>
      <c r="P33" t="s">
        <v>26</v>
      </c>
      <c r="Q33" s="3">
        <v>45</v>
      </c>
      <c r="R33" t="s">
        <v>29</v>
      </c>
      <c r="S33" t="s">
        <v>88</v>
      </c>
    </row>
    <row r="34" spans="1:19" x14ac:dyDescent="0.25">
      <c r="A34">
        <v>33</v>
      </c>
      <c r="B34">
        <v>36</v>
      </c>
      <c r="C34" t="s">
        <v>19</v>
      </c>
      <c r="D34" t="s">
        <v>102</v>
      </c>
      <c r="E34" t="s">
        <v>65</v>
      </c>
      <c r="F34" s="1">
        <v>67</v>
      </c>
      <c r="G34" t="s">
        <v>111</v>
      </c>
      <c r="H34" t="s">
        <v>45</v>
      </c>
      <c r="I34" t="s">
        <v>67</v>
      </c>
      <c r="J34" t="s">
        <v>54</v>
      </c>
      <c r="K34" s="2">
        <v>4.9000000000000004</v>
      </c>
      <c r="L34" t="s">
        <v>26</v>
      </c>
      <c r="M34" t="s">
        <v>34</v>
      </c>
      <c r="N34" t="s">
        <v>40</v>
      </c>
      <c r="O34" t="s">
        <v>26</v>
      </c>
      <c r="P34" t="s">
        <v>26</v>
      </c>
      <c r="Q34" s="3">
        <v>37</v>
      </c>
      <c r="R34" t="s">
        <v>29</v>
      </c>
      <c r="S34" t="s">
        <v>50</v>
      </c>
    </row>
    <row r="35" spans="1:19" x14ac:dyDescent="0.25">
      <c r="A35">
        <v>34</v>
      </c>
      <c r="B35">
        <v>54</v>
      </c>
      <c r="C35" t="s">
        <v>19</v>
      </c>
      <c r="D35" t="s">
        <v>95</v>
      </c>
      <c r="E35" t="s">
        <v>21</v>
      </c>
      <c r="F35" s="1">
        <v>38</v>
      </c>
      <c r="G35" t="s">
        <v>112</v>
      </c>
      <c r="H35" t="s">
        <v>23</v>
      </c>
      <c r="I35" t="s">
        <v>96</v>
      </c>
      <c r="J35" t="s">
        <v>54</v>
      </c>
      <c r="K35" s="2">
        <v>3.3</v>
      </c>
      <c r="L35" t="s">
        <v>26</v>
      </c>
      <c r="M35" t="s">
        <v>29</v>
      </c>
      <c r="N35" t="s">
        <v>76</v>
      </c>
      <c r="O35" t="s">
        <v>26</v>
      </c>
      <c r="P35" t="s">
        <v>26</v>
      </c>
      <c r="Q35" s="3">
        <v>45</v>
      </c>
      <c r="R35" t="s">
        <v>35</v>
      </c>
      <c r="S35" t="s">
        <v>60</v>
      </c>
    </row>
    <row r="36" spans="1:19" x14ac:dyDescent="0.25">
      <c r="A36">
        <v>35</v>
      </c>
      <c r="B36">
        <v>36</v>
      </c>
      <c r="C36" t="s">
        <v>19</v>
      </c>
      <c r="D36" t="s">
        <v>113</v>
      </c>
      <c r="E36" t="s">
        <v>21</v>
      </c>
      <c r="F36" s="1">
        <v>91</v>
      </c>
      <c r="G36" t="s">
        <v>114</v>
      </c>
      <c r="H36" t="s">
        <v>23</v>
      </c>
      <c r="I36" t="s">
        <v>84</v>
      </c>
      <c r="J36" t="s">
        <v>39</v>
      </c>
      <c r="K36" s="2">
        <v>4.5999999999999996</v>
      </c>
      <c r="L36" t="s">
        <v>26</v>
      </c>
      <c r="M36" t="s">
        <v>59</v>
      </c>
      <c r="N36" t="s">
        <v>72</v>
      </c>
      <c r="O36" t="s">
        <v>26</v>
      </c>
      <c r="P36" t="s">
        <v>26</v>
      </c>
      <c r="Q36" s="3">
        <v>38</v>
      </c>
      <c r="R36" t="s">
        <v>46</v>
      </c>
      <c r="S36" t="s">
        <v>60</v>
      </c>
    </row>
    <row r="37" spans="1:19" x14ac:dyDescent="0.25">
      <c r="A37">
        <v>36</v>
      </c>
      <c r="B37">
        <v>54</v>
      </c>
      <c r="C37" t="s">
        <v>19</v>
      </c>
      <c r="D37" t="s">
        <v>20</v>
      </c>
      <c r="E37" t="s">
        <v>21</v>
      </c>
      <c r="F37" s="1">
        <v>33</v>
      </c>
      <c r="G37" t="s">
        <v>37</v>
      </c>
      <c r="H37" t="s">
        <v>45</v>
      </c>
      <c r="I37" t="s">
        <v>109</v>
      </c>
      <c r="J37" t="s">
        <v>54</v>
      </c>
      <c r="K37" s="2">
        <v>4</v>
      </c>
      <c r="L37" t="s">
        <v>26</v>
      </c>
      <c r="M37" t="s">
        <v>34</v>
      </c>
      <c r="N37" t="s">
        <v>72</v>
      </c>
      <c r="O37" t="s">
        <v>26</v>
      </c>
      <c r="P37" t="s">
        <v>26</v>
      </c>
      <c r="Q37" s="3">
        <v>48</v>
      </c>
      <c r="R37" t="s">
        <v>27</v>
      </c>
      <c r="S37" t="s">
        <v>77</v>
      </c>
    </row>
    <row r="38" spans="1:19" x14ac:dyDescent="0.25">
      <c r="A38">
        <v>37</v>
      </c>
      <c r="B38">
        <v>35</v>
      </c>
      <c r="C38" t="s">
        <v>19</v>
      </c>
      <c r="D38" t="s">
        <v>113</v>
      </c>
      <c r="E38" t="s">
        <v>21</v>
      </c>
      <c r="F38" s="1">
        <v>69</v>
      </c>
      <c r="G38" t="s">
        <v>115</v>
      </c>
      <c r="H38" t="s">
        <v>45</v>
      </c>
      <c r="I38" t="s">
        <v>33</v>
      </c>
      <c r="J38" t="s">
        <v>25</v>
      </c>
      <c r="K38" s="2">
        <v>4.5999999999999996</v>
      </c>
      <c r="L38" t="s">
        <v>26</v>
      </c>
      <c r="M38" t="s">
        <v>35</v>
      </c>
      <c r="N38" t="s">
        <v>40</v>
      </c>
      <c r="O38" t="s">
        <v>26</v>
      </c>
      <c r="P38" t="s">
        <v>26</v>
      </c>
      <c r="Q38" s="3">
        <v>44</v>
      </c>
      <c r="R38" t="s">
        <v>46</v>
      </c>
      <c r="S38" t="s">
        <v>30</v>
      </c>
    </row>
    <row r="39" spans="1:19" x14ac:dyDescent="0.25">
      <c r="A39">
        <v>38</v>
      </c>
      <c r="B39">
        <v>35</v>
      </c>
      <c r="C39" t="s">
        <v>19</v>
      </c>
      <c r="D39" t="s">
        <v>36</v>
      </c>
      <c r="E39" t="s">
        <v>21</v>
      </c>
      <c r="F39" s="1">
        <v>45</v>
      </c>
      <c r="G39" t="s">
        <v>116</v>
      </c>
      <c r="H39" t="s">
        <v>38</v>
      </c>
      <c r="I39" t="s">
        <v>109</v>
      </c>
      <c r="J39" t="s">
        <v>54</v>
      </c>
      <c r="K39" s="2">
        <v>2.8</v>
      </c>
      <c r="L39" t="s">
        <v>26</v>
      </c>
      <c r="M39" t="s">
        <v>59</v>
      </c>
      <c r="N39" t="s">
        <v>76</v>
      </c>
      <c r="O39" t="s">
        <v>26</v>
      </c>
      <c r="P39" t="s">
        <v>26</v>
      </c>
      <c r="Q39" s="3">
        <v>10</v>
      </c>
      <c r="R39" t="s">
        <v>46</v>
      </c>
      <c r="S39" t="s">
        <v>41</v>
      </c>
    </row>
    <row r="40" spans="1:19" x14ac:dyDescent="0.25">
      <c r="A40">
        <v>39</v>
      </c>
      <c r="B40">
        <v>29</v>
      </c>
      <c r="C40" t="s">
        <v>19</v>
      </c>
      <c r="D40" t="s">
        <v>82</v>
      </c>
      <c r="E40" t="s">
        <v>21</v>
      </c>
      <c r="F40" s="1">
        <v>37</v>
      </c>
      <c r="G40" t="s">
        <v>103</v>
      </c>
      <c r="H40" t="s">
        <v>45</v>
      </c>
      <c r="I40" t="s">
        <v>108</v>
      </c>
      <c r="J40" t="s">
        <v>25</v>
      </c>
      <c r="K40" s="2">
        <v>3.7</v>
      </c>
      <c r="L40" t="s">
        <v>26</v>
      </c>
      <c r="M40" t="s">
        <v>59</v>
      </c>
      <c r="N40" t="s">
        <v>72</v>
      </c>
      <c r="O40" t="s">
        <v>26</v>
      </c>
      <c r="P40" t="s">
        <v>26</v>
      </c>
      <c r="Q40" s="3">
        <v>44</v>
      </c>
      <c r="R40" t="s">
        <v>29</v>
      </c>
      <c r="S40" t="s">
        <v>97</v>
      </c>
    </row>
    <row r="41" spans="1:19" x14ac:dyDescent="0.25">
      <c r="A41">
        <v>40</v>
      </c>
      <c r="B41">
        <v>70</v>
      </c>
      <c r="C41" t="s">
        <v>19</v>
      </c>
      <c r="D41" t="s">
        <v>95</v>
      </c>
      <c r="E41" t="s">
        <v>21</v>
      </c>
      <c r="F41" s="1">
        <v>60</v>
      </c>
      <c r="G41" t="s">
        <v>117</v>
      </c>
      <c r="H41" t="s">
        <v>38</v>
      </c>
      <c r="I41" t="s">
        <v>49</v>
      </c>
      <c r="J41" t="s">
        <v>54</v>
      </c>
      <c r="K41" s="2">
        <v>4.2</v>
      </c>
      <c r="L41" t="s">
        <v>26</v>
      </c>
      <c r="M41" t="s">
        <v>34</v>
      </c>
      <c r="N41" t="s">
        <v>28</v>
      </c>
      <c r="O41" t="s">
        <v>26</v>
      </c>
      <c r="P41" t="s">
        <v>26</v>
      </c>
      <c r="Q41" s="3">
        <v>18</v>
      </c>
      <c r="R41" t="s">
        <v>27</v>
      </c>
      <c r="S41" t="s">
        <v>88</v>
      </c>
    </row>
    <row r="42" spans="1:19" x14ac:dyDescent="0.25">
      <c r="A42">
        <v>41</v>
      </c>
      <c r="B42">
        <v>69</v>
      </c>
      <c r="C42" t="s">
        <v>19</v>
      </c>
      <c r="D42" t="s">
        <v>68</v>
      </c>
      <c r="E42" t="s">
        <v>69</v>
      </c>
      <c r="F42" s="1">
        <v>76</v>
      </c>
      <c r="G42" t="s">
        <v>62</v>
      </c>
      <c r="H42" t="s">
        <v>23</v>
      </c>
      <c r="I42" t="s">
        <v>118</v>
      </c>
      <c r="J42" t="s">
        <v>25</v>
      </c>
      <c r="K42" s="2">
        <v>4.5999999999999996</v>
      </c>
      <c r="L42" t="s">
        <v>26</v>
      </c>
      <c r="M42" t="s">
        <v>46</v>
      </c>
      <c r="N42" t="s">
        <v>47</v>
      </c>
      <c r="O42" t="s">
        <v>26</v>
      </c>
      <c r="P42" t="s">
        <v>26</v>
      </c>
      <c r="Q42" s="3">
        <v>31</v>
      </c>
      <c r="R42" t="s">
        <v>59</v>
      </c>
      <c r="S42" t="s">
        <v>60</v>
      </c>
    </row>
    <row r="43" spans="1:19" x14ac:dyDescent="0.25">
      <c r="A43">
        <v>42</v>
      </c>
      <c r="B43">
        <v>67</v>
      </c>
      <c r="C43" t="s">
        <v>19</v>
      </c>
      <c r="D43" t="s">
        <v>119</v>
      </c>
      <c r="E43" t="s">
        <v>69</v>
      </c>
      <c r="F43" s="1">
        <v>39</v>
      </c>
      <c r="G43" t="s">
        <v>120</v>
      </c>
      <c r="H43" t="s">
        <v>45</v>
      </c>
      <c r="I43" t="s">
        <v>121</v>
      </c>
      <c r="J43" t="s">
        <v>39</v>
      </c>
      <c r="K43" s="2">
        <v>4.5</v>
      </c>
      <c r="L43" t="s">
        <v>26</v>
      </c>
      <c r="M43" t="s">
        <v>35</v>
      </c>
      <c r="N43" t="s">
        <v>55</v>
      </c>
      <c r="O43" t="s">
        <v>26</v>
      </c>
      <c r="P43" t="s">
        <v>26</v>
      </c>
      <c r="Q43" s="3">
        <v>40</v>
      </c>
      <c r="R43" t="s">
        <v>29</v>
      </c>
      <c r="S43" t="s">
        <v>50</v>
      </c>
    </row>
    <row r="44" spans="1:19" x14ac:dyDescent="0.25">
      <c r="A44">
        <v>43</v>
      </c>
      <c r="B44">
        <v>20</v>
      </c>
      <c r="C44" t="s">
        <v>19</v>
      </c>
      <c r="D44" t="s">
        <v>64</v>
      </c>
      <c r="E44" t="s">
        <v>65</v>
      </c>
      <c r="F44" s="1">
        <v>100</v>
      </c>
      <c r="G44" t="s">
        <v>122</v>
      </c>
      <c r="H44" t="s">
        <v>45</v>
      </c>
      <c r="I44" t="s">
        <v>118</v>
      </c>
      <c r="J44" t="s">
        <v>39</v>
      </c>
      <c r="K44" s="2">
        <v>4.0999999999999996</v>
      </c>
      <c r="L44" t="s">
        <v>26</v>
      </c>
      <c r="M44" t="s">
        <v>34</v>
      </c>
      <c r="N44" t="s">
        <v>40</v>
      </c>
      <c r="O44" t="s">
        <v>26</v>
      </c>
      <c r="P44" t="s">
        <v>26</v>
      </c>
      <c r="Q44" s="3">
        <v>15</v>
      </c>
      <c r="R44" t="s">
        <v>46</v>
      </c>
      <c r="S44" t="s">
        <v>50</v>
      </c>
    </row>
    <row r="45" spans="1:19" x14ac:dyDescent="0.25">
      <c r="A45">
        <v>44</v>
      </c>
      <c r="B45">
        <v>25</v>
      </c>
      <c r="C45" t="s">
        <v>19</v>
      </c>
      <c r="D45" t="s">
        <v>119</v>
      </c>
      <c r="E45" t="s">
        <v>69</v>
      </c>
      <c r="F45" s="1">
        <v>69</v>
      </c>
      <c r="G45" t="s">
        <v>123</v>
      </c>
      <c r="H45" t="s">
        <v>23</v>
      </c>
      <c r="I45" t="s">
        <v>93</v>
      </c>
      <c r="J45" t="s">
        <v>58</v>
      </c>
      <c r="K45" s="2">
        <v>3.7</v>
      </c>
      <c r="L45" t="s">
        <v>26</v>
      </c>
      <c r="M45" t="s">
        <v>46</v>
      </c>
      <c r="N45" t="s">
        <v>76</v>
      </c>
      <c r="O45" t="s">
        <v>26</v>
      </c>
      <c r="P45" t="s">
        <v>26</v>
      </c>
      <c r="Q45" s="3">
        <v>19</v>
      </c>
      <c r="R45" t="s">
        <v>46</v>
      </c>
      <c r="S45" t="s">
        <v>30</v>
      </c>
    </row>
    <row r="46" spans="1:19" x14ac:dyDescent="0.25">
      <c r="A46">
        <v>45</v>
      </c>
      <c r="B46">
        <v>39</v>
      </c>
      <c r="C46" t="s">
        <v>19</v>
      </c>
      <c r="D46" t="s">
        <v>124</v>
      </c>
      <c r="E46" t="s">
        <v>69</v>
      </c>
      <c r="F46" s="1">
        <v>53</v>
      </c>
      <c r="G46" t="s">
        <v>22</v>
      </c>
      <c r="H46" t="s">
        <v>38</v>
      </c>
      <c r="I46" t="s">
        <v>67</v>
      </c>
      <c r="J46" t="s">
        <v>54</v>
      </c>
      <c r="K46" s="2">
        <v>4.5999999999999996</v>
      </c>
      <c r="L46" t="s">
        <v>26</v>
      </c>
      <c r="M46" t="s">
        <v>34</v>
      </c>
      <c r="N46" t="s">
        <v>40</v>
      </c>
      <c r="O46" t="s">
        <v>26</v>
      </c>
      <c r="P46" t="s">
        <v>26</v>
      </c>
      <c r="Q46" s="3">
        <v>45</v>
      </c>
      <c r="R46" t="s">
        <v>46</v>
      </c>
      <c r="S46" t="s">
        <v>41</v>
      </c>
    </row>
    <row r="47" spans="1:19" x14ac:dyDescent="0.25">
      <c r="A47">
        <v>46</v>
      </c>
      <c r="B47">
        <v>50</v>
      </c>
      <c r="C47" t="s">
        <v>19</v>
      </c>
      <c r="D47" t="s">
        <v>125</v>
      </c>
      <c r="E47" t="s">
        <v>21</v>
      </c>
      <c r="F47" s="1">
        <v>21</v>
      </c>
      <c r="G47" t="s">
        <v>122</v>
      </c>
      <c r="H47" t="s">
        <v>92</v>
      </c>
      <c r="I47" t="s">
        <v>126</v>
      </c>
      <c r="J47" t="s">
        <v>58</v>
      </c>
      <c r="K47" s="2">
        <v>2.9</v>
      </c>
      <c r="L47" t="s">
        <v>26</v>
      </c>
      <c r="M47" t="s">
        <v>29</v>
      </c>
      <c r="N47" t="s">
        <v>72</v>
      </c>
      <c r="O47" t="s">
        <v>26</v>
      </c>
      <c r="P47" t="s">
        <v>26</v>
      </c>
      <c r="Q47" s="3">
        <v>25</v>
      </c>
      <c r="R47" t="s">
        <v>46</v>
      </c>
      <c r="S47" t="s">
        <v>50</v>
      </c>
    </row>
    <row r="48" spans="1:19" x14ac:dyDescent="0.25">
      <c r="A48">
        <v>47</v>
      </c>
      <c r="B48">
        <v>57</v>
      </c>
      <c r="C48" t="s">
        <v>19</v>
      </c>
      <c r="D48" t="s">
        <v>56</v>
      </c>
      <c r="E48" t="s">
        <v>21</v>
      </c>
      <c r="F48" s="1">
        <v>43</v>
      </c>
      <c r="G48" t="s">
        <v>99</v>
      </c>
      <c r="H48" t="s">
        <v>23</v>
      </c>
      <c r="I48" t="s">
        <v>53</v>
      </c>
      <c r="J48" t="s">
        <v>54</v>
      </c>
      <c r="K48" s="2">
        <v>2.9</v>
      </c>
      <c r="L48" t="s">
        <v>26</v>
      </c>
      <c r="M48" t="s">
        <v>29</v>
      </c>
      <c r="N48" t="s">
        <v>76</v>
      </c>
      <c r="O48" t="s">
        <v>26</v>
      </c>
      <c r="P48" t="s">
        <v>26</v>
      </c>
      <c r="Q48" s="3">
        <v>45</v>
      </c>
      <c r="R48" t="s">
        <v>35</v>
      </c>
      <c r="S48" t="s">
        <v>60</v>
      </c>
    </row>
    <row r="49" spans="1:19" x14ac:dyDescent="0.25">
      <c r="A49">
        <v>48</v>
      </c>
      <c r="B49">
        <v>55</v>
      </c>
      <c r="C49" t="s">
        <v>19</v>
      </c>
      <c r="D49" t="s">
        <v>106</v>
      </c>
      <c r="E49" t="s">
        <v>69</v>
      </c>
      <c r="F49" s="1">
        <v>54</v>
      </c>
      <c r="G49" t="s">
        <v>57</v>
      </c>
      <c r="H49" t="s">
        <v>45</v>
      </c>
      <c r="I49" t="s">
        <v>63</v>
      </c>
      <c r="J49" t="s">
        <v>25</v>
      </c>
      <c r="K49" s="2">
        <v>4.5</v>
      </c>
      <c r="L49" t="s">
        <v>26</v>
      </c>
      <c r="M49" t="s">
        <v>59</v>
      </c>
      <c r="N49" t="s">
        <v>40</v>
      </c>
      <c r="O49" t="s">
        <v>26</v>
      </c>
      <c r="P49" t="s">
        <v>26</v>
      </c>
      <c r="Q49" s="3">
        <v>36</v>
      </c>
      <c r="R49" t="s">
        <v>35</v>
      </c>
      <c r="S49" t="s">
        <v>41</v>
      </c>
    </row>
    <row r="50" spans="1:19" x14ac:dyDescent="0.25">
      <c r="A50">
        <v>49</v>
      </c>
      <c r="B50">
        <v>42</v>
      </c>
      <c r="C50" t="s">
        <v>19</v>
      </c>
      <c r="D50" t="s">
        <v>56</v>
      </c>
      <c r="E50" t="s">
        <v>21</v>
      </c>
      <c r="F50" s="1">
        <v>55</v>
      </c>
      <c r="G50" t="s">
        <v>107</v>
      </c>
      <c r="H50" t="s">
        <v>45</v>
      </c>
      <c r="I50" t="s">
        <v>121</v>
      </c>
      <c r="J50" t="s">
        <v>54</v>
      </c>
      <c r="K50" s="2">
        <v>2.7</v>
      </c>
      <c r="L50" t="s">
        <v>26</v>
      </c>
      <c r="M50" t="s">
        <v>59</v>
      </c>
      <c r="N50" t="s">
        <v>76</v>
      </c>
      <c r="O50" t="s">
        <v>26</v>
      </c>
      <c r="P50" t="s">
        <v>26</v>
      </c>
      <c r="Q50" s="3">
        <v>38</v>
      </c>
      <c r="R50" t="s">
        <v>35</v>
      </c>
      <c r="S50" t="s">
        <v>88</v>
      </c>
    </row>
    <row r="51" spans="1:19" x14ac:dyDescent="0.25">
      <c r="A51">
        <v>50</v>
      </c>
      <c r="B51">
        <v>68</v>
      </c>
      <c r="C51" t="s">
        <v>19</v>
      </c>
      <c r="D51" t="s">
        <v>104</v>
      </c>
      <c r="E51" t="s">
        <v>21</v>
      </c>
      <c r="F51" s="1">
        <v>30</v>
      </c>
      <c r="G51" t="s">
        <v>127</v>
      </c>
      <c r="H51" t="s">
        <v>38</v>
      </c>
      <c r="I51" t="s">
        <v>126</v>
      </c>
      <c r="J51" t="s">
        <v>39</v>
      </c>
      <c r="K51" s="2">
        <v>4.5999999999999996</v>
      </c>
      <c r="L51" t="s">
        <v>26</v>
      </c>
      <c r="M51" t="s">
        <v>34</v>
      </c>
      <c r="N51" t="s">
        <v>47</v>
      </c>
      <c r="O51" t="s">
        <v>26</v>
      </c>
      <c r="P51" t="s">
        <v>26</v>
      </c>
      <c r="Q51" s="3">
        <v>34</v>
      </c>
      <c r="R51" t="s">
        <v>59</v>
      </c>
      <c r="S51" t="s">
        <v>77</v>
      </c>
    </row>
    <row r="52" spans="1:19" x14ac:dyDescent="0.25">
      <c r="A52">
        <v>51</v>
      </c>
      <c r="B52">
        <v>49</v>
      </c>
      <c r="C52" t="s">
        <v>19</v>
      </c>
      <c r="D52" t="s">
        <v>20</v>
      </c>
      <c r="E52" t="s">
        <v>21</v>
      </c>
      <c r="F52" s="1">
        <v>28</v>
      </c>
      <c r="G52" t="s">
        <v>128</v>
      </c>
      <c r="H52" t="s">
        <v>45</v>
      </c>
      <c r="I52" t="s">
        <v>108</v>
      </c>
      <c r="J52" t="s">
        <v>39</v>
      </c>
      <c r="K52" s="2">
        <v>3.7</v>
      </c>
      <c r="L52" t="s">
        <v>26</v>
      </c>
      <c r="M52" t="s">
        <v>35</v>
      </c>
      <c r="N52" t="s">
        <v>76</v>
      </c>
      <c r="O52" t="s">
        <v>26</v>
      </c>
      <c r="P52" t="s">
        <v>26</v>
      </c>
      <c r="Q52" s="3">
        <v>39</v>
      </c>
      <c r="R52" t="s">
        <v>59</v>
      </c>
      <c r="S52" t="s">
        <v>77</v>
      </c>
    </row>
    <row r="53" spans="1:19" x14ac:dyDescent="0.25">
      <c r="A53">
        <v>52</v>
      </c>
      <c r="B53">
        <v>59</v>
      </c>
      <c r="C53" t="s">
        <v>19</v>
      </c>
      <c r="D53" t="s">
        <v>87</v>
      </c>
      <c r="E53" t="s">
        <v>21</v>
      </c>
      <c r="F53" s="1">
        <v>59</v>
      </c>
      <c r="G53" t="s">
        <v>129</v>
      </c>
      <c r="H53" t="s">
        <v>92</v>
      </c>
      <c r="I53" t="s">
        <v>24</v>
      </c>
      <c r="J53" t="s">
        <v>25</v>
      </c>
      <c r="K53" s="2">
        <v>4.7</v>
      </c>
      <c r="L53" t="s">
        <v>26</v>
      </c>
      <c r="M53" t="s">
        <v>46</v>
      </c>
      <c r="N53" t="s">
        <v>72</v>
      </c>
      <c r="O53" t="s">
        <v>26</v>
      </c>
      <c r="P53" t="s">
        <v>26</v>
      </c>
      <c r="Q53" s="3">
        <v>7</v>
      </c>
      <c r="R53" t="s">
        <v>27</v>
      </c>
      <c r="S53" t="s">
        <v>60</v>
      </c>
    </row>
    <row r="54" spans="1:19" x14ac:dyDescent="0.25">
      <c r="A54">
        <v>53</v>
      </c>
      <c r="B54">
        <v>42</v>
      </c>
      <c r="C54" t="s">
        <v>19</v>
      </c>
      <c r="D54" t="s">
        <v>113</v>
      </c>
      <c r="E54" t="s">
        <v>21</v>
      </c>
      <c r="F54" s="1">
        <v>20</v>
      </c>
      <c r="G54" t="s">
        <v>120</v>
      </c>
      <c r="H54" t="s">
        <v>45</v>
      </c>
      <c r="I54" t="s">
        <v>96</v>
      </c>
      <c r="J54" t="s">
        <v>54</v>
      </c>
      <c r="K54" s="2">
        <v>2.6</v>
      </c>
      <c r="L54" t="s">
        <v>26</v>
      </c>
      <c r="M54" t="s">
        <v>27</v>
      </c>
      <c r="N54" t="s">
        <v>40</v>
      </c>
      <c r="O54" t="s">
        <v>26</v>
      </c>
      <c r="P54" t="s">
        <v>26</v>
      </c>
      <c r="Q54" s="3">
        <v>26</v>
      </c>
      <c r="R54" t="s">
        <v>27</v>
      </c>
      <c r="S54" t="s">
        <v>41</v>
      </c>
    </row>
    <row r="55" spans="1:19" x14ac:dyDescent="0.25">
      <c r="A55">
        <v>54</v>
      </c>
      <c r="B55">
        <v>29</v>
      </c>
      <c r="C55" t="s">
        <v>19</v>
      </c>
      <c r="D55" t="s">
        <v>87</v>
      </c>
      <c r="E55" t="s">
        <v>21</v>
      </c>
      <c r="F55" s="1">
        <v>24</v>
      </c>
      <c r="G55" t="s">
        <v>91</v>
      </c>
      <c r="H55" t="s">
        <v>38</v>
      </c>
      <c r="I55" t="s">
        <v>100</v>
      </c>
      <c r="J55" t="s">
        <v>25</v>
      </c>
      <c r="K55" s="2">
        <v>3.9</v>
      </c>
      <c r="L55" t="s">
        <v>26</v>
      </c>
      <c r="M55" t="s">
        <v>59</v>
      </c>
      <c r="N55" t="s">
        <v>47</v>
      </c>
      <c r="O55" t="s">
        <v>26</v>
      </c>
      <c r="P55" t="s">
        <v>26</v>
      </c>
      <c r="Q55" s="3">
        <v>35</v>
      </c>
      <c r="R55" t="s">
        <v>27</v>
      </c>
      <c r="S55" t="s">
        <v>41</v>
      </c>
    </row>
    <row r="56" spans="1:19" x14ac:dyDescent="0.25">
      <c r="A56">
        <v>55</v>
      </c>
      <c r="B56">
        <v>47</v>
      </c>
      <c r="C56" t="s">
        <v>19</v>
      </c>
      <c r="D56" t="s">
        <v>64</v>
      </c>
      <c r="E56" t="s">
        <v>65</v>
      </c>
      <c r="F56" s="1">
        <v>94</v>
      </c>
      <c r="G56" t="s">
        <v>130</v>
      </c>
      <c r="H56" t="s">
        <v>45</v>
      </c>
      <c r="I56" t="s">
        <v>110</v>
      </c>
      <c r="J56" t="s">
        <v>54</v>
      </c>
      <c r="K56" s="2">
        <v>4.2</v>
      </c>
      <c r="L56" t="s">
        <v>26</v>
      </c>
      <c r="M56" t="s">
        <v>34</v>
      </c>
      <c r="N56" t="s">
        <v>47</v>
      </c>
      <c r="O56" t="s">
        <v>26</v>
      </c>
      <c r="P56" t="s">
        <v>26</v>
      </c>
      <c r="Q56" s="3">
        <v>35</v>
      </c>
      <c r="R56" t="s">
        <v>59</v>
      </c>
      <c r="S56" t="s">
        <v>77</v>
      </c>
    </row>
    <row r="57" spans="1:19" x14ac:dyDescent="0.25">
      <c r="A57">
        <v>56</v>
      </c>
      <c r="B57">
        <v>40</v>
      </c>
      <c r="C57" t="s">
        <v>19</v>
      </c>
      <c r="D57" t="s">
        <v>102</v>
      </c>
      <c r="E57" t="s">
        <v>65</v>
      </c>
      <c r="F57" s="1">
        <v>28</v>
      </c>
      <c r="G57" t="s">
        <v>131</v>
      </c>
      <c r="H57" t="s">
        <v>45</v>
      </c>
      <c r="I57" t="s">
        <v>93</v>
      </c>
      <c r="J57" t="s">
        <v>25</v>
      </c>
      <c r="K57" s="2">
        <v>3</v>
      </c>
      <c r="L57" t="s">
        <v>26</v>
      </c>
      <c r="M57" t="s">
        <v>29</v>
      </c>
      <c r="N57" t="s">
        <v>72</v>
      </c>
      <c r="O57" t="s">
        <v>26</v>
      </c>
      <c r="P57" t="s">
        <v>26</v>
      </c>
      <c r="Q57" s="3">
        <v>49</v>
      </c>
      <c r="R57" t="s">
        <v>27</v>
      </c>
      <c r="S57" t="s">
        <v>50</v>
      </c>
    </row>
    <row r="58" spans="1:19" x14ac:dyDescent="0.25">
      <c r="A58">
        <v>57</v>
      </c>
      <c r="B58">
        <v>41</v>
      </c>
      <c r="C58" t="s">
        <v>19</v>
      </c>
      <c r="D58" t="s">
        <v>132</v>
      </c>
      <c r="E58" t="s">
        <v>69</v>
      </c>
      <c r="F58" s="1">
        <v>73</v>
      </c>
      <c r="G58" t="s">
        <v>91</v>
      </c>
      <c r="H58" t="s">
        <v>92</v>
      </c>
      <c r="I58" t="s">
        <v>110</v>
      </c>
      <c r="J58" t="s">
        <v>54</v>
      </c>
      <c r="K58" s="2">
        <v>4.7</v>
      </c>
      <c r="L58" t="s">
        <v>26</v>
      </c>
      <c r="M58" t="s">
        <v>46</v>
      </c>
      <c r="N58" t="s">
        <v>76</v>
      </c>
      <c r="O58" t="s">
        <v>26</v>
      </c>
      <c r="P58" t="s">
        <v>26</v>
      </c>
      <c r="Q58" s="3">
        <v>46</v>
      </c>
      <c r="R58" t="s">
        <v>27</v>
      </c>
      <c r="S58" t="s">
        <v>41</v>
      </c>
    </row>
    <row r="59" spans="1:19" x14ac:dyDescent="0.25">
      <c r="A59">
        <v>58</v>
      </c>
      <c r="B59">
        <v>21</v>
      </c>
      <c r="C59" t="s">
        <v>19</v>
      </c>
      <c r="D59" t="s">
        <v>64</v>
      </c>
      <c r="E59" t="s">
        <v>65</v>
      </c>
      <c r="F59" s="1">
        <v>64</v>
      </c>
      <c r="G59" t="s">
        <v>66</v>
      </c>
      <c r="H59" t="s">
        <v>45</v>
      </c>
      <c r="I59" t="s">
        <v>53</v>
      </c>
      <c r="J59" t="s">
        <v>54</v>
      </c>
      <c r="K59" s="2">
        <v>4.4000000000000004</v>
      </c>
      <c r="L59" t="s">
        <v>26</v>
      </c>
      <c r="M59" t="s">
        <v>46</v>
      </c>
      <c r="N59" t="s">
        <v>76</v>
      </c>
      <c r="O59" t="s">
        <v>26</v>
      </c>
      <c r="P59" t="s">
        <v>26</v>
      </c>
      <c r="Q59" s="3">
        <v>17</v>
      </c>
      <c r="R59" t="s">
        <v>59</v>
      </c>
      <c r="S59" t="s">
        <v>30</v>
      </c>
    </row>
    <row r="60" spans="1:19" x14ac:dyDescent="0.25">
      <c r="A60">
        <v>59</v>
      </c>
      <c r="B60">
        <v>69</v>
      </c>
      <c r="C60" t="s">
        <v>19</v>
      </c>
      <c r="D60" t="s">
        <v>104</v>
      </c>
      <c r="E60" t="s">
        <v>21</v>
      </c>
      <c r="F60" s="1">
        <v>54</v>
      </c>
      <c r="G60" t="s">
        <v>70</v>
      </c>
      <c r="H60" t="s">
        <v>45</v>
      </c>
      <c r="I60" t="s">
        <v>63</v>
      </c>
      <c r="J60" t="s">
        <v>54</v>
      </c>
      <c r="K60" s="2">
        <v>4.2</v>
      </c>
      <c r="L60" t="s">
        <v>26</v>
      </c>
      <c r="M60" t="s">
        <v>27</v>
      </c>
      <c r="N60" t="s">
        <v>40</v>
      </c>
      <c r="O60" t="s">
        <v>26</v>
      </c>
      <c r="P60" t="s">
        <v>26</v>
      </c>
      <c r="Q60" s="3">
        <v>29</v>
      </c>
      <c r="R60" t="s">
        <v>29</v>
      </c>
      <c r="S60" t="s">
        <v>88</v>
      </c>
    </row>
    <row r="61" spans="1:19" x14ac:dyDescent="0.25">
      <c r="A61">
        <v>60</v>
      </c>
      <c r="B61">
        <v>63</v>
      </c>
      <c r="C61" t="s">
        <v>19</v>
      </c>
      <c r="D61" t="s">
        <v>133</v>
      </c>
      <c r="E61" t="s">
        <v>69</v>
      </c>
      <c r="F61" s="1">
        <v>79</v>
      </c>
      <c r="G61" t="s">
        <v>62</v>
      </c>
      <c r="H61" t="s">
        <v>23</v>
      </c>
      <c r="I61" t="s">
        <v>134</v>
      </c>
      <c r="J61" t="s">
        <v>39</v>
      </c>
      <c r="K61" s="2">
        <v>4.5999999999999996</v>
      </c>
      <c r="L61" t="s">
        <v>26</v>
      </c>
      <c r="M61" t="s">
        <v>59</v>
      </c>
      <c r="N61" t="s">
        <v>55</v>
      </c>
      <c r="O61" t="s">
        <v>26</v>
      </c>
      <c r="P61" t="s">
        <v>26</v>
      </c>
      <c r="Q61" s="3">
        <v>4</v>
      </c>
      <c r="R61" t="s">
        <v>59</v>
      </c>
      <c r="S61" t="s">
        <v>41</v>
      </c>
    </row>
    <row r="62" spans="1:19" x14ac:dyDescent="0.25">
      <c r="A62">
        <v>61</v>
      </c>
      <c r="B62">
        <v>50</v>
      </c>
      <c r="C62" t="s">
        <v>19</v>
      </c>
      <c r="D62" t="s">
        <v>31</v>
      </c>
      <c r="E62" t="s">
        <v>21</v>
      </c>
      <c r="F62" s="1">
        <v>37</v>
      </c>
      <c r="G62" t="s">
        <v>135</v>
      </c>
      <c r="H62" t="s">
        <v>23</v>
      </c>
      <c r="I62" t="s">
        <v>110</v>
      </c>
      <c r="J62" t="s">
        <v>54</v>
      </c>
      <c r="K62" s="2">
        <v>4</v>
      </c>
      <c r="L62" t="s">
        <v>26</v>
      </c>
      <c r="M62" t="s">
        <v>27</v>
      </c>
      <c r="N62" t="s">
        <v>28</v>
      </c>
      <c r="O62" t="s">
        <v>26</v>
      </c>
      <c r="P62" t="s">
        <v>26</v>
      </c>
      <c r="Q62" s="3">
        <v>17</v>
      </c>
      <c r="R62" t="s">
        <v>35</v>
      </c>
      <c r="S62" t="s">
        <v>41</v>
      </c>
    </row>
    <row r="63" spans="1:19" x14ac:dyDescent="0.25">
      <c r="A63">
        <v>62</v>
      </c>
      <c r="B63">
        <v>55</v>
      </c>
      <c r="C63" t="s">
        <v>19</v>
      </c>
      <c r="D63" t="s">
        <v>119</v>
      </c>
      <c r="E63" t="s">
        <v>69</v>
      </c>
      <c r="F63" s="1">
        <v>68</v>
      </c>
      <c r="G63" t="s">
        <v>105</v>
      </c>
      <c r="H63" t="s">
        <v>45</v>
      </c>
      <c r="I63" t="s">
        <v>121</v>
      </c>
      <c r="J63" t="s">
        <v>25</v>
      </c>
      <c r="K63" s="2">
        <v>4.7</v>
      </c>
      <c r="L63" t="s">
        <v>26</v>
      </c>
      <c r="M63" t="s">
        <v>34</v>
      </c>
      <c r="N63" t="s">
        <v>76</v>
      </c>
      <c r="O63" t="s">
        <v>26</v>
      </c>
      <c r="P63" t="s">
        <v>26</v>
      </c>
      <c r="Q63" s="3">
        <v>21</v>
      </c>
      <c r="R63" t="s">
        <v>27</v>
      </c>
      <c r="S63" t="s">
        <v>97</v>
      </c>
    </row>
    <row r="64" spans="1:19" x14ac:dyDescent="0.25">
      <c r="A64">
        <v>63</v>
      </c>
      <c r="B64">
        <v>30</v>
      </c>
      <c r="C64" t="s">
        <v>19</v>
      </c>
      <c r="D64" t="s">
        <v>51</v>
      </c>
      <c r="E64" t="s">
        <v>43</v>
      </c>
      <c r="F64" s="1">
        <v>21</v>
      </c>
      <c r="G64" t="s">
        <v>91</v>
      </c>
      <c r="H64" t="s">
        <v>38</v>
      </c>
      <c r="I64" t="s">
        <v>136</v>
      </c>
      <c r="J64" t="s">
        <v>39</v>
      </c>
      <c r="K64" s="2">
        <v>3.8</v>
      </c>
      <c r="L64" t="s">
        <v>26</v>
      </c>
      <c r="M64" t="s">
        <v>27</v>
      </c>
      <c r="N64" t="s">
        <v>40</v>
      </c>
      <c r="O64" t="s">
        <v>26</v>
      </c>
      <c r="P64" t="s">
        <v>26</v>
      </c>
      <c r="Q64" s="3">
        <v>31</v>
      </c>
      <c r="R64" t="s">
        <v>27</v>
      </c>
      <c r="S64" t="s">
        <v>30</v>
      </c>
    </row>
    <row r="65" spans="1:19" x14ac:dyDescent="0.25">
      <c r="A65">
        <v>64</v>
      </c>
      <c r="B65">
        <v>33</v>
      </c>
      <c r="C65" t="s">
        <v>19</v>
      </c>
      <c r="D65" t="s">
        <v>89</v>
      </c>
      <c r="E65" t="s">
        <v>69</v>
      </c>
      <c r="F65" s="1">
        <v>79</v>
      </c>
      <c r="G65" t="s">
        <v>117</v>
      </c>
      <c r="H65" t="s">
        <v>23</v>
      </c>
      <c r="I65" t="s">
        <v>93</v>
      </c>
      <c r="J65" t="s">
        <v>25</v>
      </c>
      <c r="K65" s="2">
        <v>2.7</v>
      </c>
      <c r="L65" t="s">
        <v>26</v>
      </c>
      <c r="M65" t="s">
        <v>27</v>
      </c>
      <c r="N65" t="s">
        <v>72</v>
      </c>
      <c r="O65" t="s">
        <v>26</v>
      </c>
      <c r="P65" t="s">
        <v>26</v>
      </c>
      <c r="Q65" s="3">
        <v>43</v>
      </c>
      <c r="R65" t="s">
        <v>27</v>
      </c>
      <c r="S65" t="s">
        <v>41</v>
      </c>
    </row>
    <row r="66" spans="1:19" x14ac:dyDescent="0.25">
      <c r="A66">
        <v>65</v>
      </c>
      <c r="B66">
        <v>65</v>
      </c>
      <c r="C66" t="s">
        <v>19</v>
      </c>
      <c r="D66" t="s">
        <v>137</v>
      </c>
      <c r="E66" t="s">
        <v>43</v>
      </c>
      <c r="F66" s="1">
        <v>83</v>
      </c>
      <c r="G66" t="s">
        <v>90</v>
      </c>
      <c r="H66" t="s">
        <v>38</v>
      </c>
      <c r="I66" t="s">
        <v>96</v>
      </c>
      <c r="J66" t="s">
        <v>58</v>
      </c>
      <c r="K66" s="2">
        <v>4.8</v>
      </c>
      <c r="L66" t="s">
        <v>26</v>
      </c>
      <c r="M66" t="s">
        <v>46</v>
      </c>
      <c r="N66" t="s">
        <v>55</v>
      </c>
      <c r="O66" t="s">
        <v>26</v>
      </c>
      <c r="P66" t="s">
        <v>26</v>
      </c>
      <c r="Q66" s="3">
        <v>18</v>
      </c>
      <c r="R66" t="s">
        <v>59</v>
      </c>
      <c r="S66" t="s">
        <v>30</v>
      </c>
    </row>
    <row r="67" spans="1:19" x14ac:dyDescent="0.25">
      <c r="A67">
        <v>66</v>
      </c>
      <c r="B67">
        <v>65</v>
      </c>
      <c r="C67" t="s">
        <v>19</v>
      </c>
      <c r="D67" t="s">
        <v>132</v>
      </c>
      <c r="E67" t="s">
        <v>69</v>
      </c>
      <c r="F67" s="1">
        <v>36</v>
      </c>
      <c r="G67" t="s">
        <v>127</v>
      </c>
      <c r="H67" t="s">
        <v>45</v>
      </c>
      <c r="I67" t="s">
        <v>75</v>
      </c>
      <c r="J67" t="s">
        <v>39</v>
      </c>
      <c r="K67" s="2">
        <v>4.8</v>
      </c>
      <c r="L67" t="s">
        <v>26</v>
      </c>
      <c r="M67" t="s">
        <v>27</v>
      </c>
      <c r="N67" t="s">
        <v>72</v>
      </c>
      <c r="O67" t="s">
        <v>26</v>
      </c>
      <c r="P67" t="s">
        <v>26</v>
      </c>
      <c r="Q67" s="3">
        <v>44</v>
      </c>
      <c r="R67" t="s">
        <v>29</v>
      </c>
      <c r="S67" t="s">
        <v>97</v>
      </c>
    </row>
    <row r="68" spans="1:19" x14ac:dyDescent="0.25">
      <c r="A68">
        <v>67</v>
      </c>
      <c r="B68">
        <v>31</v>
      </c>
      <c r="C68" t="s">
        <v>19</v>
      </c>
      <c r="D68" t="s">
        <v>20</v>
      </c>
      <c r="E68" t="s">
        <v>21</v>
      </c>
      <c r="F68" s="1">
        <v>94</v>
      </c>
      <c r="G68" t="s">
        <v>138</v>
      </c>
      <c r="H68" t="s">
        <v>38</v>
      </c>
      <c r="I68" t="s">
        <v>136</v>
      </c>
      <c r="J68" t="s">
        <v>25</v>
      </c>
      <c r="K68" s="2">
        <v>4.7</v>
      </c>
      <c r="L68" t="s">
        <v>26</v>
      </c>
      <c r="M68" t="s">
        <v>34</v>
      </c>
      <c r="N68" t="s">
        <v>72</v>
      </c>
      <c r="O68" t="s">
        <v>26</v>
      </c>
      <c r="P68" t="s">
        <v>26</v>
      </c>
      <c r="Q68" s="3">
        <v>3</v>
      </c>
      <c r="R68" t="s">
        <v>29</v>
      </c>
      <c r="S68" t="s">
        <v>97</v>
      </c>
    </row>
    <row r="69" spans="1:19" x14ac:dyDescent="0.25">
      <c r="A69">
        <v>68</v>
      </c>
      <c r="B69">
        <v>45</v>
      </c>
      <c r="C69" t="s">
        <v>19</v>
      </c>
      <c r="D69" t="s">
        <v>64</v>
      </c>
      <c r="E69" t="s">
        <v>65</v>
      </c>
      <c r="F69" s="1">
        <v>33</v>
      </c>
      <c r="G69" t="s">
        <v>139</v>
      </c>
      <c r="H69" t="s">
        <v>23</v>
      </c>
      <c r="I69" t="s">
        <v>24</v>
      </c>
      <c r="J69" t="s">
        <v>25</v>
      </c>
      <c r="K69" s="2">
        <v>4.4000000000000004</v>
      </c>
      <c r="L69" t="s">
        <v>26</v>
      </c>
      <c r="M69" t="s">
        <v>46</v>
      </c>
      <c r="N69" t="s">
        <v>76</v>
      </c>
      <c r="O69" t="s">
        <v>26</v>
      </c>
      <c r="P69" t="s">
        <v>26</v>
      </c>
      <c r="Q69" s="3">
        <v>49</v>
      </c>
      <c r="R69" t="s">
        <v>59</v>
      </c>
      <c r="S69" t="s">
        <v>88</v>
      </c>
    </row>
    <row r="70" spans="1:19" x14ac:dyDescent="0.25">
      <c r="A70">
        <v>69</v>
      </c>
      <c r="B70">
        <v>57</v>
      </c>
      <c r="C70" t="s">
        <v>19</v>
      </c>
      <c r="D70" t="s">
        <v>68</v>
      </c>
      <c r="E70" t="s">
        <v>69</v>
      </c>
      <c r="F70" s="1">
        <v>46</v>
      </c>
      <c r="G70" t="s">
        <v>140</v>
      </c>
      <c r="H70" t="s">
        <v>23</v>
      </c>
      <c r="I70" t="s">
        <v>67</v>
      </c>
      <c r="J70" t="s">
        <v>54</v>
      </c>
      <c r="K70" s="2">
        <v>3.9</v>
      </c>
      <c r="L70" t="s">
        <v>26</v>
      </c>
      <c r="M70" t="s">
        <v>27</v>
      </c>
      <c r="N70" t="s">
        <v>47</v>
      </c>
      <c r="O70" t="s">
        <v>26</v>
      </c>
      <c r="P70" t="s">
        <v>26</v>
      </c>
      <c r="Q70" s="3">
        <v>21</v>
      </c>
      <c r="R70" t="s">
        <v>35</v>
      </c>
      <c r="S70" t="s">
        <v>97</v>
      </c>
    </row>
    <row r="71" spans="1:19" x14ac:dyDescent="0.25">
      <c r="A71">
        <v>70</v>
      </c>
      <c r="B71">
        <v>48</v>
      </c>
      <c r="C71" t="s">
        <v>19</v>
      </c>
      <c r="D71" t="s">
        <v>133</v>
      </c>
      <c r="E71" t="s">
        <v>69</v>
      </c>
      <c r="F71" s="1">
        <v>70</v>
      </c>
      <c r="G71" t="s">
        <v>122</v>
      </c>
      <c r="H71" t="s">
        <v>38</v>
      </c>
      <c r="I71" t="s">
        <v>109</v>
      </c>
      <c r="J71" t="s">
        <v>54</v>
      </c>
      <c r="K71" s="2">
        <v>4.4000000000000004</v>
      </c>
      <c r="L71" t="s">
        <v>26</v>
      </c>
      <c r="M71" t="s">
        <v>27</v>
      </c>
      <c r="N71" t="s">
        <v>28</v>
      </c>
      <c r="O71" t="s">
        <v>26</v>
      </c>
      <c r="P71" t="s">
        <v>26</v>
      </c>
      <c r="Q71" s="3">
        <v>5</v>
      </c>
      <c r="R71" t="s">
        <v>35</v>
      </c>
      <c r="S71" t="s">
        <v>41</v>
      </c>
    </row>
    <row r="72" spans="1:19" x14ac:dyDescent="0.25">
      <c r="A72">
        <v>71</v>
      </c>
      <c r="B72">
        <v>22</v>
      </c>
      <c r="C72" t="s">
        <v>19</v>
      </c>
      <c r="D72" t="s">
        <v>133</v>
      </c>
      <c r="E72" t="s">
        <v>69</v>
      </c>
      <c r="F72" s="1">
        <v>29</v>
      </c>
      <c r="G72" t="s">
        <v>90</v>
      </c>
      <c r="H72" t="s">
        <v>45</v>
      </c>
      <c r="I72" t="s">
        <v>136</v>
      </c>
      <c r="J72" t="s">
        <v>58</v>
      </c>
      <c r="K72" s="2">
        <v>4.2</v>
      </c>
      <c r="L72" t="s">
        <v>26</v>
      </c>
      <c r="M72" t="s">
        <v>27</v>
      </c>
      <c r="N72" t="s">
        <v>28</v>
      </c>
      <c r="O72" t="s">
        <v>26</v>
      </c>
      <c r="P72" t="s">
        <v>26</v>
      </c>
      <c r="Q72" s="3">
        <v>32</v>
      </c>
      <c r="R72" t="s">
        <v>59</v>
      </c>
      <c r="S72" t="s">
        <v>97</v>
      </c>
    </row>
    <row r="73" spans="1:19" x14ac:dyDescent="0.25">
      <c r="A73">
        <v>72</v>
      </c>
      <c r="B73">
        <v>36</v>
      </c>
      <c r="C73" t="s">
        <v>19</v>
      </c>
      <c r="D73" t="s">
        <v>82</v>
      </c>
      <c r="E73" t="s">
        <v>21</v>
      </c>
      <c r="F73" s="1">
        <v>48</v>
      </c>
      <c r="G73" t="s">
        <v>141</v>
      </c>
      <c r="H73" t="s">
        <v>23</v>
      </c>
      <c r="I73" t="s">
        <v>81</v>
      </c>
      <c r="J73" t="s">
        <v>54</v>
      </c>
      <c r="K73" s="2">
        <v>2.9</v>
      </c>
      <c r="L73" t="s">
        <v>26</v>
      </c>
      <c r="M73" t="s">
        <v>59</v>
      </c>
      <c r="N73" t="s">
        <v>28</v>
      </c>
      <c r="O73" t="s">
        <v>26</v>
      </c>
      <c r="P73" t="s">
        <v>26</v>
      </c>
      <c r="Q73" s="3">
        <v>34</v>
      </c>
      <c r="R73" t="s">
        <v>34</v>
      </c>
      <c r="S73" t="s">
        <v>50</v>
      </c>
    </row>
    <row r="74" spans="1:19" x14ac:dyDescent="0.25">
      <c r="A74">
        <v>73</v>
      </c>
      <c r="B74">
        <v>18</v>
      </c>
      <c r="C74" t="s">
        <v>19</v>
      </c>
      <c r="D74" t="s">
        <v>82</v>
      </c>
      <c r="E74" t="s">
        <v>21</v>
      </c>
      <c r="F74" s="1">
        <v>26</v>
      </c>
      <c r="G74" t="s">
        <v>142</v>
      </c>
      <c r="H74" t="s">
        <v>45</v>
      </c>
      <c r="I74" t="s">
        <v>79</v>
      </c>
      <c r="J74" t="s">
        <v>25</v>
      </c>
      <c r="K74" s="2">
        <v>2.9</v>
      </c>
      <c r="L74" t="s">
        <v>26</v>
      </c>
      <c r="M74" t="s">
        <v>59</v>
      </c>
      <c r="N74" t="s">
        <v>76</v>
      </c>
      <c r="O74" t="s">
        <v>26</v>
      </c>
      <c r="P74" t="s">
        <v>26</v>
      </c>
      <c r="Q74" s="3">
        <v>21</v>
      </c>
      <c r="R74" t="s">
        <v>34</v>
      </c>
      <c r="S74" t="s">
        <v>97</v>
      </c>
    </row>
    <row r="75" spans="1:19" x14ac:dyDescent="0.25">
      <c r="A75">
        <v>74</v>
      </c>
      <c r="B75">
        <v>48</v>
      </c>
      <c r="C75" t="s">
        <v>19</v>
      </c>
      <c r="D75" t="s">
        <v>95</v>
      </c>
      <c r="E75" t="s">
        <v>21</v>
      </c>
      <c r="F75" s="1">
        <v>85</v>
      </c>
      <c r="G75" t="s">
        <v>78</v>
      </c>
      <c r="H75" t="s">
        <v>45</v>
      </c>
      <c r="I75" t="s">
        <v>86</v>
      </c>
      <c r="J75" t="s">
        <v>39</v>
      </c>
      <c r="K75" s="2">
        <v>2.7</v>
      </c>
      <c r="L75" t="s">
        <v>26</v>
      </c>
      <c r="M75" t="s">
        <v>59</v>
      </c>
      <c r="N75" t="s">
        <v>40</v>
      </c>
      <c r="O75" t="s">
        <v>26</v>
      </c>
      <c r="P75" t="s">
        <v>26</v>
      </c>
      <c r="Q75" s="3">
        <v>43</v>
      </c>
      <c r="R75" t="s">
        <v>34</v>
      </c>
      <c r="S75" t="s">
        <v>77</v>
      </c>
    </row>
    <row r="76" spans="1:19" x14ac:dyDescent="0.25">
      <c r="A76">
        <v>75</v>
      </c>
      <c r="B76">
        <v>49</v>
      </c>
      <c r="C76" t="s">
        <v>19</v>
      </c>
      <c r="D76" t="s">
        <v>143</v>
      </c>
      <c r="E76" t="s">
        <v>69</v>
      </c>
      <c r="F76" s="1">
        <v>58</v>
      </c>
      <c r="G76" t="s">
        <v>116</v>
      </c>
      <c r="H76" t="s">
        <v>23</v>
      </c>
      <c r="I76" t="s">
        <v>84</v>
      </c>
      <c r="J76" t="s">
        <v>39</v>
      </c>
      <c r="K76" s="2">
        <v>4.5</v>
      </c>
      <c r="L76" t="s">
        <v>26</v>
      </c>
      <c r="M76" t="s">
        <v>46</v>
      </c>
      <c r="N76" t="s">
        <v>28</v>
      </c>
      <c r="O76" t="s">
        <v>26</v>
      </c>
      <c r="P76" t="s">
        <v>26</v>
      </c>
      <c r="Q76" s="3">
        <v>3</v>
      </c>
      <c r="R76" t="s">
        <v>35</v>
      </c>
      <c r="S76" t="s">
        <v>88</v>
      </c>
    </row>
    <row r="77" spans="1:19" x14ac:dyDescent="0.25">
      <c r="A77">
        <v>76</v>
      </c>
      <c r="B77">
        <v>64</v>
      </c>
      <c r="C77" t="s">
        <v>19</v>
      </c>
      <c r="D77" t="s">
        <v>119</v>
      </c>
      <c r="E77" t="s">
        <v>69</v>
      </c>
      <c r="F77" s="1">
        <v>85</v>
      </c>
      <c r="G77" t="s">
        <v>140</v>
      </c>
      <c r="H77" t="s">
        <v>45</v>
      </c>
      <c r="I77" t="s">
        <v>144</v>
      </c>
      <c r="J77" t="s">
        <v>54</v>
      </c>
      <c r="K77" s="2">
        <v>2.7</v>
      </c>
      <c r="L77" t="s">
        <v>26</v>
      </c>
      <c r="M77" t="s">
        <v>59</v>
      </c>
      <c r="N77" t="s">
        <v>40</v>
      </c>
      <c r="O77" t="s">
        <v>26</v>
      </c>
      <c r="P77" t="s">
        <v>26</v>
      </c>
      <c r="Q77" s="3">
        <v>21</v>
      </c>
      <c r="R77" t="s">
        <v>27</v>
      </c>
      <c r="S77" t="s">
        <v>50</v>
      </c>
    </row>
    <row r="78" spans="1:19" x14ac:dyDescent="0.25">
      <c r="A78">
        <v>77</v>
      </c>
      <c r="B78">
        <v>50</v>
      </c>
      <c r="C78" t="s">
        <v>19</v>
      </c>
      <c r="D78" t="s">
        <v>124</v>
      </c>
      <c r="E78" t="s">
        <v>69</v>
      </c>
      <c r="F78" s="1">
        <v>43</v>
      </c>
      <c r="G78" t="s">
        <v>80</v>
      </c>
      <c r="H78" t="s">
        <v>38</v>
      </c>
      <c r="I78" t="s">
        <v>86</v>
      </c>
      <c r="J78" t="s">
        <v>54</v>
      </c>
      <c r="K78" s="2">
        <v>4.2</v>
      </c>
      <c r="L78" t="s">
        <v>26</v>
      </c>
      <c r="M78" t="s">
        <v>34</v>
      </c>
      <c r="N78" t="s">
        <v>40</v>
      </c>
      <c r="O78" t="s">
        <v>26</v>
      </c>
      <c r="P78" t="s">
        <v>26</v>
      </c>
      <c r="Q78" s="3">
        <v>32</v>
      </c>
      <c r="R78" t="s">
        <v>29</v>
      </c>
      <c r="S78" t="s">
        <v>88</v>
      </c>
    </row>
    <row r="79" spans="1:19" x14ac:dyDescent="0.25">
      <c r="A79">
        <v>78</v>
      </c>
      <c r="B79">
        <v>22</v>
      </c>
      <c r="C79" t="s">
        <v>19</v>
      </c>
      <c r="D79" t="s">
        <v>82</v>
      </c>
      <c r="E79" t="s">
        <v>21</v>
      </c>
      <c r="F79" s="1">
        <v>53</v>
      </c>
      <c r="G79" t="s">
        <v>80</v>
      </c>
      <c r="H79" t="s">
        <v>23</v>
      </c>
      <c r="I79" t="s">
        <v>81</v>
      </c>
      <c r="J79" t="s">
        <v>54</v>
      </c>
      <c r="K79" s="2">
        <v>3.3</v>
      </c>
      <c r="L79" t="s">
        <v>26</v>
      </c>
      <c r="M79" t="s">
        <v>59</v>
      </c>
      <c r="N79" t="s">
        <v>47</v>
      </c>
      <c r="O79" t="s">
        <v>26</v>
      </c>
      <c r="P79" t="s">
        <v>26</v>
      </c>
      <c r="Q79" s="3">
        <v>36</v>
      </c>
      <c r="R79" t="s">
        <v>59</v>
      </c>
      <c r="S79" t="s">
        <v>30</v>
      </c>
    </row>
    <row r="80" spans="1:19" x14ac:dyDescent="0.25">
      <c r="A80">
        <v>79</v>
      </c>
      <c r="B80">
        <v>50</v>
      </c>
      <c r="C80" t="s">
        <v>19</v>
      </c>
      <c r="D80" t="s">
        <v>87</v>
      </c>
      <c r="E80" t="s">
        <v>21</v>
      </c>
      <c r="F80" s="1">
        <v>91</v>
      </c>
      <c r="G80" t="s">
        <v>145</v>
      </c>
      <c r="H80" t="s">
        <v>45</v>
      </c>
      <c r="I80" t="s">
        <v>33</v>
      </c>
      <c r="J80" t="s">
        <v>39</v>
      </c>
      <c r="K80" s="2">
        <v>4.7</v>
      </c>
      <c r="L80" t="s">
        <v>26</v>
      </c>
      <c r="M80" t="s">
        <v>29</v>
      </c>
      <c r="N80" t="s">
        <v>40</v>
      </c>
      <c r="O80" t="s">
        <v>26</v>
      </c>
      <c r="P80" t="s">
        <v>26</v>
      </c>
      <c r="Q80" s="3">
        <v>50</v>
      </c>
      <c r="R80" t="s">
        <v>29</v>
      </c>
      <c r="S80" t="s">
        <v>30</v>
      </c>
    </row>
    <row r="81" spans="1:19" x14ac:dyDescent="0.25">
      <c r="A81">
        <v>80</v>
      </c>
      <c r="B81">
        <v>38</v>
      </c>
      <c r="C81" t="s">
        <v>19</v>
      </c>
      <c r="D81" t="s">
        <v>102</v>
      </c>
      <c r="E81" t="s">
        <v>65</v>
      </c>
      <c r="F81" s="1">
        <v>96</v>
      </c>
      <c r="G81" t="s">
        <v>146</v>
      </c>
      <c r="H81" t="s">
        <v>45</v>
      </c>
      <c r="I81" t="s">
        <v>79</v>
      </c>
      <c r="J81" t="s">
        <v>25</v>
      </c>
      <c r="K81" s="2">
        <v>2.6</v>
      </c>
      <c r="L81" t="s">
        <v>26</v>
      </c>
      <c r="M81" t="s">
        <v>34</v>
      </c>
      <c r="N81" t="s">
        <v>72</v>
      </c>
      <c r="O81" t="s">
        <v>26</v>
      </c>
      <c r="P81" t="s">
        <v>26</v>
      </c>
      <c r="Q81" s="3">
        <v>43</v>
      </c>
      <c r="R81" t="s">
        <v>34</v>
      </c>
      <c r="S81" t="s">
        <v>97</v>
      </c>
    </row>
    <row r="82" spans="1:19" x14ac:dyDescent="0.25">
      <c r="A82">
        <v>81</v>
      </c>
      <c r="B82">
        <v>19</v>
      </c>
      <c r="C82" t="s">
        <v>19</v>
      </c>
      <c r="D82" t="s">
        <v>42</v>
      </c>
      <c r="E82" t="s">
        <v>43</v>
      </c>
      <c r="F82" s="1">
        <v>72</v>
      </c>
      <c r="G82" t="s">
        <v>85</v>
      </c>
      <c r="H82" t="s">
        <v>92</v>
      </c>
      <c r="I82" t="s">
        <v>144</v>
      </c>
      <c r="J82" t="s">
        <v>54</v>
      </c>
      <c r="K82" s="2">
        <v>3.3</v>
      </c>
      <c r="L82" t="s">
        <v>26</v>
      </c>
      <c r="M82" t="s">
        <v>27</v>
      </c>
      <c r="N82" t="s">
        <v>76</v>
      </c>
      <c r="O82" t="s">
        <v>26</v>
      </c>
      <c r="P82" t="s">
        <v>26</v>
      </c>
      <c r="Q82" s="3">
        <v>24</v>
      </c>
      <c r="R82" t="s">
        <v>27</v>
      </c>
      <c r="S82" t="s">
        <v>97</v>
      </c>
    </row>
    <row r="83" spans="1:19" x14ac:dyDescent="0.25">
      <c r="A83">
        <v>82</v>
      </c>
      <c r="B83">
        <v>67</v>
      </c>
      <c r="C83" t="s">
        <v>19</v>
      </c>
      <c r="D83" t="s">
        <v>73</v>
      </c>
      <c r="E83" t="s">
        <v>43</v>
      </c>
      <c r="F83" s="1">
        <v>96</v>
      </c>
      <c r="G83" t="s">
        <v>141</v>
      </c>
      <c r="H83" t="s">
        <v>23</v>
      </c>
      <c r="I83" t="s">
        <v>33</v>
      </c>
      <c r="J83" t="s">
        <v>54</v>
      </c>
      <c r="K83" s="2">
        <v>2.6</v>
      </c>
      <c r="L83" t="s">
        <v>26</v>
      </c>
      <c r="M83" t="s">
        <v>46</v>
      </c>
      <c r="N83" t="s">
        <v>28</v>
      </c>
      <c r="O83" t="s">
        <v>26</v>
      </c>
      <c r="P83" t="s">
        <v>26</v>
      </c>
      <c r="Q83" s="3">
        <v>36</v>
      </c>
      <c r="R83" t="s">
        <v>27</v>
      </c>
      <c r="S83" t="s">
        <v>97</v>
      </c>
    </row>
    <row r="84" spans="1:19" x14ac:dyDescent="0.25">
      <c r="A84">
        <v>83</v>
      </c>
      <c r="B84">
        <v>19</v>
      </c>
      <c r="C84" t="s">
        <v>19</v>
      </c>
      <c r="D84" t="s">
        <v>95</v>
      </c>
      <c r="E84" t="s">
        <v>21</v>
      </c>
      <c r="F84" s="1">
        <v>28</v>
      </c>
      <c r="G84" t="s">
        <v>142</v>
      </c>
      <c r="H84" t="s">
        <v>38</v>
      </c>
      <c r="I84" t="s">
        <v>79</v>
      </c>
      <c r="J84" t="s">
        <v>39</v>
      </c>
      <c r="K84" s="2">
        <v>4</v>
      </c>
      <c r="L84" t="s">
        <v>26</v>
      </c>
      <c r="M84" t="s">
        <v>34</v>
      </c>
      <c r="N84" t="s">
        <v>72</v>
      </c>
      <c r="O84" t="s">
        <v>26</v>
      </c>
      <c r="P84" t="s">
        <v>26</v>
      </c>
      <c r="Q84" s="3">
        <v>21</v>
      </c>
      <c r="R84" t="s">
        <v>27</v>
      </c>
      <c r="S84" t="s">
        <v>97</v>
      </c>
    </row>
    <row r="85" spans="1:19" x14ac:dyDescent="0.25">
      <c r="A85">
        <v>84</v>
      </c>
      <c r="B85">
        <v>36</v>
      </c>
      <c r="C85" t="s">
        <v>19</v>
      </c>
      <c r="D85" t="s">
        <v>82</v>
      </c>
      <c r="E85" t="s">
        <v>21</v>
      </c>
      <c r="F85" s="1">
        <v>40</v>
      </c>
      <c r="G85" t="s">
        <v>105</v>
      </c>
      <c r="H85" t="s">
        <v>45</v>
      </c>
      <c r="I85" t="s">
        <v>49</v>
      </c>
      <c r="J85" t="s">
        <v>54</v>
      </c>
      <c r="K85" s="2">
        <v>4.0999999999999996</v>
      </c>
      <c r="L85" t="s">
        <v>26</v>
      </c>
      <c r="M85" t="s">
        <v>59</v>
      </c>
      <c r="N85" t="s">
        <v>55</v>
      </c>
      <c r="O85" t="s">
        <v>26</v>
      </c>
      <c r="P85" t="s">
        <v>26</v>
      </c>
      <c r="Q85" s="3">
        <v>34</v>
      </c>
      <c r="R85" t="s">
        <v>34</v>
      </c>
      <c r="S85" t="s">
        <v>41</v>
      </c>
    </row>
    <row r="86" spans="1:19" x14ac:dyDescent="0.25">
      <c r="A86">
        <v>85</v>
      </c>
      <c r="B86">
        <v>52</v>
      </c>
      <c r="C86" t="s">
        <v>19</v>
      </c>
      <c r="D86" t="s">
        <v>64</v>
      </c>
      <c r="E86" t="s">
        <v>65</v>
      </c>
      <c r="F86" s="1">
        <v>32</v>
      </c>
      <c r="G86" t="s">
        <v>117</v>
      </c>
      <c r="H86" t="s">
        <v>38</v>
      </c>
      <c r="I86" t="s">
        <v>100</v>
      </c>
      <c r="J86" t="s">
        <v>39</v>
      </c>
      <c r="K86" s="2">
        <v>4.4000000000000004</v>
      </c>
      <c r="L86" t="s">
        <v>26</v>
      </c>
      <c r="M86" t="s">
        <v>35</v>
      </c>
      <c r="N86" t="s">
        <v>55</v>
      </c>
      <c r="O86" t="s">
        <v>26</v>
      </c>
      <c r="P86" t="s">
        <v>26</v>
      </c>
      <c r="Q86" s="3">
        <v>42</v>
      </c>
      <c r="R86" t="s">
        <v>34</v>
      </c>
      <c r="S86" t="s">
        <v>97</v>
      </c>
    </row>
    <row r="87" spans="1:19" x14ac:dyDescent="0.25">
      <c r="A87">
        <v>86</v>
      </c>
      <c r="B87">
        <v>53</v>
      </c>
      <c r="C87" t="s">
        <v>19</v>
      </c>
      <c r="D87" t="s">
        <v>89</v>
      </c>
      <c r="E87" t="s">
        <v>69</v>
      </c>
      <c r="F87" s="1">
        <v>95</v>
      </c>
      <c r="G87" t="s">
        <v>130</v>
      </c>
      <c r="H87" t="s">
        <v>45</v>
      </c>
      <c r="I87" t="s">
        <v>63</v>
      </c>
      <c r="J87" t="s">
        <v>25</v>
      </c>
      <c r="K87" s="2">
        <v>4.5</v>
      </c>
      <c r="L87" t="s">
        <v>26</v>
      </c>
      <c r="M87" t="s">
        <v>27</v>
      </c>
      <c r="N87" t="s">
        <v>47</v>
      </c>
      <c r="O87" t="s">
        <v>26</v>
      </c>
      <c r="P87" t="s">
        <v>26</v>
      </c>
      <c r="Q87" s="3">
        <v>2</v>
      </c>
      <c r="R87" t="s">
        <v>59</v>
      </c>
      <c r="S87" t="s">
        <v>77</v>
      </c>
    </row>
    <row r="88" spans="1:19" x14ac:dyDescent="0.25">
      <c r="A88">
        <v>87</v>
      </c>
      <c r="B88">
        <v>24</v>
      </c>
      <c r="C88" t="s">
        <v>19</v>
      </c>
      <c r="D88" t="s">
        <v>104</v>
      </c>
      <c r="E88" t="s">
        <v>21</v>
      </c>
      <c r="F88" s="1">
        <v>41</v>
      </c>
      <c r="G88" t="s">
        <v>107</v>
      </c>
      <c r="H88" t="s">
        <v>23</v>
      </c>
      <c r="I88" t="s">
        <v>71</v>
      </c>
      <c r="J88" t="s">
        <v>39</v>
      </c>
      <c r="K88" s="2">
        <v>3.7</v>
      </c>
      <c r="L88" t="s">
        <v>26</v>
      </c>
      <c r="M88" t="s">
        <v>29</v>
      </c>
      <c r="N88" t="s">
        <v>72</v>
      </c>
      <c r="O88" t="s">
        <v>26</v>
      </c>
      <c r="P88" t="s">
        <v>26</v>
      </c>
      <c r="Q88" s="3">
        <v>47</v>
      </c>
      <c r="R88" t="s">
        <v>35</v>
      </c>
      <c r="S88" t="s">
        <v>77</v>
      </c>
    </row>
    <row r="89" spans="1:19" x14ac:dyDescent="0.25">
      <c r="A89">
        <v>88</v>
      </c>
      <c r="B89">
        <v>52</v>
      </c>
      <c r="C89" t="s">
        <v>19</v>
      </c>
      <c r="D89" t="s">
        <v>73</v>
      </c>
      <c r="E89" t="s">
        <v>43</v>
      </c>
      <c r="F89" s="1">
        <v>53</v>
      </c>
      <c r="G89" t="s">
        <v>123</v>
      </c>
      <c r="H89" t="s">
        <v>45</v>
      </c>
      <c r="I89" t="s">
        <v>96</v>
      </c>
      <c r="J89" t="s">
        <v>58</v>
      </c>
      <c r="K89" s="2">
        <v>3.7</v>
      </c>
      <c r="L89" t="s">
        <v>26</v>
      </c>
      <c r="M89" t="s">
        <v>59</v>
      </c>
      <c r="N89" t="s">
        <v>72</v>
      </c>
      <c r="O89" t="s">
        <v>26</v>
      </c>
      <c r="P89" t="s">
        <v>26</v>
      </c>
      <c r="Q89" s="3">
        <v>44</v>
      </c>
      <c r="R89" t="s">
        <v>59</v>
      </c>
      <c r="S89" t="s">
        <v>30</v>
      </c>
    </row>
    <row r="90" spans="1:19" x14ac:dyDescent="0.25">
      <c r="A90">
        <v>89</v>
      </c>
      <c r="B90">
        <v>33</v>
      </c>
      <c r="C90" t="s">
        <v>19</v>
      </c>
      <c r="D90" t="s">
        <v>113</v>
      </c>
      <c r="E90" t="s">
        <v>21</v>
      </c>
      <c r="F90" s="1">
        <v>47</v>
      </c>
      <c r="G90" t="s">
        <v>52</v>
      </c>
      <c r="H90" t="s">
        <v>45</v>
      </c>
      <c r="I90" t="s">
        <v>121</v>
      </c>
      <c r="J90" t="s">
        <v>58</v>
      </c>
      <c r="K90" s="2">
        <v>3.5</v>
      </c>
      <c r="L90" t="s">
        <v>26</v>
      </c>
      <c r="M90" t="s">
        <v>27</v>
      </c>
      <c r="N90" t="s">
        <v>40</v>
      </c>
      <c r="O90" t="s">
        <v>26</v>
      </c>
      <c r="P90" t="s">
        <v>26</v>
      </c>
      <c r="Q90" s="3">
        <v>35</v>
      </c>
      <c r="R90" t="s">
        <v>27</v>
      </c>
      <c r="S90" t="s">
        <v>88</v>
      </c>
    </row>
    <row r="91" spans="1:19" x14ac:dyDescent="0.25">
      <c r="A91">
        <v>90</v>
      </c>
      <c r="B91">
        <v>47</v>
      </c>
      <c r="C91" t="s">
        <v>19</v>
      </c>
      <c r="D91" t="s">
        <v>102</v>
      </c>
      <c r="E91" t="s">
        <v>65</v>
      </c>
      <c r="F91" s="1">
        <v>83</v>
      </c>
      <c r="G91" t="s">
        <v>99</v>
      </c>
      <c r="H91" t="s">
        <v>92</v>
      </c>
      <c r="I91" t="s">
        <v>71</v>
      </c>
      <c r="J91" t="s">
        <v>58</v>
      </c>
      <c r="K91" s="2">
        <v>3.6</v>
      </c>
      <c r="L91" t="s">
        <v>26</v>
      </c>
      <c r="M91" t="s">
        <v>34</v>
      </c>
      <c r="N91" t="s">
        <v>47</v>
      </c>
      <c r="O91" t="s">
        <v>26</v>
      </c>
      <c r="P91" t="s">
        <v>26</v>
      </c>
      <c r="Q91" s="3">
        <v>15</v>
      </c>
      <c r="R91" t="s">
        <v>35</v>
      </c>
      <c r="S91" t="s">
        <v>60</v>
      </c>
    </row>
    <row r="92" spans="1:19" x14ac:dyDescent="0.25">
      <c r="A92">
        <v>91</v>
      </c>
      <c r="B92">
        <v>25</v>
      </c>
      <c r="C92" t="s">
        <v>19</v>
      </c>
      <c r="D92" t="s">
        <v>124</v>
      </c>
      <c r="E92" t="s">
        <v>69</v>
      </c>
      <c r="F92" s="1">
        <v>48</v>
      </c>
      <c r="G92" t="s">
        <v>131</v>
      </c>
      <c r="H92" t="s">
        <v>23</v>
      </c>
      <c r="I92" t="s">
        <v>84</v>
      </c>
      <c r="J92" t="s">
        <v>54</v>
      </c>
      <c r="K92" s="2">
        <v>2.9</v>
      </c>
      <c r="L92" t="s">
        <v>26</v>
      </c>
      <c r="M92" t="s">
        <v>29</v>
      </c>
      <c r="N92" t="s">
        <v>28</v>
      </c>
      <c r="O92" t="s">
        <v>26</v>
      </c>
      <c r="P92" t="s">
        <v>26</v>
      </c>
      <c r="Q92" s="3">
        <v>29</v>
      </c>
      <c r="R92" t="s">
        <v>27</v>
      </c>
      <c r="S92" t="s">
        <v>88</v>
      </c>
    </row>
    <row r="93" spans="1:19" x14ac:dyDescent="0.25">
      <c r="A93">
        <v>92</v>
      </c>
      <c r="B93">
        <v>44</v>
      </c>
      <c r="C93" t="s">
        <v>19</v>
      </c>
      <c r="D93" t="s">
        <v>119</v>
      </c>
      <c r="E93" t="s">
        <v>69</v>
      </c>
      <c r="F93" s="1">
        <v>99</v>
      </c>
      <c r="G93" t="s">
        <v>131</v>
      </c>
      <c r="H93" t="s">
        <v>38</v>
      </c>
      <c r="I93" t="s">
        <v>96</v>
      </c>
      <c r="J93" t="s">
        <v>25</v>
      </c>
      <c r="K93" s="2">
        <v>4.5999999999999996</v>
      </c>
      <c r="L93" t="s">
        <v>26</v>
      </c>
      <c r="M93" t="s">
        <v>46</v>
      </c>
      <c r="N93" t="s">
        <v>55</v>
      </c>
      <c r="O93" t="s">
        <v>26</v>
      </c>
      <c r="P93" t="s">
        <v>26</v>
      </c>
      <c r="Q93" s="3">
        <v>18</v>
      </c>
      <c r="R93" t="s">
        <v>27</v>
      </c>
      <c r="S93" t="s">
        <v>97</v>
      </c>
    </row>
    <row r="94" spans="1:19" x14ac:dyDescent="0.25">
      <c r="A94">
        <v>93</v>
      </c>
      <c r="B94">
        <v>61</v>
      </c>
      <c r="C94" t="s">
        <v>19</v>
      </c>
      <c r="D94" t="s">
        <v>102</v>
      </c>
      <c r="E94" t="s">
        <v>65</v>
      </c>
      <c r="F94" s="1">
        <v>87</v>
      </c>
      <c r="G94" t="s">
        <v>105</v>
      </c>
      <c r="H94" t="s">
        <v>45</v>
      </c>
      <c r="I94" t="s">
        <v>79</v>
      </c>
      <c r="J94" t="s">
        <v>25</v>
      </c>
      <c r="K94" s="2">
        <v>4.4000000000000004</v>
      </c>
      <c r="L94" t="s">
        <v>26</v>
      </c>
      <c r="M94" t="s">
        <v>35</v>
      </c>
      <c r="N94" t="s">
        <v>72</v>
      </c>
      <c r="O94" t="s">
        <v>26</v>
      </c>
      <c r="P94" t="s">
        <v>26</v>
      </c>
      <c r="Q94" s="3">
        <v>13</v>
      </c>
      <c r="R94" t="s">
        <v>29</v>
      </c>
      <c r="S94" t="s">
        <v>97</v>
      </c>
    </row>
    <row r="95" spans="1:19" x14ac:dyDescent="0.25">
      <c r="A95">
        <v>94</v>
      </c>
      <c r="B95">
        <v>37</v>
      </c>
      <c r="C95" t="s">
        <v>19</v>
      </c>
      <c r="D95" t="s">
        <v>31</v>
      </c>
      <c r="E95" t="s">
        <v>21</v>
      </c>
      <c r="F95" s="1">
        <v>62</v>
      </c>
      <c r="G95" t="s">
        <v>103</v>
      </c>
      <c r="H95" t="s">
        <v>45</v>
      </c>
      <c r="I95" t="s">
        <v>75</v>
      </c>
      <c r="J95" t="s">
        <v>58</v>
      </c>
      <c r="K95" s="2">
        <v>4.5</v>
      </c>
      <c r="L95" t="s">
        <v>26</v>
      </c>
      <c r="M95" t="s">
        <v>46</v>
      </c>
      <c r="N95" t="s">
        <v>55</v>
      </c>
      <c r="O95" t="s">
        <v>26</v>
      </c>
      <c r="P95" t="s">
        <v>26</v>
      </c>
      <c r="Q95" s="3">
        <v>46</v>
      </c>
      <c r="R95" t="s">
        <v>27</v>
      </c>
      <c r="S95" t="s">
        <v>41</v>
      </c>
    </row>
    <row r="96" spans="1:19" x14ac:dyDescent="0.25">
      <c r="A96">
        <v>95</v>
      </c>
      <c r="B96">
        <v>58</v>
      </c>
      <c r="C96" t="s">
        <v>19</v>
      </c>
      <c r="D96" t="s">
        <v>87</v>
      </c>
      <c r="E96" t="s">
        <v>21</v>
      </c>
      <c r="F96" s="1">
        <v>76</v>
      </c>
      <c r="G96" t="s">
        <v>107</v>
      </c>
      <c r="H96" t="s">
        <v>38</v>
      </c>
      <c r="I96" t="s">
        <v>67</v>
      </c>
      <c r="J96" t="s">
        <v>39</v>
      </c>
      <c r="K96" s="2">
        <v>4.5999999999999996</v>
      </c>
      <c r="L96" t="s">
        <v>26</v>
      </c>
      <c r="M96" t="s">
        <v>34</v>
      </c>
      <c r="N96" t="s">
        <v>40</v>
      </c>
      <c r="O96" t="s">
        <v>26</v>
      </c>
      <c r="P96" t="s">
        <v>26</v>
      </c>
      <c r="Q96" s="3">
        <v>28</v>
      </c>
      <c r="R96" t="s">
        <v>27</v>
      </c>
      <c r="S96" t="s">
        <v>41</v>
      </c>
    </row>
    <row r="97" spans="1:19" x14ac:dyDescent="0.25">
      <c r="A97">
        <v>96</v>
      </c>
      <c r="B97">
        <v>37</v>
      </c>
      <c r="C97" t="s">
        <v>19</v>
      </c>
      <c r="D97" t="s">
        <v>51</v>
      </c>
      <c r="E97" t="s">
        <v>43</v>
      </c>
      <c r="F97" s="1">
        <v>100</v>
      </c>
      <c r="G97" t="s">
        <v>70</v>
      </c>
      <c r="H97" t="s">
        <v>23</v>
      </c>
      <c r="I97" t="s">
        <v>71</v>
      </c>
      <c r="J97" t="s">
        <v>58</v>
      </c>
      <c r="K97" s="2">
        <v>3.8</v>
      </c>
      <c r="L97" t="s">
        <v>26</v>
      </c>
      <c r="M97" t="s">
        <v>46</v>
      </c>
      <c r="N97" t="s">
        <v>40</v>
      </c>
      <c r="O97" t="s">
        <v>26</v>
      </c>
      <c r="P97" t="s">
        <v>26</v>
      </c>
      <c r="Q97" s="3">
        <v>48</v>
      </c>
      <c r="R97" t="s">
        <v>46</v>
      </c>
      <c r="S97" t="s">
        <v>88</v>
      </c>
    </row>
    <row r="98" spans="1:19" x14ac:dyDescent="0.25">
      <c r="A98">
        <v>97</v>
      </c>
      <c r="B98">
        <v>32</v>
      </c>
      <c r="C98" t="s">
        <v>19</v>
      </c>
      <c r="D98" t="s">
        <v>143</v>
      </c>
      <c r="E98" t="s">
        <v>69</v>
      </c>
      <c r="F98" s="1">
        <v>73</v>
      </c>
      <c r="G98" t="s">
        <v>80</v>
      </c>
      <c r="H98" t="s">
        <v>38</v>
      </c>
      <c r="I98" t="s">
        <v>81</v>
      </c>
      <c r="J98" t="s">
        <v>39</v>
      </c>
      <c r="K98" s="2">
        <v>3.6</v>
      </c>
      <c r="L98" t="s">
        <v>26</v>
      </c>
      <c r="M98" t="s">
        <v>29</v>
      </c>
      <c r="N98" t="s">
        <v>28</v>
      </c>
      <c r="O98" t="s">
        <v>26</v>
      </c>
      <c r="P98" t="s">
        <v>26</v>
      </c>
      <c r="Q98" s="3">
        <v>43</v>
      </c>
      <c r="R98" t="s">
        <v>29</v>
      </c>
      <c r="S98" t="s">
        <v>97</v>
      </c>
    </row>
    <row r="99" spans="1:19" x14ac:dyDescent="0.25">
      <c r="A99">
        <v>98</v>
      </c>
      <c r="B99">
        <v>21</v>
      </c>
      <c r="C99" t="s">
        <v>19</v>
      </c>
      <c r="D99" t="s">
        <v>73</v>
      </c>
      <c r="E99" t="s">
        <v>43</v>
      </c>
      <c r="F99" s="1">
        <v>92</v>
      </c>
      <c r="G99" t="s">
        <v>141</v>
      </c>
      <c r="H99" t="s">
        <v>45</v>
      </c>
      <c r="I99" t="s">
        <v>86</v>
      </c>
      <c r="J99" t="s">
        <v>25</v>
      </c>
      <c r="K99" s="2">
        <v>4.8</v>
      </c>
      <c r="L99" t="s">
        <v>26</v>
      </c>
      <c r="M99" t="s">
        <v>46</v>
      </c>
      <c r="N99" t="s">
        <v>76</v>
      </c>
      <c r="O99" t="s">
        <v>26</v>
      </c>
      <c r="P99" t="s">
        <v>26</v>
      </c>
      <c r="Q99" s="3">
        <v>37</v>
      </c>
      <c r="R99" t="s">
        <v>35</v>
      </c>
      <c r="S99" t="s">
        <v>50</v>
      </c>
    </row>
    <row r="100" spans="1:19" x14ac:dyDescent="0.25">
      <c r="A100">
        <v>99</v>
      </c>
      <c r="B100">
        <v>20</v>
      </c>
      <c r="C100" t="s">
        <v>19</v>
      </c>
      <c r="D100" t="s">
        <v>36</v>
      </c>
      <c r="E100" t="s">
        <v>21</v>
      </c>
      <c r="F100" s="1">
        <v>67</v>
      </c>
      <c r="G100" t="s">
        <v>85</v>
      </c>
      <c r="H100" t="s">
        <v>92</v>
      </c>
      <c r="I100" t="s">
        <v>86</v>
      </c>
      <c r="J100" t="s">
        <v>39</v>
      </c>
      <c r="K100" s="2">
        <v>2.6</v>
      </c>
      <c r="L100" t="s">
        <v>26</v>
      </c>
      <c r="M100" t="s">
        <v>35</v>
      </c>
      <c r="N100" t="s">
        <v>47</v>
      </c>
      <c r="O100" t="s">
        <v>26</v>
      </c>
      <c r="P100" t="s">
        <v>26</v>
      </c>
      <c r="Q100" s="3">
        <v>20</v>
      </c>
      <c r="R100" t="s">
        <v>34</v>
      </c>
      <c r="S100" t="s">
        <v>50</v>
      </c>
    </row>
    <row r="101" spans="1:19" x14ac:dyDescent="0.25">
      <c r="A101">
        <v>100</v>
      </c>
      <c r="B101">
        <v>26</v>
      </c>
      <c r="C101" t="s">
        <v>19</v>
      </c>
      <c r="D101" t="s">
        <v>104</v>
      </c>
      <c r="E101" t="s">
        <v>21</v>
      </c>
      <c r="F101" s="1">
        <v>40</v>
      </c>
      <c r="G101" t="s">
        <v>70</v>
      </c>
      <c r="H101" t="s">
        <v>92</v>
      </c>
      <c r="I101" t="s">
        <v>126</v>
      </c>
      <c r="J101" t="s">
        <v>54</v>
      </c>
      <c r="K101" s="2">
        <v>3.7</v>
      </c>
      <c r="L101" t="s">
        <v>26</v>
      </c>
      <c r="M101" t="s">
        <v>35</v>
      </c>
      <c r="N101" t="s">
        <v>28</v>
      </c>
      <c r="O101" t="s">
        <v>26</v>
      </c>
      <c r="P101" t="s">
        <v>26</v>
      </c>
      <c r="Q101" s="3">
        <v>33</v>
      </c>
      <c r="R101" t="s">
        <v>59</v>
      </c>
      <c r="S101" t="s">
        <v>60</v>
      </c>
    </row>
    <row r="102" spans="1:19" x14ac:dyDescent="0.25">
      <c r="A102">
        <v>101</v>
      </c>
      <c r="B102">
        <v>62</v>
      </c>
      <c r="C102" t="s">
        <v>19</v>
      </c>
      <c r="D102" t="s">
        <v>89</v>
      </c>
      <c r="E102" t="s">
        <v>69</v>
      </c>
      <c r="F102" s="1">
        <v>98</v>
      </c>
      <c r="G102" t="s">
        <v>147</v>
      </c>
      <c r="H102" t="s">
        <v>45</v>
      </c>
      <c r="I102" t="s">
        <v>33</v>
      </c>
      <c r="J102" t="s">
        <v>58</v>
      </c>
      <c r="K102" s="2">
        <v>2.7</v>
      </c>
      <c r="L102" t="s">
        <v>26</v>
      </c>
      <c r="M102" t="s">
        <v>46</v>
      </c>
      <c r="N102" t="s">
        <v>28</v>
      </c>
      <c r="O102" t="s">
        <v>26</v>
      </c>
      <c r="P102" t="s">
        <v>26</v>
      </c>
      <c r="Q102" s="3">
        <v>31</v>
      </c>
      <c r="R102" t="s">
        <v>35</v>
      </c>
      <c r="S102" t="s">
        <v>30</v>
      </c>
    </row>
    <row r="103" spans="1:19" x14ac:dyDescent="0.25">
      <c r="A103">
        <v>102</v>
      </c>
      <c r="B103">
        <v>27</v>
      </c>
      <c r="C103" t="s">
        <v>19</v>
      </c>
      <c r="D103" t="s">
        <v>64</v>
      </c>
      <c r="E103" t="s">
        <v>65</v>
      </c>
      <c r="F103" s="1">
        <v>85</v>
      </c>
      <c r="G103" t="s">
        <v>114</v>
      </c>
      <c r="H103" t="s">
        <v>92</v>
      </c>
      <c r="I103" t="s">
        <v>53</v>
      </c>
      <c r="J103" t="s">
        <v>39</v>
      </c>
      <c r="K103" s="2">
        <v>4.5999999999999996</v>
      </c>
      <c r="L103" t="s">
        <v>26</v>
      </c>
      <c r="M103" t="s">
        <v>29</v>
      </c>
      <c r="N103" t="s">
        <v>28</v>
      </c>
      <c r="O103" t="s">
        <v>26</v>
      </c>
      <c r="P103" t="s">
        <v>26</v>
      </c>
      <c r="Q103" s="3">
        <v>50</v>
      </c>
      <c r="R103" t="s">
        <v>27</v>
      </c>
      <c r="S103" t="s">
        <v>77</v>
      </c>
    </row>
    <row r="104" spans="1:19" x14ac:dyDescent="0.25">
      <c r="A104">
        <v>103</v>
      </c>
      <c r="B104">
        <v>51</v>
      </c>
      <c r="C104" t="s">
        <v>19</v>
      </c>
      <c r="D104" t="s">
        <v>125</v>
      </c>
      <c r="E104" t="s">
        <v>21</v>
      </c>
      <c r="F104" s="1">
        <v>67</v>
      </c>
      <c r="G104" t="s">
        <v>101</v>
      </c>
      <c r="H104" t="s">
        <v>23</v>
      </c>
      <c r="I104" t="s">
        <v>84</v>
      </c>
      <c r="J104" t="s">
        <v>25</v>
      </c>
      <c r="K104" s="2">
        <v>4.8</v>
      </c>
      <c r="L104" t="s">
        <v>26</v>
      </c>
      <c r="M104" t="s">
        <v>27</v>
      </c>
      <c r="N104" t="s">
        <v>47</v>
      </c>
      <c r="O104" t="s">
        <v>26</v>
      </c>
      <c r="P104" t="s">
        <v>26</v>
      </c>
      <c r="Q104" s="3">
        <v>35</v>
      </c>
      <c r="R104" t="s">
        <v>27</v>
      </c>
      <c r="S104" t="s">
        <v>60</v>
      </c>
    </row>
    <row r="105" spans="1:19" x14ac:dyDescent="0.25">
      <c r="A105">
        <v>104</v>
      </c>
      <c r="B105">
        <v>54</v>
      </c>
      <c r="C105" t="s">
        <v>19</v>
      </c>
      <c r="D105" t="s">
        <v>137</v>
      </c>
      <c r="E105" t="s">
        <v>43</v>
      </c>
      <c r="F105" s="1">
        <v>89</v>
      </c>
      <c r="G105" t="s">
        <v>66</v>
      </c>
      <c r="H105" t="s">
        <v>23</v>
      </c>
      <c r="I105" t="s">
        <v>108</v>
      </c>
      <c r="J105" t="s">
        <v>25</v>
      </c>
      <c r="K105" s="2">
        <v>4</v>
      </c>
      <c r="L105" t="s">
        <v>26</v>
      </c>
      <c r="M105" t="s">
        <v>59</v>
      </c>
      <c r="N105" t="s">
        <v>47</v>
      </c>
      <c r="O105" t="s">
        <v>26</v>
      </c>
      <c r="P105" t="s">
        <v>26</v>
      </c>
      <c r="Q105" s="3">
        <v>22</v>
      </c>
      <c r="R105" t="s">
        <v>29</v>
      </c>
      <c r="S105" t="s">
        <v>77</v>
      </c>
    </row>
    <row r="106" spans="1:19" x14ac:dyDescent="0.25">
      <c r="A106">
        <v>105</v>
      </c>
      <c r="B106">
        <v>55</v>
      </c>
      <c r="C106" t="s">
        <v>19</v>
      </c>
      <c r="D106" t="s">
        <v>89</v>
      </c>
      <c r="E106" t="s">
        <v>69</v>
      </c>
      <c r="F106" s="1">
        <v>24</v>
      </c>
      <c r="G106" t="s">
        <v>83</v>
      </c>
      <c r="H106" t="s">
        <v>23</v>
      </c>
      <c r="I106" t="s">
        <v>71</v>
      </c>
      <c r="J106" t="s">
        <v>39</v>
      </c>
      <c r="K106" s="2">
        <v>4.4000000000000004</v>
      </c>
      <c r="L106" t="s">
        <v>26</v>
      </c>
      <c r="M106" t="s">
        <v>34</v>
      </c>
      <c r="N106" t="s">
        <v>72</v>
      </c>
      <c r="O106" t="s">
        <v>26</v>
      </c>
      <c r="P106" t="s">
        <v>26</v>
      </c>
      <c r="Q106" s="3">
        <v>1</v>
      </c>
      <c r="R106" t="s">
        <v>46</v>
      </c>
      <c r="S106" t="s">
        <v>88</v>
      </c>
    </row>
    <row r="107" spans="1:19" x14ac:dyDescent="0.25">
      <c r="A107">
        <v>106</v>
      </c>
      <c r="B107">
        <v>69</v>
      </c>
      <c r="C107" t="s">
        <v>19</v>
      </c>
      <c r="D107" t="s">
        <v>132</v>
      </c>
      <c r="E107" t="s">
        <v>69</v>
      </c>
      <c r="F107" s="1">
        <v>96</v>
      </c>
      <c r="G107" t="s">
        <v>85</v>
      </c>
      <c r="H107" t="s">
        <v>45</v>
      </c>
      <c r="I107" t="s">
        <v>63</v>
      </c>
      <c r="J107" t="s">
        <v>58</v>
      </c>
      <c r="K107" s="2">
        <v>3.6</v>
      </c>
      <c r="L107" t="s">
        <v>26</v>
      </c>
      <c r="M107" t="s">
        <v>34</v>
      </c>
      <c r="N107" t="s">
        <v>47</v>
      </c>
      <c r="O107" t="s">
        <v>26</v>
      </c>
      <c r="P107" t="s">
        <v>26</v>
      </c>
      <c r="Q107" s="3">
        <v>4</v>
      </c>
      <c r="R107" t="s">
        <v>34</v>
      </c>
      <c r="S107" t="s">
        <v>50</v>
      </c>
    </row>
    <row r="108" spans="1:19" x14ac:dyDescent="0.25">
      <c r="A108">
        <v>107</v>
      </c>
      <c r="B108">
        <v>64</v>
      </c>
      <c r="C108" t="s">
        <v>19</v>
      </c>
      <c r="D108" t="s">
        <v>102</v>
      </c>
      <c r="E108" t="s">
        <v>65</v>
      </c>
      <c r="F108" s="1">
        <v>35</v>
      </c>
      <c r="G108" t="s">
        <v>148</v>
      </c>
      <c r="H108" t="s">
        <v>23</v>
      </c>
      <c r="I108" t="s">
        <v>53</v>
      </c>
      <c r="J108" t="s">
        <v>54</v>
      </c>
      <c r="K108" s="2">
        <v>3.7</v>
      </c>
      <c r="L108" t="s">
        <v>26</v>
      </c>
      <c r="M108" t="s">
        <v>35</v>
      </c>
      <c r="N108" t="s">
        <v>55</v>
      </c>
      <c r="O108" t="s">
        <v>26</v>
      </c>
      <c r="P108" t="s">
        <v>26</v>
      </c>
      <c r="Q108" s="3">
        <v>31</v>
      </c>
      <c r="R108" t="s">
        <v>27</v>
      </c>
      <c r="S108" t="s">
        <v>88</v>
      </c>
    </row>
    <row r="109" spans="1:19" x14ac:dyDescent="0.25">
      <c r="A109">
        <v>108</v>
      </c>
      <c r="B109">
        <v>28</v>
      </c>
      <c r="C109" t="s">
        <v>19</v>
      </c>
      <c r="D109" t="s">
        <v>51</v>
      </c>
      <c r="E109" t="s">
        <v>43</v>
      </c>
      <c r="F109" s="1">
        <v>67</v>
      </c>
      <c r="G109" t="s">
        <v>128</v>
      </c>
      <c r="H109" t="s">
        <v>23</v>
      </c>
      <c r="I109" t="s">
        <v>79</v>
      </c>
      <c r="J109" t="s">
        <v>25</v>
      </c>
      <c r="K109" s="2">
        <v>3.1</v>
      </c>
      <c r="L109" t="s">
        <v>26</v>
      </c>
      <c r="M109" t="s">
        <v>35</v>
      </c>
      <c r="N109" t="s">
        <v>47</v>
      </c>
      <c r="O109" t="s">
        <v>26</v>
      </c>
      <c r="P109" t="s">
        <v>26</v>
      </c>
      <c r="Q109" s="3">
        <v>46</v>
      </c>
      <c r="R109" t="s">
        <v>46</v>
      </c>
      <c r="S109" t="s">
        <v>30</v>
      </c>
    </row>
    <row r="110" spans="1:19" x14ac:dyDescent="0.25">
      <c r="A110">
        <v>109</v>
      </c>
      <c r="B110">
        <v>70</v>
      </c>
      <c r="C110" t="s">
        <v>19</v>
      </c>
      <c r="D110" t="s">
        <v>125</v>
      </c>
      <c r="E110" t="s">
        <v>21</v>
      </c>
      <c r="F110" s="1">
        <v>79</v>
      </c>
      <c r="G110" t="s">
        <v>57</v>
      </c>
      <c r="H110" t="s">
        <v>23</v>
      </c>
      <c r="I110" t="s">
        <v>75</v>
      </c>
      <c r="J110" t="s">
        <v>39</v>
      </c>
      <c r="K110" s="2">
        <v>3.4</v>
      </c>
      <c r="L110" t="s">
        <v>26</v>
      </c>
      <c r="M110" t="s">
        <v>34</v>
      </c>
      <c r="N110" t="s">
        <v>47</v>
      </c>
      <c r="O110" t="s">
        <v>26</v>
      </c>
      <c r="P110" t="s">
        <v>26</v>
      </c>
      <c r="Q110" s="3">
        <v>32</v>
      </c>
      <c r="R110" t="s">
        <v>34</v>
      </c>
      <c r="S110" t="s">
        <v>77</v>
      </c>
    </row>
    <row r="111" spans="1:19" x14ac:dyDescent="0.25">
      <c r="A111">
        <v>110</v>
      </c>
      <c r="B111">
        <v>58</v>
      </c>
      <c r="C111" t="s">
        <v>19</v>
      </c>
      <c r="D111" t="s">
        <v>113</v>
      </c>
      <c r="E111" t="s">
        <v>21</v>
      </c>
      <c r="F111" s="1">
        <v>85</v>
      </c>
      <c r="G111" t="s">
        <v>90</v>
      </c>
      <c r="H111" t="s">
        <v>45</v>
      </c>
      <c r="I111" t="s">
        <v>84</v>
      </c>
      <c r="J111" t="s">
        <v>39</v>
      </c>
      <c r="K111" s="2">
        <v>2.6</v>
      </c>
      <c r="L111" t="s">
        <v>26</v>
      </c>
      <c r="M111" t="s">
        <v>35</v>
      </c>
      <c r="N111" t="s">
        <v>47</v>
      </c>
      <c r="O111" t="s">
        <v>26</v>
      </c>
      <c r="P111" t="s">
        <v>26</v>
      </c>
      <c r="Q111" s="3">
        <v>43</v>
      </c>
      <c r="R111" t="s">
        <v>34</v>
      </c>
      <c r="S111" t="s">
        <v>30</v>
      </c>
    </row>
    <row r="112" spans="1:19" x14ac:dyDescent="0.25">
      <c r="A112">
        <v>111</v>
      </c>
      <c r="B112">
        <v>56</v>
      </c>
      <c r="C112" t="s">
        <v>19</v>
      </c>
      <c r="D112" t="s">
        <v>132</v>
      </c>
      <c r="E112" t="s">
        <v>69</v>
      </c>
      <c r="F112" s="1">
        <v>26</v>
      </c>
      <c r="G112" t="s">
        <v>85</v>
      </c>
      <c r="H112" t="s">
        <v>45</v>
      </c>
      <c r="I112" t="s">
        <v>94</v>
      </c>
      <c r="J112" t="s">
        <v>54</v>
      </c>
      <c r="K112" s="2">
        <v>4</v>
      </c>
      <c r="L112" t="s">
        <v>26</v>
      </c>
      <c r="M112" t="s">
        <v>34</v>
      </c>
      <c r="N112" t="s">
        <v>55</v>
      </c>
      <c r="O112" t="s">
        <v>26</v>
      </c>
      <c r="P112" t="s">
        <v>26</v>
      </c>
      <c r="Q112" s="3">
        <v>26</v>
      </c>
      <c r="R112" t="s">
        <v>29</v>
      </c>
      <c r="S112" t="s">
        <v>30</v>
      </c>
    </row>
    <row r="113" spans="1:19" x14ac:dyDescent="0.25">
      <c r="A113">
        <v>112</v>
      </c>
      <c r="B113">
        <v>26</v>
      </c>
      <c r="C113" t="s">
        <v>19</v>
      </c>
      <c r="D113" t="s">
        <v>133</v>
      </c>
      <c r="E113" t="s">
        <v>69</v>
      </c>
      <c r="F113" s="1">
        <v>75</v>
      </c>
      <c r="G113" t="s">
        <v>37</v>
      </c>
      <c r="H113" t="s">
        <v>23</v>
      </c>
      <c r="I113" t="s">
        <v>75</v>
      </c>
      <c r="J113" t="s">
        <v>54</v>
      </c>
      <c r="K113" s="2">
        <v>5</v>
      </c>
      <c r="L113" t="s">
        <v>26</v>
      </c>
      <c r="M113" t="s">
        <v>46</v>
      </c>
      <c r="N113" t="s">
        <v>40</v>
      </c>
      <c r="O113" t="s">
        <v>26</v>
      </c>
      <c r="P113" t="s">
        <v>26</v>
      </c>
      <c r="Q113" s="3">
        <v>9</v>
      </c>
      <c r="R113" t="s">
        <v>27</v>
      </c>
      <c r="S113" t="s">
        <v>50</v>
      </c>
    </row>
    <row r="114" spans="1:19" x14ac:dyDescent="0.25">
      <c r="A114">
        <v>113</v>
      </c>
      <c r="B114">
        <v>37</v>
      </c>
      <c r="C114" t="s">
        <v>19</v>
      </c>
      <c r="D114" t="s">
        <v>143</v>
      </c>
      <c r="E114" t="s">
        <v>69</v>
      </c>
      <c r="F114" s="1">
        <v>65</v>
      </c>
      <c r="G114" t="s">
        <v>103</v>
      </c>
      <c r="H114" t="s">
        <v>45</v>
      </c>
      <c r="I114" t="s">
        <v>108</v>
      </c>
      <c r="J114" t="s">
        <v>39</v>
      </c>
      <c r="K114" s="2">
        <v>4.3</v>
      </c>
      <c r="L114" t="s">
        <v>26</v>
      </c>
      <c r="M114" t="s">
        <v>27</v>
      </c>
      <c r="N114" t="s">
        <v>40</v>
      </c>
      <c r="O114" t="s">
        <v>26</v>
      </c>
      <c r="P114" t="s">
        <v>26</v>
      </c>
      <c r="Q114" s="3">
        <v>28</v>
      </c>
      <c r="R114" t="s">
        <v>46</v>
      </c>
      <c r="S114" t="s">
        <v>77</v>
      </c>
    </row>
    <row r="115" spans="1:19" x14ac:dyDescent="0.25">
      <c r="A115">
        <v>114</v>
      </c>
      <c r="B115">
        <v>44</v>
      </c>
      <c r="C115" t="s">
        <v>19</v>
      </c>
      <c r="D115" t="s">
        <v>124</v>
      </c>
      <c r="E115" t="s">
        <v>69</v>
      </c>
      <c r="F115" s="1">
        <v>54</v>
      </c>
      <c r="G115" t="s">
        <v>127</v>
      </c>
      <c r="H115" t="s">
        <v>23</v>
      </c>
      <c r="I115" t="s">
        <v>33</v>
      </c>
      <c r="J115" t="s">
        <v>25</v>
      </c>
      <c r="K115" s="2">
        <v>3.1</v>
      </c>
      <c r="L115" t="s">
        <v>26</v>
      </c>
      <c r="M115" t="s">
        <v>59</v>
      </c>
      <c r="N115" t="s">
        <v>47</v>
      </c>
      <c r="O115" t="s">
        <v>26</v>
      </c>
      <c r="P115" t="s">
        <v>26</v>
      </c>
      <c r="Q115" s="3">
        <v>20</v>
      </c>
      <c r="R115" t="s">
        <v>46</v>
      </c>
      <c r="S115" t="s">
        <v>60</v>
      </c>
    </row>
    <row r="116" spans="1:19" x14ac:dyDescent="0.25">
      <c r="A116">
        <v>115</v>
      </c>
      <c r="B116">
        <v>70</v>
      </c>
      <c r="C116" t="s">
        <v>19</v>
      </c>
      <c r="D116" t="s">
        <v>64</v>
      </c>
      <c r="E116" t="s">
        <v>65</v>
      </c>
      <c r="F116" s="1">
        <v>95</v>
      </c>
      <c r="G116" t="s">
        <v>37</v>
      </c>
      <c r="H116" t="s">
        <v>38</v>
      </c>
      <c r="I116" t="s">
        <v>144</v>
      </c>
      <c r="J116" t="s">
        <v>54</v>
      </c>
      <c r="K116" s="2">
        <v>3.7</v>
      </c>
      <c r="L116" t="s">
        <v>26</v>
      </c>
      <c r="M116" t="s">
        <v>29</v>
      </c>
      <c r="N116" t="s">
        <v>76</v>
      </c>
      <c r="O116" t="s">
        <v>26</v>
      </c>
      <c r="P116" t="s">
        <v>26</v>
      </c>
      <c r="Q116" s="3">
        <v>9</v>
      </c>
      <c r="R116" t="s">
        <v>35</v>
      </c>
      <c r="S116" t="s">
        <v>41</v>
      </c>
    </row>
    <row r="117" spans="1:19" x14ac:dyDescent="0.25">
      <c r="A117">
        <v>116</v>
      </c>
      <c r="B117">
        <v>53</v>
      </c>
      <c r="C117" t="s">
        <v>19</v>
      </c>
      <c r="D117" t="s">
        <v>87</v>
      </c>
      <c r="E117" t="s">
        <v>21</v>
      </c>
      <c r="F117" s="1">
        <v>94</v>
      </c>
      <c r="G117" t="s">
        <v>52</v>
      </c>
      <c r="H117" t="s">
        <v>45</v>
      </c>
      <c r="I117" t="s">
        <v>24</v>
      </c>
      <c r="J117" t="s">
        <v>39</v>
      </c>
      <c r="K117" s="2">
        <v>3.8</v>
      </c>
      <c r="L117" t="s">
        <v>26</v>
      </c>
      <c r="M117" t="s">
        <v>35</v>
      </c>
      <c r="N117" t="s">
        <v>55</v>
      </c>
      <c r="O117" t="s">
        <v>26</v>
      </c>
      <c r="P117" t="s">
        <v>26</v>
      </c>
      <c r="Q117" s="3">
        <v>48</v>
      </c>
      <c r="R117" t="s">
        <v>59</v>
      </c>
      <c r="S117" t="s">
        <v>97</v>
      </c>
    </row>
    <row r="118" spans="1:19" x14ac:dyDescent="0.25">
      <c r="A118">
        <v>117</v>
      </c>
      <c r="B118">
        <v>55</v>
      </c>
      <c r="C118" t="s">
        <v>19</v>
      </c>
      <c r="D118" t="s">
        <v>73</v>
      </c>
      <c r="E118" t="s">
        <v>43</v>
      </c>
      <c r="F118" s="1">
        <v>86</v>
      </c>
      <c r="G118" t="s">
        <v>141</v>
      </c>
      <c r="H118" t="s">
        <v>38</v>
      </c>
      <c r="I118" t="s">
        <v>144</v>
      </c>
      <c r="J118" t="s">
        <v>39</v>
      </c>
      <c r="K118" s="2">
        <v>3.4</v>
      </c>
      <c r="L118" t="s">
        <v>26</v>
      </c>
      <c r="M118" t="s">
        <v>46</v>
      </c>
      <c r="N118" t="s">
        <v>40</v>
      </c>
      <c r="O118" t="s">
        <v>26</v>
      </c>
      <c r="P118" t="s">
        <v>26</v>
      </c>
      <c r="Q118" s="3">
        <v>12</v>
      </c>
      <c r="R118" t="s">
        <v>29</v>
      </c>
      <c r="S118" t="s">
        <v>50</v>
      </c>
    </row>
    <row r="119" spans="1:19" x14ac:dyDescent="0.25">
      <c r="A119">
        <v>118</v>
      </c>
      <c r="B119">
        <v>50</v>
      </c>
      <c r="C119" t="s">
        <v>19</v>
      </c>
      <c r="D119" t="s">
        <v>42</v>
      </c>
      <c r="E119" t="s">
        <v>43</v>
      </c>
      <c r="F119" s="1">
        <v>32</v>
      </c>
      <c r="G119" t="s">
        <v>147</v>
      </c>
      <c r="H119" t="s">
        <v>23</v>
      </c>
      <c r="I119" t="s">
        <v>134</v>
      </c>
      <c r="J119" t="s">
        <v>54</v>
      </c>
      <c r="K119" s="2">
        <v>4.5999999999999996</v>
      </c>
      <c r="L119" t="s">
        <v>26</v>
      </c>
      <c r="M119" t="s">
        <v>34</v>
      </c>
      <c r="N119" t="s">
        <v>28</v>
      </c>
      <c r="O119" t="s">
        <v>26</v>
      </c>
      <c r="P119" t="s">
        <v>26</v>
      </c>
      <c r="Q119" s="3">
        <v>29</v>
      </c>
      <c r="R119" t="s">
        <v>35</v>
      </c>
      <c r="S119" t="s">
        <v>30</v>
      </c>
    </row>
    <row r="120" spans="1:19" x14ac:dyDescent="0.25">
      <c r="A120">
        <v>119</v>
      </c>
      <c r="B120">
        <v>50</v>
      </c>
      <c r="C120" t="s">
        <v>19</v>
      </c>
      <c r="D120" t="s">
        <v>31</v>
      </c>
      <c r="E120" t="s">
        <v>21</v>
      </c>
      <c r="F120" s="1">
        <v>45</v>
      </c>
      <c r="G120" t="s">
        <v>22</v>
      </c>
      <c r="H120" t="s">
        <v>23</v>
      </c>
      <c r="I120" t="s">
        <v>121</v>
      </c>
      <c r="J120" t="s">
        <v>58</v>
      </c>
      <c r="K120" s="2">
        <v>4.8</v>
      </c>
      <c r="L120" t="s">
        <v>26</v>
      </c>
      <c r="M120" t="s">
        <v>34</v>
      </c>
      <c r="N120" t="s">
        <v>72</v>
      </c>
      <c r="O120" t="s">
        <v>26</v>
      </c>
      <c r="P120" t="s">
        <v>26</v>
      </c>
      <c r="Q120" s="3">
        <v>27</v>
      </c>
      <c r="R120" t="s">
        <v>35</v>
      </c>
      <c r="S120" t="s">
        <v>77</v>
      </c>
    </row>
    <row r="121" spans="1:19" x14ac:dyDescent="0.25">
      <c r="A121">
        <v>120</v>
      </c>
      <c r="B121">
        <v>38</v>
      </c>
      <c r="C121" t="s">
        <v>19</v>
      </c>
      <c r="D121" t="s">
        <v>64</v>
      </c>
      <c r="E121" t="s">
        <v>65</v>
      </c>
      <c r="F121" s="1">
        <v>76</v>
      </c>
      <c r="G121" t="s">
        <v>52</v>
      </c>
      <c r="H121" t="s">
        <v>45</v>
      </c>
      <c r="I121" t="s">
        <v>121</v>
      </c>
      <c r="J121" t="s">
        <v>58</v>
      </c>
      <c r="K121" s="2">
        <v>4.3</v>
      </c>
      <c r="L121" t="s">
        <v>26</v>
      </c>
      <c r="M121" t="s">
        <v>59</v>
      </c>
      <c r="N121" t="s">
        <v>28</v>
      </c>
      <c r="O121" t="s">
        <v>26</v>
      </c>
      <c r="P121" t="s">
        <v>26</v>
      </c>
      <c r="Q121" s="3">
        <v>44</v>
      </c>
      <c r="R121" t="s">
        <v>35</v>
      </c>
      <c r="S121" t="s">
        <v>50</v>
      </c>
    </row>
    <row r="122" spans="1:19" x14ac:dyDescent="0.25">
      <c r="A122">
        <v>121</v>
      </c>
      <c r="B122">
        <v>64</v>
      </c>
      <c r="C122" t="s">
        <v>19</v>
      </c>
      <c r="D122" t="s">
        <v>124</v>
      </c>
      <c r="E122" t="s">
        <v>69</v>
      </c>
      <c r="F122" s="1">
        <v>84</v>
      </c>
      <c r="G122" t="s">
        <v>66</v>
      </c>
      <c r="H122" t="s">
        <v>23</v>
      </c>
      <c r="I122" t="s">
        <v>108</v>
      </c>
      <c r="J122" t="s">
        <v>54</v>
      </c>
      <c r="K122" s="2">
        <v>4</v>
      </c>
      <c r="L122" t="s">
        <v>26</v>
      </c>
      <c r="M122" t="s">
        <v>46</v>
      </c>
      <c r="N122" t="s">
        <v>28</v>
      </c>
      <c r="O122" t="s">
        <v>26</v>
      </c>
      <c r="P122" t="s">
        <v>26</v>
      </c>
      <c r="Q122" s="3">
        <v>32</v>
      </c>
      <c r="R122" t="s">
        <v>34</v>
      </c>
      <c r="S122" t="s">
        <v>50</v>
      </c>
    </row>
    <row r="123" spans="1:19" x14ac:dyDescent="0.25">
      <c r="A123">
        <v>122</v>
      </c>
      <c r="B123">
        <v>19</v>
      </c>
      <c r="C123" t="s">
        <v>19</v>
      </c>
      <c r="D123" t="s">
        <v>61</v>
      </c>
      <c r="E123" t="s">
        <v>21</v>
      </c>
      <c r="F123" s="1">
        <v>72</v>
      </c>
      <c r="G123" t="s">
        <v>141</v>
      </c>
      <c r="H123" t="s">
        <v>45</v>
      </c>
      <c r="I123" t="s">
        <v>79</v>
      </c>
      <c r="J123" t="s">
        <v>25</v>
      </c>
      <c r="K123" s="2">
        <v>4.2</v>
      </c>
      <c r="L123" t="s">
        <v>26</v>
      </c>
      <c r="M123" t="s">
        <v>35</v>
      </c>
      <c r="N123" t="s">
        <v>55</v>
      </c>
      <c r="O123" t="s">
        <v>26</v>
      </c>
      <c r="P123" t="s">
        <v>26</v>
      </c>
      <c r="Q123" s="3">
        <v>11</v>
      </c>
      <c r="R123" t="s">
        <v>35</v>
      </c>
      <c r="S123" t="s">
        <v>30</v>
      </c>
    </row>
    <row r="124" spans="1:19" x14ac:dyDescent="0.25">
      <c r="A124">
        <v>123</v>
      </c>
      <c r="B124">
        <v>40</v>
      </c>
      <c r="C124" t="s">
        <v>19</v>
      </c>
      <c r="D124" t="s">
        <v>132</v>
      </c>
      <c r="E124" t="s">
        <v>69</v>
      </c>
      <c r="F124" s="1">
        <v>40</v>
      </c>
      <c r="G124" t="s">
        <v>149</v>
      </c>
      <c r="H124" t="s">
        <v>23</v>
      </c>
      <c r="I124" t="s">
        <v>110</v>
      </c>
      <c r="J124" t="s">
        <v>39</v>
      </c>
      <c r="K124" s="2">
        <v>4.8</v>
      </c>
      <c r="L124" t="s">
        <v>26</v>
      </c>
      <c r="M124" t="s">
        <v>27</v>
      </c>
      <c r="N124" t="s">
        <v>72</v>
      </c>
      <c r="O124" t="s">
        <v>26</v>
      </c>
      <c r="P124" t="s">
        <v>26</v>
      </c>
      <c r="Q124" s="3">
        <v>44</v>
      </c>
      <c r="R124" t="s">
        <v>35</v>
      </c>
      <c r="S124" t="s">
        <v>30</v>
      </c>
    </row>
    <row r="125" spans="1:19" x14ac:dyDescent="0.25">
      <c r="A125">
        <v>124</v>
      </c>
      <c r="B125">
        <v>57</v>
      </c>
      <c r="C125" t="s">
        <v>19</v>
      </c>
      <c r="D125" t="s">
        <v>31</v>
      </c>
      <c r="E125" t="s">
        <v>21</v>
      </c>
      <c r="F125" s="1">
        <v>89</v>
      </c>
      <c r="G125" t="s">
        <v>62</v>
      </c>
      <c r="H125" t="s">
        <v>23</v>
      </c>
      <c r="I125" t="s">
        <v>110</v>
      </c>
      <c r="J125" t="s">
        <v>58</v>
      </c>
      <c r="K125" s="2">
        <v>3.1</v>
      </c>
      <c r="L125" t="s">
        <v>26</v>
      </c>
      <c r="M125" t="s">
        <v>59</v>
      </c>
      <c r="N125" t="s">
        <v>40</v>
      </c>
      <c r="O125" t="s">
        <v>26</v>
      </c>
      <c r="P125" t="s">
        <v>26</v>
      </c>
      <c r="Q125" s="3">
        <v>46</v>
      </c>
      <c r="R125" t="s">
        <v>35</v>
      </c>
      <c r="S125" t="s">
        <v>41</v>
      </c>
    </row>
    <row r="126" spans="1:19" x14ac:dyDescent="0.25">
      <c r="A126">
        <v>125</v>
      </c>
      <c r="B126">
        <v>44</v>
      </c>
      <c r="C126" t="s">
        <v>19</v>
      </c>
      <c r="D126" t="s">
        <v>31</v>
      </c>
      <c r="E126" t="s">
        <v>21</v>
      </c>
      <c r="F126" s="1">
        <v>86</v>
      </c>
      <c r="G126" t="s">
        <v>107</v>
      </c>
      <c r="H126" t="s">
        <v>45</v>
      </c>
      <c r="I126" t="s">
        <v>24</v>
      </c>
      <c r="J126" t="s">
        <v>39</v>
      </c>
      <c r="K126" s="2">
        <v>3.1</v>
      </c>
      <c r="L126" t="s">
        <v>26</v>
      </c>
      <c r="M126" t="s">
        <v>46</v>
      </c>
      <c r="N126" t="s">
        <v>47</v>
      </c>
      <c r="O126" t="s">
        <v>26</v>
      </c>
      <c r="P126" t="s">
        <v>26</v>
      </c>
      <c r="Q126" s="3">
        <v>50</v>
      </c>
      <c r="R126" t="s">
        <v>46</v>
      </c>
      <c r="S126" t="s">
        <v>50</v>
      </c>
    </row>
    <row r="127" spans="1:19" x14ac:dyDescent="0.25">
      <c r="A127">
        <v>126</v>
      </c>
      <c r="B127">
        <v>49</v>
      </c>
      <c r="C127" t="s">
        <v>19</v>
      </c>
      <c r="D127" t="s">
        <v>61</v>
      </c>
      <c r="E127" t="s">
        <v>21</v>
      </c>
      <c r="F127" s="1">
        <v>54</v>
      </c>
      <c r="G127" t="s">
        <v>99</v>
      </c>
      <c r="H127" t="s">
        <v>45</v>
      </c>
      <c r="I127" t="s">
        <v>126</v>
      </c>
      <c r="J127" t="s">
        <v>25</v>
      </c>
      <c r="K127" s="2">
        <v>3.6</v>
      </c>
      <c r="L127" t="s">
        <v>26</v>
      </c>
      <c r="M127" t="s">
        <v>35</v>
      </c>
      <c r="N127" t="s">
        <v>47</v>
      </c>
      <c r="O127" t="s">
        <v>26</v>
      </c>
      <c r="P127" t="s">
        <v>26</v>
      </c>
      <c r="Q127" s="3">
        <v>45</v>
      </c>
      <c r="R127" t="s">
        <v>29</v>
      </c>
      <c r="S127" t="s">
        <v>97</v>
      </c>
    </row>
    <row r="128" spans="1:19" x14ac:dyDescent="0.25">
      <c r="A128">
        <v>127</v>
      </c>
      <c r="B128">
        <v>43</v>
      </c>
      <c r="C128" t="s">
        <v>19</v>
      </c>
      <c r="D128" t="s">
        <v>61</v>
      </c>
      <c r="E128" t="s">
        <v>21</v>
      </c>
      <c r="F128" s="1">
        <v>36</v>
      </c>
      <c r="G128" t="s">
        <v>91</v>
      </c>
      <c r="H128" t="s">
        <v>23</v>
      </c>
      <c r="I128" t="s">
        <v>71</v>
      </c>
      <c r="J128" t="s">
        <v>39</v>
      </c>
      <c r="K128" s="2">
        <v>3.9</v>
      </c>
      <c r="L128" t="s">
        <v>26</v>
      </c>
      <c r="M128" t="s">
        <v>34</v>
      </c>
      <c r="N128" t="s">
        <v>76</v>
      </c>
      <c r="O128" t="s">
        <v>26</v>
      </c>
      <c r="P128" t="s">
        <v>26</v>
      </c>
      <c r="Q128" s="3">
        <v>48</v>
      </c>
      <c r="R128" t="s">
        <v>35</v>
      </c>
      <c r="S128" t="s">
        <v>97</v>
      </c>
    </row>
    <row r="129" spans="1:19" x14ac:dyDescent="0.25">
      <c r="A129">
        <v>128</v>
      </c>
      <c r="B129">
        <v>24</v>
      </c>
      <c r="C129" t="s">
        <v>19</v>
      </c>
      <c r="D129" t="s">
        <v>31</v>
      </c>
      <c r="E129" t="s">
        <v>21</v>
      </c>
      <c r="F129" s="1">
        <v>89</v>
      </c>
      <c r="G129" t="s">
        <v>91</v>
      </c>
      <c r="H129" t="s">
        <v>45</v>
      </c>
      <c r="I129" t="s">
        <v>24</v>
      </c>
      <c r="J129" t="s">
        <v>25</v>
      </c>
      <c r="K129" s="2">
        <v>4.8</v>
      </c>
      <c r="L129" t="s">
        <v>26</v>
      </c>
      <c r="M129" t="s">
        <v>29</v>
      </c>
      <c r="N129" t="s">
        <v>47</v>
      </c>
      <c r="O129" t="s">
        <v>26</v>
      </c>
      <c r="P129" t="s">
        <v>26</v>
      </c>
      <c r="Q129" s="3">
        <v>26</v>
      </c>
      <c r="R129" t="s">
        <v>27</v>
      </c>
      <c r="S129" t="s">
        <v>41</v>
      </c>
    </row>
    <row r="130" spans="1:19" x14ac:dyDescent="0.25">
      <c r="A130">
        <v>129</v>
      </c>
      <c r="B130">
        <v>20</v>
      </c>
      <c r="C130" t="s">
        <v>19</v>
      </c>
      <c r="D130" t="s">
        <v>119</v>
      </c>
      <c r="E130" t="s">
        <v>69</v>
      </c>
      <c r="F130" s="1">
        <v>32</v>
      </c>
      <c r="G130" t="s">
        <v>99</v>
      </c>
      <c r="H130" t="s">
        <v>45</v>
      </c>
      <c r="I130" t="s">
        <v>81</v>
      </c>
      <c r="J130" t="s">
        <v>39</v>
      </c>
      <c r="K130" s="2">
        <v>4.7</v>
      </c>
      <c r="L130" t="s">
        <v>26</v>
      </c>
      <c r="M130" t="s">
        <v>29</v>
      </c>
      <c r="N130" t="s">
        <v>55</v>
      </c>
      <c r="O130" t="s">
        <v>26</v>
      </c>
      <c r="P130" t="s">
        <v>26</v>
      </c>
      <c r="Q130" s="3">
        <v>21</v>
      </c>
      <c r="R130" t="s">
        <v>27</v>
      </c>
      <c r="S130" t="s">
        <v>30</v>
      </c>
    </row>
    <row r="131" spans="1:19" x14ac:dyDescent="0.25">
      <c r="A131">
        <v>130</v>
      </c>
      <c r="B131">
        <v>24</v>
      </c>
      <c r="C131" t="s">
        <v>19</v>
      </c>
      <c r="D131" t="s">
        <v>82</v>
      </c>
      <c r="E131" t="s">
        <v>21</v>
      </c>
      <c r="F131" s="1">
        <v>67</v>
      </c>
      <c r="G131" t="s">
        <v>138</v>
      </c>
      <c r="H131" t="s">
        <v>92</v>
      </c>
      <c r="I131" t="s">
        <v>79</v>
      </c>
      <c r="J131" t="s">
        <v>54</v>
      </c>
      <c r="K131" s="2">
        <v>4.2</v>
      </c>
      <c r="L131" t="s">
        <v>26</v>
      </c>
      <c r="M131" t="s">
        <v>35</v>
      </c>
      <c r="N131" t="s">
        <v>72</v>
      </c>
      <c r="O131" t="s">
        <v>26</v>
      </c>
      <c r="P131" t="s">
        <v>26</v>
      </c>
      <c r="Q131" s="3">
        <v>49</v>
      </c>
      <c r="R131" t="s">
        <v>46</v>
      </c>
      <c r="S131" t="s">
        <v>77</v>
      </c>
    </row>
    <row r="132" spans="1:19" x14ac:dyDescent="0.25">
      <c r="A132">
        <v>131</v>
      </c>
      <c r="B132">
        <v>44</v>
      </c>
      <c r="C132" t="s">
        <v>19</v>
      </c>
      <c r="D132" t="s">
        <v>119</v>
      </c>
      <c r="E132" t="s">
        <v>69</v>
      </c>
      <c r="F132" s="1">
        <v>39</v>
      </c>
      <c r="G132" t="s">
        <v>22</v>
      </c>
      <c r="H132" t="s">
        <v>23</v>
      </c>
      <c r="I132" t="s">
        <v>84</v>
      </c>
      <c r="J132" t="s">
        <v>58</v>
      </c>
      <c r="K132" s="2">
        <v>3.7</v>
      </c>
      <c r="L132" t="s">
        <v>26</v>
      </c>
      <c r="M132" t="s">
        <v>27</v>
      </c>
      <c r="N132" t="s">
        <v>47</v>
      </c>
      <c r="O132" t="s">
        <v>26</v>
      </c>
      <c r="P132" t="s">
        <v>26</v>
      </c>
      <c r="Q132" s="3">
        <v>13</v>
      </c>
      <c r="R132" t="s">
        <v>46</v>
      </c>
      <c r="S132" t="s">
        <v>30</v>
      </c>
    </row>
    <row r="133" spans="1:19" x14ac:dyDescent="0.25">
      <c r="A133">
        <v>132</v>
      </c>
      <c r="B133">
        <v>28</v>
      </c>
      <c r="C133" t="s">
        <v>19</v>
      </c>
      <c r="D133" t="s">
        <v>87</v>
      </c>
      <c r="E133" t="s">
        <v>21</v>
      </c>
      <c r="F133" s="1">
        <v>29</v>
      </c>
      <c r="G133" t="s">
        <v>32</v>
      </c>
      <c r="H133" t="s">
        <v>23</v>
      </c>
      <c r="I133" t="s">
        <v>126</v>
      </c>
      <c r="J133" t="s">
        <v>54</v>
      </c>
      <c r="K133" s="2">
        <v>3.9</v>
      </c>
      <c r="L133" t="s">
        <v>26</v>
      </c>
      <c r="M133" t="s">
        <v>46</v>
      </c>
      <c r="N133" t="s">
        <v>55</v>
      </c>
      <c r="O133" t="s">
        <v>26</v>
      </c>
      <c r="P133" t="s">
        <v>26</v>
      </c>
      <c r="Q133" s="3">
        <v>46</v>
      </c>
      <c r="R133" t="s">
        <v>27</v>
      </c>
      <c r="S133" t="s">
        <v>41</v>
      </c>
    </row>
    <row r="134" spans="1:19" x14ac:dyDescent="0.25">
      <c r="A134">
        <v>133</v>
      </c>
      <c r="B134">
        <v>30</v>
      </c>
      <c r="C134" t="s">
        <v>19</v>
      </c>
      <c r="D134" t="s">
        <v>132</v>
      </c>
      <c r="E134" t="s">
        <v>69</v>
      </c>
      <c r="F134" s="1">
        <v>58</v>
      </c>
      <c r="G134" t="s">
        <v>130</v>
      </c>
      <c r="H134" t="s">
        <v>45</v>
      </c>
      <c r="I134" t="s">
        <v>121</v>
      </c>
      <c r="J134" t="s">
        <v>58</v>
      </c>
      <c r="K134" s="2">
        <v>4.7</v>
      </c>
      <c r="L134" t="s">
        <v>26</v>
      </c>
      <c r="M134" t="s">
        <v>34</v>
      </c>
      <c r="N134" t="s">
        <v>72</v>
      </c>
      <c r="O134" t="s">
        <v>26</v>
      </c>
      <c r="P134" t="s">
        <v>26</v>
      </c>
      <c r="Q134" s="3">
        <v>42</v>
      </c>
      <c r="R134" t="s">
        <v>46</v>
      </c>
      <c r="S134" t="s">
        <v>41</v>
      </c>
    </row>
    <row r="135" spans="1:19" x14ac:dyDescent="0.25">
      <c r="A135">
        <v>134</v>
      </c>
      <c r="B135">
        <v>52</v>
      </c>
      <c r="C135" t="s">
        <v>19</v>
      </c>
      <c r="D135" t="s">
        <v>31</v>
      </c>
      <c r="E135" t="s">
        <v>21</v>
      </c>
      <c r="F135" s="1">
        <v>65</v>
      </c>
      <c r="G135" t="s">
        <v>57</v>
      </c>
      <c r="H135" t="s">
        <v>45</v>
      </c>
      <c r="I135" t="s">
        <v>84</v>
      </c>
      <c r="J135" t="s">
        <v>25</v>
      </c>
      <c r="K135" s="2">
        <v>2.5</v>
      </c>
      <c r="L135" t="s">
        <v>26</v>
      </c>
      <c r="M135" t="s">
        <v>34</v>
      </c>
      <c r="N135" t="s">
        <v>47</v>
      </c>
      <c r="O135" t="s">
        <v>26</v>
      </c>
      <c r="P135" t="s">
        <v>26</v>
      </c>
      <c r="Q135" s="3">
        <v>25</v>
      </c>
      <c r="R135" t="s">
        <v>29</v>
      </c>
      <c r="S135" t="s">
        <v>50</v>
      </c>
    </row>
    <row r="136" spans="1:19" x14ac:dyDescent="0.25">
      <c r="A136">
        <v>135</v>
      </c>
      <c r="B136">
        <v>43</v>
      </c>
      <c r="C136" t="s">
        <v>19</v>
      </c>
      <c r="D136" t="s">
        <v>124</v>
      </c>
      <c r="E136" t="s">
        <v>69</v>
      </c>
      <c r="F136" s="1">
        <v>94</v>
      </c>
      <c r="G136" t="s">
        <v>105</v>
      </c>
      <c r="H136" t="s">
        <v>23</v>
      </c>
      <c r="I136" t="s">
        <v>24</v>
      </c>
      <c r="J136" t="s">
        <v>58</v>
      </c>
      <c r="K136" s="2">
        <v>4.9000000000000004</v>
      </c>
      <c r="L136" t="s">
        <v>26</v>
      </c>
      <c r="M136" t="s">
        <v>27</v>
      </c>
      <c r="N136" t="s">
        <v>76</v>
      </c>
      <c r="O136" t="s">
        <v>26</v>
      </c>
      <c r="P136" t="s">
        <v>26</v>
      </c>
      <c r="Q136" s="3">
        <v>25</v>
      </c>
      <c r="R136" t="s">
        <v>35</v>
      </c>
      <c r="S136" t="s">
        <v>88</v>
      </c>
    </row>
    <row r="137" spans="1:19" x14ac:dyDescent="0.25">
      <c r="A137">
        <v>136</v>
      </c>
      <c r="B137">
        <v>43</v>
      </c>
      <c r="C137" t="s">
        <v>19</v>
      </c>
      <c r="D137" t="s">
        <v>42</v>
      </c>
      <c r="E137" t="s">
        <v>43</v>
      </c>
      <c r="F137" s="1">
        <v>81</v>
      </c>
      <c r="G137" t="s">
        <v>111</v>
      </c>
      <c r="H137" t="s">
        <v>45</v>
      </c>
      <c r="I137" t="s">
        <v>75</v>
      </c>
      <c r="J137" t="s">
        <v>58</v>
      </c>
      <c r="K137" s="2">
        <v>4.0999999999999996</v>
      </c>
      <c r="L137" t="s">
        <v>26</v>
      </c>
      <c r="M137" t="s">
        <v>46</v>
      </c>
      <c r="N137" t="s">
        <v>28</v>
      </c>
      <c r="O137" t="s">
        <v>26</v>
      </c>
      <c r="P137" t="s">
        <v>26</v>
      </c>
      <c r="Q137" s="3">
        <v>12</v>
      </c>
      <c r="R137" t="s">
        <v>46</v>
      </c>
      <c r="S137" t="s">
        <v>60</v>
      </c>
    </row>
    <row r="138" spans="1:19" x14ac:dyDescent="0.25">
      <c r="A138">
        <v>137</v>
      </c>
      <c r="B138">
        <v>39</v>
      </c>
      <c r="C138" t="s">
        <v>19</v>
      </c>
      <c r="D138" t="s">
        <v>20</v>
      </c>
      <c r="E138" t="s">
        <v>21</v>
      </c>
      <c r="F138" s="1">
        <v>86</v>
      </c>
      <c r="G138" t="s">
        <v>131</v>
      </c>
      <c r="H138" t="s">
        <v>45</v>
      </c>
      <c r="I138" t="s">
        <v>53</v>
      </c>
      <c r="J138" t="s">
        <v>25</v>
      </c>
      <c r="K138" s="2">
        <v>3.3</v>
      </c>
      <c r="L138" t="s">
        <v>26</v>
      </c>
      <c r="M138" t="s">
        <v>27</v>
      </c>
      <c r="N138" t="s">
        <v>40</v>
      </c>
      <c r="O138" t="s">
        <v>26</v>
      </c>
      <c r="P138" t="s">
        <v>26</v>
      </c>
      <c r="Q138" s="3">
        <v>4</v>
      </c>
      <c r="R138" t="s">
        <v>59</v>
      </c>
      <c r="S138" t="s">
        <v>60</v>
      </c>
    </row>
    <row r="139" spans="1:19" x14ac:dyDescent="0.25">
      <c r="A139">
        <v>138</v>
      </c>
      <c r="B139">
        <v>68</v>
      </c>
      <c r="C139" t="s">
        <v>19</v>
      </c>
      <c r="D139" t="s">
        <v>51</v>
      </c>
      <c r="E139" t="s">
        <v>43</v>
      </c>
      <c r="F139" s="1">
        <v>43</v>
      </c>
      <c r="G139" t="s">
        <v>112</v>
      </c>
      <c r="H139" t="s">
        <v>45</v>
      </c>
      <c r="I139" t="s">
        <v>49</v>
      </c>
      <c r="J139" t="s">
        <v>39</v>
      </c>
      <c r="K139" s="2">
        <v>4.7</v>
      </c>
      <c r="L139" t="s">
        <v>26</v>
      </c>
      <c r="M139" t="s">
        <v>35</v>
      </c>
      <c r="N139" t="s">
        <v>40</v>
      </c>
      <c r="O139" t="s">
        <v>26</v>
      </c>
      <c r="P139" t="s">
        <v>26</v>
      </c>
      <c r="Q139" s="3">
        <v>38</v>
      </c>
      <c r="R139" t="s">
        <v>46</v>
      </c>
      <c r="S139" t="s">
        <v>41</v>
      </c>
    </row>
    <row r="140" spans="1:19" x14ac:dyDescent="0.25">
      <c r="A140">
        <v>139</v>
      </c>
      <c r="B140">
        <v>68</v>
      </c>
      <c r="C140" t="s">
        <v>19</v>
      </c>
      <c r="D140" t="s">
        <v>87</v>
      </c>
      <c r="E140" t="s">
        <v>21</v>
      </c>
      <c r="F140" s="1">
        <v>29</v>
      </c>
      <c r="G140" t="s">
        <v>142</v>
      </c>
      <c r="H140" t="s">
        <v>45</v>
      </c>
      <c r="I140" t="s">
        <v>33</v>
      </c>
      <c r="J140" t="s">
        <v>25</v>
      </c>
      <c r="K140" s="2">
        <v>4.4000000000000004</v>
      </c>
      <c r="L140" t="s">
        <v>26</v>
      </c>
      <c r="M140" t="s">
        <v>35</v>
      </c>
      <c r="N140" t="s">
        <v>76</v>
      </c>
      <c r="O140" t="s">
        <v>26</v>
      </c>
      <c r="P140" t="s">
        <v>26</v>
      </c>
      <c r="Q140" s="3">
        <v>42</v>
      </c>
      <c r="R140" t="s">
        <v>34</v>
      </c>
      <c r="S140" t="s">
        <v>41</v>
      </c>
    </row>
    <row r="141" spans="1:19" x14ac:dyDescent="0.25">
      <c r="A141">
        <v>140</v>
      </c>
      <c r="B141">
        <v>49</v>
      </c>
      <c r="C141" t="s">
        <v>19</v>
      </c>
      <c r="D141" t="s">
        <v>64</v>
      </c>
      <c r="E141" t="s">
        <v>65</v>
      </c>
      <c r="F141" s="1">
        <v>95</v>
      </c>
      <c r="G141" t="s">
        <v>103</v>
      </c>
      <c r="H141" t="s">
        <v>45</v>
      </c>
      <c r="I141" t="s">
        <v>53</v>
      </c>
      <c r="J141" t="s">
        <v>58</v>
      </c>
      <c r="K141" s="2">
        <v>3.8</v>
      </c>
      <c r="L141" t="s">
        <v>26</v>
      </c>
      <c r="M141" t="s">
        <v>59</v>
      </c>
      <c r="N141" t="s">
        <v>76</v>
      </c>
      <c r="O141" t="s">
        <v>26</v>
      </c>
      <c r="P141" t="s">
        <v>26</v>
      </c>
      <c r="Q141" s="3">
        <v>30</v>
      </c>
      <c r="R141" t="s">
        <v>29</v>
      </c>
      <c r="S141" t="s">
        <v>50</v>
      </c>
    </row>
    <row r="142" spans="1:19" x14ac:dyDescent="0.25">
      <c r="A142">
        <v>141</v>
      </c>
      <c r="B142">
        <v>63</v>
      </c>
      <c r="C142" t="s">
        <v>19</v>
      </c>
      <c r="D142" t="s">
        <v>56</v>
      </c>
      <c r="E142" t="s">
        <v>21</v>
      </c>
      <c r="F142" s="1">
        <v>28</v>
      </c>
      <c r="G142" t="s">
        <v>98</v>
      </c>
      <c r="H142" t="s">
        <v>23</v>
      </c>
      <c r="I142" t="s">
        <v>134</v>
      </c>
      <c r="J142" t="s">
        <v>58</v>
      </c>
      <c r="K142" s="2">
        <v>3.9</v>
      </c>
      <c r="L142" t="s">
        <v>26</v>
      </c>
      <c r="M142" t="s">
        <v>34</v>
      </c>
      <c r="N142" t="s">
        <v>72</v>
      </c>
      <c r="O142" t="s">
        <v>26</v>
      </c>
      <c r="P142" t="s">
        <v>26</v>
      </c>
      <c r="Q142" s="3">
        <v>50</v>
      </c>
      <c r="R142" t="s">
        <v>27</v>
      </c>
      <c r="S142" t="s">
        <v>41</v>
      </c>
    </row>
    <row r="143" spans="1:19" x14ac:dyDescent="0.25">
      <c r="A143">
        <v>142</v>
      </c>
      <c r="B143">
        <v>56</v>
      </c>
      <c r="C143" t="s">
        <v>19</v>
      </c>
      <c r="D143" t="s">
        <v>143</v>
      </c>
      <c r="E143" t="s">
        <v>69</v>
      </c>
      <c r="F143" s="1">
        <v>46</v>
      </c>
      <c r="G143" t="s">
        <v>141</v>
      </c>
      <c r="H143" t="s">
        <v>45</v>
      </c>
      <c r="I143" t="s">
        <v>49</v>
      </c>
      <c r="J143" t="s">
        <v>58</v>
      </c>
      <c r="K143" s="2">
        <v>4.9000000000000004</v>
      </c>
      <c r="L143" t="s">
        <v>26</v>
      </c>
      <c r="M143" t="s">
        <v>46</v>
      </c>
      <c r="N143" t="s">
        <v>40</v>
      </c>
      <c r="O143" t="s">
        <v>26</v>
      </c>
      <c r="P143" t="s">
        <v>26</v>
      </c>
      <c r="Q143" s="3">
        <v>45</v>
      </c>
      <c r="R143" t="s">
        <v>46</v>
      </c>
      <c r="S143" t="s">
        <v>41</v>
      </c>
    </row>
    <row r="144" spans="1:19" x14ac:dyDescent="0.25">
      <c r="A144">
        <v>143</v>
      </c>
      <c r="B144">
        <v>37</v>
      </c>
      <c r="C144" t="s">
        <v>19</v>
      </c>
      <c r="D144" t="s">
        <v>102</v>
      </c>
      <c r="E144" t="s">
        <v>65</v>
      </c>
      <c r="F144" s="1">
        <v>58</v>
      </c>
      <c r="G144" t="s">
        <v>145</v>
      </c>
      <c r="H144" t="s">
        <v>23</v>
      </c>
      <c r="I144" t="s">
        <v>84</v>
      </c>
      <c r="J144" t="s">
        <v>58</v>
      </c>
      <c r="K144" s="2">
        <v>3.1</v>
      </c>
      <c r="L144" t="s">
        <v>26</v>
      </c>
      <c r="M144" t="s">
        <v>46</v>
      </c>
      <c r="N144" t="s">
        <v>40</v>
      </c>
      <c r="O144" t="s">
        <v>26</v>
      </c>
      <c r="P144" t="s">
        <v>26</v>
      </c>
      <c r="Q144" s="3">
        <v>33</v>
      </c>
      <c r="R144" t="s">
        <v>27</v>
      </c>
      <c r="S144" t="s">
        <v>30</v>
      </c>
    </row>
    <row r="145" spans="1:19" x14ac:dyDescent="0.25">
      <c r="A145">
        <v>144</v>
      </c>
      <c r="B145">
        <v>30</v>
      </c>
      <c r="C145" t="s">
        <v>19</v>
      </c>
      <c r="D145" t="s">
        <v>64</v>
      </c>
      <c r="E145" t="s">
        <v>65</v>
      </c>
      <c r="F145" s="1">
        <v>48</v>
      </c>
      <c r="G145" t="s">
        <v>70</v>
      </c>
      <c r="H145" t="s">
        <v>45</v>
      </c>
      <c r="I145" t="s">
        <v>118</v>
      </c>
      <c r="J145" t="s">
        <v>58</v>
      </c>
      <c r="K145" s="2">
        <v>2.7</v>
      </c>
      <c r="L145" t="s">
        <v>26</v>
      </c>
      <c r="M145" t="s">
        <v>34</v>
      </c>
      <c r="N145" t="s">
        <v>76</v>
      </c>
      <c r="O145" t="s">
        <v>26</v>
      </c>
      <c r="P145" t="s">
        <v>26</v>
      </c>
      <c r="Q145" s="3">
        <v>25</v>
      </c>
      <c r="R145" t="s">
        <v>46</v>
      </c>
      <c r="S145" t="s">
        <v>60</v>
      </c>
    </row>
    <row r="146" spans="1:19" x14ac:dyDescent="0.25">
      <c r="A146">
        <v>145</v>
      </c>
      <c r="B146">
        <v>19</v>
      </c>
      <c r="C146" t="s">
        <v>19</v>
      </c>
      <c r="D146" t="s">
        <v>73</v>
      </c>
      <c r="E146" t="s">
        <v>43</v>
      </c>
      <c r="F146" s="1">
        <v>43</v>
      </c>
      <c r="G146" t="s">
        <v>127</v>
      </c>
      <c r="H146" t="s">
        <v>45</v>
      </c>
      <c r="I146" t="s">
        <v>67</v>
      </c>
      <c r="J146" t="s">
        <v>58</v>
      </c>
      <c r="K146" s="2">
        <v>3.2</v>
      </c>
      <c r="L146" t="s">
        <v>26</v>
      </c>
      <c r="M146" t="s">
        <v>27</v>
      </c>
      <c r="N146" t="s">
        <v>28</v>
      </c>
      <c r="O146" t="s">
        <v>26</v>
      </c>
      <c r="P146" t="s">
        <v>26</v>
      </c>
      <c r="Q146" s="3">
        <v>25</v>
      </c>
      <c r="R146" t="s">
        <v>35</v>
      </c>
      <c r="S146" t="s">
        <v>88</v>
      </c>
    </row>
    <row r="147" spans="1:19" x14ac:dyDescent="0.25">
      <c r="A147">
        <v>146</v>
      </c>
      <c r="B147">
        <v>24</v>
      </c>
      <c r="C147" t="s">
        <v>19</v>
      </c>
      <c r="D147" t="s">
        <v>106</v>
      </c>
      <c r="E147" t="s">
        <v>69</v>
      </c>
      <c r="F147" s="1">
        <v>95</v>
      </c>
      <c r="G147" t="s">
        <v>70</v>
      </c>
      <c r="H147" t="s">
        <v>45</v>
      </c>
      <c r="I147" t="s">
        <v>86</v>
      </c>
      <c r="J147" t="s">
        <v>58</v>
      </c>
      <c r="K147" s="2">
        <v>4.5</v>
      </c>
      <c r="L147" t="s">
        <v>26</v>
      </c>
      <c r="M147" t="s">
        <v>29</v>
      </c>
      <c r="N147" t="s">
        <v>55</v>
      </c>
      <c r="O147" t="s">
        <v>26</v>
      </c>
      <c r="P147" t="s">
        <v>26</v>
      </c>
      <c r="Q147" s="3">
        <v>44</v>
      </c>
      <c r="R147" t="s">
        <v>59</v>
      </c>
      <c r="S147" t="s">
        <v>60</v>
      </c>
    </row>
    <row r="148" spans="1:19" x14ac:dyDescent="0.25">
      <c r="A148">
        <v>147</v>
      </c>
      <c r="B148">
        <v>52</v>
      </c>
      <c r="C148" t="s">
        <v>19</v>
      </c>
      <c r="D148" t="s">
        <v>87</v>
      </c>
      <c r="E148" t="s">
        <v>21</v>
      </c>
      <c r="F148" s="1">
        <v>30</v>
      </c>
      <c r="G148" t="s">
        <v>112</v>
      </c>
      <c r="H148" t="s">
        <v>38</v>
      </c>
      <c r="I148" t="s">
        <v>94</v>
      </c>
      <c r="J148" t="s">
        <v>58</v>
      </c>
      <c r="K148" s="2">
        <v>4</v>
      </c>
      <c r="L148" t="s">
        <v>26</v>
      </c>
      <c r="M148" t="s">
        <v>59</v>
      </c>
      <c r="N148" t="s">
        <v>55</v>
      </c>
      <c r="O148" t="s">
        <v>26</v>
      </c>
      <c r="P148" t="s">
        <v>26</v>
      </c>
      <c r="Q148" s="3">
        <v>21</v>
      </c>
      <c r="R148" t="s">
        <v>29</v>
      </c>
      <c r="S148" t="s">
        <v>30</v>
      </c>
    </row>
    <row r="149" spans="1:19" x14ac:dyDescent="0.25">
      <c r="A149">
        <v>148</v>
      </c>
      <c r="B149">
        <v>63</v>
      </c>
      <c r="C149" t="s">
        <v>19</v>
      </c>
      <c r="D149" t="s">
        <v>73</v>
      </c>
      <c r="E149" t="s">
        <v>43</v>
      </c>
      <c r="F149" s="1">
        <v>64</v>
      </c>
      <c r="G149" t="s">
        <v>135</v>
      </c>
      <c r="H149" t="s">
        <v>45</v>
      </c>
      <c r="I149" t="s">
        <v>75</v>
      </c>
      <c r="J149" t="s">
        <v>54</v>
      </c>
      <c r="K149" s="2">
        <v>3.5</v>
      </c>
      <c r="L149" t="s">
        <v>26</v>
      </c>
      <c r="M149" t="s">
        <v>34</v>
      </c>
      <c r="N149" t="s">
        <v>72</v>
      </c>
      <c r="O149" t="s">
        <v>26</v>
      </c>
      <c r="P149" t="s">
        <v>26</v>
      </c>
      <c r="Q149" s="3">
        <v>31</v>
      </c>
      <c r="R149" t="s">
        <v>34</v>
      </c>
      <c r="S149" t="s">
        <v>30</v>
      </c>
    </row>
    <row r="150" spans="1:19" x14ac:dyDescent="0.25">
      <c r="A150">
        <v>149</v>
      </c>
      <c r="B150">
        <v>37</v>
      </c>
      <c r="C150" t="s">
        <v>19</v>
      </c>
      <c r="D150" t="s">
        <v>143</v>
      </c>
      <c r="E150" t="s">
        <v>69</v>
      </c>
      <c r="F150" s="1">
        <v>90</v>
      </c>
      <c r="G150" t="s">
        <v>52</v>
      </c>
      <c r="H150" t="s">
        <v>45</v>
      </c>
      <c r="I150" t="s">
        <v>24</v>
      </c>
      <c r="J150" t="s">
        <v>58</v>
      </c>
      <c r="K150" s="2">
        <v>2.6</v>
      </c>
      <c r="L150" t="s">
        <v>26</v>
      </c>
      <c r="M150" t="s">
        <v>46</v>
      </c>
      <c r="N150" t="s">
        <v>76</v>
      </c>
      <c r="O150" t="s">
        <v>26</v>
      </c>
      <c r="P150" t="s">
        <v>26</v>
      </c>
      <c r="Q150" s="3">
        <v>47</v>
      </c>
      <c r="R150" t="s">
        <v>59</v>
      </c>
      <c r="S150" t="s">
        <v>50</v>
      </c>
    </row>
    <row r="151" spans="1:19" x14ac:dyDescent="0.25">
      <c r="A151">
        <v>150</v>
      </c>
      <c r="B151">
        <v>38</v>
      </c>
      <c r="C151" t="s">
        <v>19</v>
      </c>
      <c r="D151" t="s">
        <v>95</v>
      </c>
      <c r="E151" t="s">
        <v>21</v>
      </c>
      <c r="F151" s="1">
        <v>76</v>
      </c>
      <c r="G151" t="s">
        <v>80</v>
      </c>
      <c r="H151" t="s">
        <v>45</v>
      </c>
      <c r="I151" t="s">
        <v>53</v>
      </c>
      <c r="J151" t="s">
        <v>54</v>
      </c>
      <c r="K151" s="2">
        <v>3.2</v>
      </c>
      <c r="L151" t="s">
        <v>26</v>
      </c>
      <c r="M151" t="s">
        <v>29</v>
      </c>
      <c r="N151" t="s">
        <v>40</v>
      </c>
      <c r="O151" t="s">
        <v>26</v>
      </c>
      <c r="P151" t="s">
        <v>26</v>
      </c>
      <c r="Q151" s="3">
        <v>14</v>
      </c>
      <c r="R151" t="s">
        <v>46</v>
      </c>
      <c r="S151" t="s">
        <v>88</v>
      </c>
    </row>
    <row r="152" spans="1:19" x14ac:dyDescent="0.25">
      <c r="A152">
        <v>151</v>
      </c>
      <c r="B152">
        <v>35</v>
      </c>
      <c r="C152" t="s">
        <v>19</v>
      </c>
      <c r="D152" t="s">
        <v>137</v>
      </c>
      <c r="E152" t="s">
        <v>43</v>
      </c>
      <c r="F152" s="1">
        <v>96</v>
      </c>
      <c r="G152" t="s">
        <v>99</v>
      </c>
      <c r="H152" t="s">
        <v>23</v>
      </c>
      <c r="I152" t="s">
        <v>109</v>
      </c>
      <c r="J152" t="s">
        <v>58</v>
      </c>
      <c r="K152" s="2">
        <v>4.9000000000000004</v>
      </c>
      <c r="L152" t="s">
        <v>26</v>
      </c>
      <c r="M152" t="s">
        <v>34</v>
      </c>
      <c r="N152" t="s">
        <v>55</v>
      </c>
      <c r="O152" t="s">
        <v>26</v>
      </c>
      <c r="P152" t="s">
        <v>26</v>
      </c>
      <c r="Q152" s="3">
        <v>17</v>
      </c>
      <c r="R152" t="s">
        <v>59</v>
      </c>
      <c r="S152" t="s">
        <v>97</v>
      </c>
    </row>
    <row r="153" spans="1:19" x14ac:dyDescent="0.25">
      <c r="A153">
        <v>152</v>
      </c>
      <c r="B153">
        <v>28</v>
      </c>
      <c r="C153" t="s">
        <v>19</v>
      </c>
      <c r="D153" t="s">
        <v>89</v>
      </c>
      <c r="E153" t="s">
        <v>69</v>
      </c>
      <c r="F153" s="1">
        <v>47</v>
      </c>
      <c r="G153" t="s">
        <v>114</v>
      </c>
      <c r="H153" t="s">
        <v>23</v>
      </c>
      <c r="I153" t="s">
        <v>49</v>
      </c>
      <c r="J153" t="s">
        <v>58</v>
      </c>
      <c r="K153" s="2">
        <v>4.5</v>
      </c>
      <c r="L153" t="s">
        <v>26</v>
      </c>
      <c r="M153" t="s">
        <v>59</v>
      </c>
      <c r="N153" t="s">
        <v>47</v>
      </c>
      <c r="O153" t="s">
        <v>26</v>
      </c>
      <c r="P153" t="s">
        <v>26</v>
      </c>
      <c r="Q153" s="3">
        <v>3</v>
      </c>
      <c r="R153" t="s">
        <v>29</v>
      </c>
      <c r="S153" t="s">
        <v>50</v>
      </c>
    </row>
    <row r="154" spans="1:19" x14ac:dyDescent="0.25">
      <c r="A154">
        <v>153</v>
      </c>
      <c r="B154">
        <v>30</v>
      </c>
      <c r="C154" t="s">
        <v>19</v>
      </c>
      <c r="D154" t="s">
        <v>56</v>
      </c>
      <c r="E154" t="s">
        <v>21</v>
      </c>
      <c r="F154" s="1">
        <v>85</v>
      </c>
      <c r="G154" t="s">
        <v>131</v>
      </c>
      <c r="H154" t="s">
        <v>38</v>
      </c>
      <c r="I154" t="s">
        <v>110</v>
      </c>
      <c r="J154" t="s">
        <v>54</v>
      </c>
      <c r="K154" s="2">
        <v>4.3</v>
      </c>
      <c r="L154" t="s">
        <v>26</v>
      </c>
      <c r="M154" t="s">
        <v>46</v>
      </c>
      <c r="N154" t="s">
        <v>28</v>
      </c>
      <c r="O154" t="s">
        <v>26</v>
      </c>
      <c r="P154" t="s">
        <v>26</v>
      </c>
      <c r="Q154" s="3">
        <v>42</v>
      </c>
      <c r="R154" t="s">
        <v>29</v>
      </c>
      <c r="S154" t="s">
        <v>50</v>
      </c>
    </row>
    <row r="155" spans="1:19" x14ac:dyDescent="0.25">
      <c r="A155">
        <v>154</v>
      </c>
      <c r="B155">
        <v>69</v>
      </c>
      <c r="C155" t="s">
        <v>19</v>
      </c>
      <c r="D155" t="s">
        <v>104</v>
      </c>
      <c r="E155" t="s">
        <v>21</v>
      </c>
      <c r="F155" s="1">
        <v>55</v>
      </c>
      <c r="G155" t="s">
        <v>98</v>
      </c>
      <c r="H155" t="s">
        <v>45</v>
      </c>
      <c r="I155" t="s">
        <v>33</v>
      </c>
      <c r="J155" t="s">
        <v>25</v>
      </c>
      <c r="K155" s="2">
        <v>3.2</v>
      </c>
      <c r="L155" t="s">
        <v>26</v>
      </c>
      <c r="M155" t="s">
        <v>59</v>
      </c>
      <c r="N155" t="s">
        <v>55</v>
      </c>
      <c r="O155" t="s">
        <v>26</v>
      </c>
      <c r="P155" t="s">
        <v>26</v>
      </c>
      <c r="Q155" s="3">
        <v>22</v>
      </c>
      <c r="R155" t="s">
        <v>59</v>
      </c>
      <c r="S155" t="s">
        <v>50</v>
      </c>
    </row>
    <row r="156" spans="1:19" x14ac:dyDescent="0.25">
      <c r="A156">
        <v>155</v>
      </c>
      <c r="B156">
        <v>41</v>
      </c>
      <c r="C156" t="s">
        <v>19</v>
      </c>
      <c r="D156" t="s">
        <v>82</v>
      </c>
      <c r="E156" t="s">
        <v>21</v>
      </c>
      <c r="F156" s="1">
        <v>98</v>
      </c>
      <c r="G156" t="s">
        <v>101</v>
      </c>
      <c r="H156" t="s">
        <v>45</v>
      </c>
      <c r="I156" t="s">
        <v>63</v>
      </c>
      <c r="J156" t="s">
        <v>58</v>
      </c>
      <c r="K156" s="2">
        <v>3.6</v>
      </c>
      <c r="L156" t="s">
        <v>26</v>
      </c>
      <c r="M156" t="s">
        <v>59</v>
      </c>
      <c r="N156" t="s">
        <v>47</v>
      </c>
      <c r="O156" t="s">
        <v>26</v>
      </c>
      <c r="P156" t="s">
        <v>26</v>
      </c>
      <c r="Q156" s="3">
        <v>21</v>
      </c>
      <c r="R156" t="s">
        <v>29</v>
      </c>
      <c r="S156" t="s">
        <v>60</v>
      </c>
    </row>
    <row r="157" spans="1:19" x14ac:dyDescent="0.25">
      <c r="A157">
        <v>156</v>
      </c>
      <c r="B157">
        <v>63</v>
      </c>
      <c r="C157" t="s">
        <v>19</v>
      </c>
      <c r="D157" t="s">
        <v>125</v>
      </c>
      <c r="E157" t="s">
        <v>21</v>
      </c>
      <c r="F157" s="1">
        <v>77</v>
      </c>
      <c r="G157" t="s">
        <v>32</v>
      </c>
      <c r="H157" t="s">
        <v>38</v>
      </c>
      <c r="I157" t="s">
        <v>79</v>
      </c>
      <c r="J157" t="s">
        <v>39</v>
      </c>
      <c r="K157" s="2">
        <v>4.3</v>
      </c>
      <c r="L157" t="s">
        <v>26</v>
      </c>
      <c r="M157" t="s">
        <v>35</v>
      </c>
      <c r="N157" t="s">
        <v>40</v>
      </c>
      <c r="O157" t="s">
        <v>26</v>
      </c>
      <c r="P157" t="s">
        <v>26</v>
      </c>
      <c r="Q157" s="3">
        <v>21</v>
      </c>
      <c r="R157" t="s">
        <v>34</v>
      </c>
      <c r="S157" t="s">
        <v>60</v>
      </c>
    </row>
    <row r="158" spans="1:19" x14ac:dyDescent="0.25">
      <c r="A158">
        <v>157</v>
      </c>
      <c r="B158">
        <v>35</v>
      </c>
      <c r="C158" t="s">
        <v>19</v>
      </c>
      <c r="D158" t="s">
        <v>61</v>
      </c>
      <c r="E158" t="s">
        <v>21</v>
      </c>
      <c r="F158" s="1">
        <v>26</v>
      </c>
      <c r="G158" t="s">
        <v>70</v>
      </c>
      <c r="H158" t="s">
        <v>45</v>
      </c>
      <c r="I158" t="s">
        <v>93</v>
      </c>
      <c r="J158" t="s">
        <v>58</v>
      </c>
      <c r="K158" s="2">
        <v>4</v>
      </c>
      <c r="L158" t="s">
        <v>26</v>
      </c>
      <c r="M158" t="s">
        <v>29</v>
      </c>
      <c r="N158" t="s">
        <v>55</v>
      </c>
      <c r="O158" t="s">
        <v>26</v>
      </c>
      <c r="P158" t="s">
        <v>26</v>
      </c>
      <c r="Q158" s="3">
        <v>40</v>
      </c>
      <c r="R158" t="s">
        <v>59</v>
      </c>
      <c r="S158" t="s">
        <v>50</v>
      </c>
    </row>
    <row r="159" spans="1:19" x14ac:dyDescent="0.25">
      <c r="A159">
        <v>158</v>
      </c>
      <c r="B159">
        <v>36</v>
      </c>
      <c r="C159" t="s">
        <v>19</v>
      </c>
      <c r="D159" t="s">
        <v>124</v>
      </c>
      <c r="E159" t="s">
        <v>69</v>
      </c>
      <c r="F159" s="1">
        <v>68</v>
      </c>
      <c r="G159" t="s">
        <v>129</v>
      </c>
      <c r="H159" t="s">
        <v>38</v>
      </c>
      <c r="I159" t="s">
        <v>134</v>
      </c>
      <c r="J159" t="s">
        <v>58</v>
      </c>
      <c r="K159" s="2">
        <v>3</v>
      </c>
      <c r="L159" t="s">
        <v>26</v>
      </c>
      <c r="M159" t="s">
        <v>59</v>
      </c>
      <c r="N159" t="s">
        <v>47</v>
      </c>
      <c r="O159" t="s">
        <v>26</v>
      </c>
      <c r="P159" t="s">
        <v>26</v>
      </c>
      <c r="Q159" s="3">
        <v>1</v>
      </c>
      <c r="R159" t="s">
        <v>34</v>
      </c>
      <c r="S159" t="s">
        <v>30</v>
      </c>
    </row>
    <row r="160" spans="1:19" x14ac:dyDescent="0.25">
      <c r="A160">
        <v>159</v>
      </c>
      <c r="B160">
        <v>25</v>
      </c>
      <c r="C160" t="s">
        <v>19</v>
      </c>
      <c r="D160" t="s">
        <v>56</v>
      </c>
      <c r="E160" t="s">
        <v>21</v>
      </c>
      <c r="F160" s="1">
        <v>73</v>
      </c>
      <c r="G160" t="s">
        <v>139</v>
      </c>
      <c r="H160" t="s">
        <v>92</v>
      </c>
      <c r="I160" t="s">
        <v>86</v>
      </c>
      <c r="J160" t="s">
        <v>58</v>
      </c>
      <c r="K160" s="2">
        <v>4.0999999999999996</v>
      </c>
      <c r="L160" t="s">
        <v>26</v>
      </c>
      <c r="M160" t="s">
        <v>34</v>
      </c>
      <c r="N160" t="s">
        <v>55</v>
      </c>
      <c r="O160" t="s">
        <v>26</v>
      </c>
      <c r="P160" t="s">
        <v>26</v>
      </c>
      <c r="Q160" s="3">
        <v>50</v>
      </c>
      <c r="R160" t="s">
        <v>34</v>
      </c>
      <c r="S160" t="s">
        <v>88</v>
      </c>
    </row>
    <row r="161" spans="1:19" x14ac:dyDescent="0.25">
      <c r="A161">
        <v>160</v>
      </c>
      <c r="B161">
        <v>58</v>
      </c>
      <c r="C161" t="s">
        <v>19</v>
      </c>
      <c r="D161" t="s">
        <v>143</v>
      </c>
      <c r="E161" t="s">
        <v>69</v>
      </c>
      <c r="F161" s="1">
        <v>27</v>
      </c>
      <c r="G161" t="s">
        <v>83</v>
      </c>
      <c r="H161" t="s">
        <v>45</v>
      </c>
      <c r="I161" t="s">
        <v>63</v>
      </c>
      <c r="J161" t="s">
        <v>58</v>
      </c>
      <c r="K161" s="2">
        <v>3.8</v>
      </c>
      <c r="L161" t="s">
        <v>26</v>
      </c>
      <c r="M161" t="s">
        <v>59</v>
      </c>
      <c r="N161" t="s">
        <v>76</v>
      </c>
      <c r="O161" t="s">
        <v>26</v>
      </c>
      <c r="P161" t="s">
        <v>26</v>
      </c>
      <c r="Q161" s="3">
        <v>39</v>
      </c>
      <c r="R161" t="s">
        <v>34</v>
      </c>
      <c r="S161" t="s">
        <v>97</v>
      </c>
    </row>
    <row r="162" spans="1:19" x14ac:dyDescent="0.25">
      <c r="A162">
        <v>161</v>
      </c>
      <c r="B162">
        <v>27</v>
      </c>
      <c r="C162" t="s">
        <v>19</v>
      </c>
      <c r="D162" t="s">
        <v>143</v>
      </c>
      <c r="E162" t="s">
        <v>69</v>
      </c>
      <c r="F162" s="1">
        <v>23</v>
      </c>
      <c r="G162" t="s">
        <v>105</v>
      </c>
      <c r="H162" t="s">
        <v>45</v>
      </c>
      <c r="I162" t="s">
        <v>121</v>
      </c>
      <c r="J162" t="s">
        <v>54</v>
      </c>
      <c r="K162" s="2">
        <v>4.5999999999999996</v>
      </c>
      <c r="L162" t="s">
        <v>26</v>
      </c>
      <c r="M162" t="s">
        <v>34</v>
      </c>
      <c r="N162" t="s">
        <v>40</v>
      </c>
      <c r="O162" t="s">
        <v>26</v>
      </c>
      <c r="P162" t="s">
        <v>26</v>
      </c>
      <c r="Q162" s="3">
        <v>34</v>
      </c>
      <c r="R162" t="s">
        <v>29</v>
      </c>
      <c r="S162" t="s">
        <v>88</v>
      </c>
    </row>
    <row r="163" spans="1:19" x14ac:dyDescent="0.25">
      <c r="A163">
        <v>162</v>
      </c>
      <c r="B163">
        <v>65</v>
      </c>
      <c r="C163" t="s">
        <v>19</v>
      </c>
      <c r="D163" t="s">
        <v>132</v>
      </c>
      <c r="E163" t="s">
        <v>69</v>
      </c>
      <c r="F163" s="1">
        <v>49</v>
      </c>
      <c r="G163" t="s">
        <v>114</v>
      </c>
      <c r="H163" t="s">
        <v>45</v>
      </c>
      <c r="I163" t="s">
        <v>79</v>
      </c>
      <c r="J163" t="s">
        <v>58</v>
      </c>
      <c r="K163" s="2">
        <v>3</v>
      </c>
      <c r="L163" t="s">
        <v>26</v>
      </c>
      <c r="M163" t="s">
        <v>29</v>
      </c>
      <c r="N163" t="s">
        <v>28</v>
      </c>
      <c r="O163" t="s">
        <v>26</v>
      </c>
      <c r="P163" t="s">
        <v>26</v>
      </c>
      <c r="Q163" s="3">
        <v>29</v>
      </c>
      <c r="R163" t="s">
        <v>29</v>
      </c>
      <c r="S163" t="s">
        <v>30</v>
      </c>
    </row>
    <row r="164" spans="1:19" x14ac:dyDescent="0.25">
      <c r="A164">
        <v>163</v>
      </c>
      <c r="B164">
        <v>54</v>
      </c>
      <c r="C164" t="s">
        <v>19</v>
      </c>
      <c r="D164" t="s">
        <v>89</v>
      </c>
      <c r="E164" t="s">
        <v>69</v>
      </c>
      <c r="F164" s="1">
        <v>74</v>
      </c>
      <c r="G164" t="s">
        <v>99</v>
      </c>
      <c r="H164" t="s">
        <v>45</v>
      </c>
      <c r="I164" t="s">
        <v>49</v>
      </c>
      <c r="J164" t="s">
        <v>54</v>
      </c>
      <c r="K164" s="2">
        <v>3</v>
      </c>
      <c r="L164" t="s">
        <v>26</v>
      </c>
      <c r="M164" t="s">
        <v>27</v>
      </c>
      <c r="N164" t="s">
        <v>76</v>
      </c>
      <c r="O164" t="s">
        <v>26</v>
      </c>
      <c r="P164" t="s">
        <v>26</v>
      </c>
      <c r="Q164" s="3">
        <v>31</v>
      </c>
      <c r="R164" t="s">
        <v>46</v>
      </c>
      <c r="S164" t="s">
        <v>77</v>
      </c>
    </row>
    <row r="165" spans="1:19" x14ac:dyDescent="0.25">
      <c r="A165">
        <v>164</v>
      </c>
      <c r="B165">
        <v>54</v>
      </c>
      <c r="C165" t="s">
        <v>19</v>
      </c>
      <c r="D165" t="s">
        <v>87</v>
      </c>
      <c r="E165" t="s">
        <v>21</v>
      </c>
      <c r="F165" s="1">
        <v>67</v>
      </c>
      <c r="G165" t="s">
        <v>141</v>
      </c>
      <c r="H165" t="s">
        <v>45</v>
      </c>
      <c r="I165" t="s">
        <v>75</v>
      </c>
      <c r="J165" t="s">
        <v>54</v>
      </c>
      <c r="K165" s="2">
        <v>3.4</v>
      </c>
      <c r="L165" t="s">
        <v>26</v>
      </c>
      <c r="M165" t="s">
        <v>46</v>
      </c>
      <c r="N165" t="s">
        <v>55</v>
      </c>
      <c r="O165" t="s">
        <v>26</v>
      </c>
      <c r="P165" t="s">
        <v>26</v>
      </c>
      <c r="Q165" s="3">
        <v>8</v>
      </c>
      <c r="R165" t="s">
        <v>59</v>
      </c>
      <c r="S165" t="s">
        <v>41</v>
      </c>
    </row>
    <row r="166" spans="1:19" x14ac:dyDescent="0.25">
      <c r="A166">
        <v>165</v>
      </c>
      <c r="B166">
        <v>59</v>
      </c>
      <c r="C166" t="s">
        <v>19</v>
      </c>
      <c r="D166" t="s">
        <v>68</v>
      </c>
      <c r="E166" t="s">
        <v>69</v>
      </c>
      <c r="F166" s="1">
        <v>65</v>
      </c>
      <c r="G166" t="s">
        <v>80</v>
      </c>
      <c r="H166" t="s">
        <v>38</v>
      </c>
      <c r="I166" t="s">
        <v>75</v>
      </c>
      <c r="J166" t="s">
        <v>39</v>
      </c>
      <c r="K166" s="2">
        <v>2.6</v>
      </c>
      <c r="L166" t="s">
        <v>26</v>
      </c>
      <c r="M166" t="s">
        <v>59</v>
      </c>
      <c r="N166" t="s">
        <v>40</v>
      </c>
      <c r="O166" t="s">
        <v>26</v>
      </c>
      <c r="P166" t="s">
        <v>26</v>
      </c>
      <c r="Q166" s="3">
        <v>5</v>
      </c>
      <c r="R166" t="s">
        <v>27</v>
      </c>
      <c r="S166" t="s">
        <v>30</v>
      </c>
    </row>
    <row r="167" spans="1:19" x14ac:dyDescent="0.25">
      <c r="A167">
        <v>166</v>
      </c>
      <c r="B167">
        <v>42</v>
      </c>
      <c r="C167" t="s">
        <v>19</v>
      </c>
      <c r="D167" t="s">
        <v>68</v>
      </c>
      <c r="E167" t="s">
        <v>69</v>
      </c>
      <c r="F167" s="1">
        <v>60</v>
      </c>
      <c r="G167" t="s">
        <v>22</v>
      </c>
      <c r="H167" t="s">
        <v>38</v>
      </c>
      <c r="I167" t="s">
        <v>134</v>
      </c>
      <c r="J167" t="s">
        <v>25</v>
      </c>
      <c r="K167" s="2">
        <v>2.8</v>
      </c>
      <c r="L167" t="s">
        <v>26</v>
      </c>
      <c r="M167" t="s">
        <v>27</v>
      </c>
      <c r="N167" t="s">
        <v>76</v>
      </c>
      <c r="O167" t="s">
        <v>26</v>
      </c>
      <c r="P167" t="s">
        <v>26</v>
      </c>
      <c r="Q167" s="3">
        <v>7</v>
      </c>
      <c r="R167" t="s">
        <v>35</v>
      </c>
      <c r="S167" t="s">
        <v>88</v>
      </c>
    </row>
    <row r="168" spans="1:19" x14ac:dyDescent="0.25">
      <c r="A168">
        <v>167</v>
      </c>
      <c r="B168">
        <v>46</v>
      </c>
      <c r="C168" t="s">
        <v>19</v>
      </c>
      <c r="D168" t="s">
        <v>51</v>
      </c>
      <c r="E168" t="s">
        <v>43</v>
      </c>
      <c r="F168" s="1">
        <v>31</v>
      </c>
      <c r="G168" t="s">
        <v>80</v>
      </c>
      <c r="H168" t="s">
        <v>92</v>
      </c>
      <c r="I168" t="s">
        <v>126</v>
      </c>
      <c r="J168" t="s">
        <v>58</v>
      </c>
      <c r="K168" s="2">
        <v>4</v>
      </c>
      <c r="L168" t="s">
        <v>26</v>
      </c>
      <c r="M168" t="s">
        <v>35</v>
      </c>
      <c r="N168" t="s">
        <v>76</v>
      </c>
      <c r="O168" t="s">
        <v>26</v>
      </c>
      <c r="P168" t="s">
        <v>26</v>
      </c>
      <c r="Q168" s="3">
        <v>30</v>
      </c>
      <c r="R168" t="s">
        <v>35</v>
      </c>
      <c r="S168" t="s">
        <v>88</v>
      </c>
    </row>
    <row r="169" spans="1:19" x14ac:dyDescent="0.25">
      <c r="A169">
        <v>168</v>
      </c>
      <c r="B169">
        <v>33</v>
      </c>
      <c r="C169" t="s">
        <v>19</v>
      </c>
      <c r="D169" t="s">
        <v>143</v>
      </c>
      <c r="E169" t="s">
        <v>69</v>
      </c>
      <c r="F169" s="1">
        <v>27</v>
      </c>
      <c r="G169" t="s">
        <v>74</v>
      </c>
      <c r="H169" t="s">
        <v>45</v>
      </c>
      <c r="I169" t="s">
        <v>96</v>
      </c>
      <c r="J169" t="s">
        <v>58</v>
      </c>
      <c r="K169" s="2">
        <v>4</v>
      </c>
      <c r="L169" t="s">
        <v>26</v>
      </c>
      <c r="M169" t="s">
        <v>29</v>
      </c>
      <c r="N169" t="s">
        <v>28</v>
      </c>
      <c r="O169" t="s">
        <v>26</v>
      </c>
      <c r="P169" t="s">
        <v>26</v>
      </c>
      <c r="Q169" s="3">
        <v>14</v>
      </c>
      <c r="R169" t="s">
        <v>27</v>
      </c>
      <c r="S169" t="s">
        <v>97</v>
      </c>
    </row>
    <row r="170" spans="1:19" x14ac:dyDescent="0.25">
      <c r="A170">
        <v>169</v>
      </c>
      <c r="B170">
        <v>34</v>
      </c>
      <c r="C170" t="s">
        <v>19</v>
      </c>
      <c r="D170" t="s">
        <v>73</v>
      </c>
      <c r="E170" t="s">
        <v>43</v>
      </c>
      <c r="F170" s="1">
        <v>80</v>
      </c>
      <c r="G170" t="s">
        <v>62</v>
      </c>
      <c r="H170" t="s">
        <v>45</v>
      </c>
      <c r="I170" t="s">
        <v>136</v>
      </c>
      <c r="J170" t="s">
        <v>54</v>
      </c>
      <c r="K170" s="2">
        <v>3</v>
      </c>
      <c r="L170" t="s">
        <v>26</v>
      </c>
      <c r="M170" t="s">
        <v>34</v>
      </c>
      <c r="N170" t="s">
        <v>28</v>
      </c>
      <c r="O170" t="s">
        <v>26</v>
      </c>
      <c r="P170" t="s">
        <v>26</v>
      </c>
      <c r="Q170" s="3">
        <v>5</v>
      </c>
      <c r="R170" t="s">
        <v>35</v>
      </c>
      <c r="S170" t="s">
        <v>30</v>
      </c>
    </row>
    <row r="171" spans="1:19" x14ac:dyDescent="0.25">
      <c r="A171">
        <v>170</v>
      </c>
      <c r="B171">
        <v>27</v>
      </c>
      <c r="C171" t="s">
        <v>19</v>
      </c>
      <c r="D171" t="s">
        <v>102</v>
      </c>
      <c r="E171" t="s">
        <v>65</v>
      </c>
      <c r="F171" s="1">
        <v>30</v>
      </c>
      <c r="G171" t="s">
        <v>107</v>
      </c>
      <c r="H171" t="s">
        <v>38</v>
      </c>
      <c r="I171" t="s">
        <v>81</v>
      </c>
      <c r="J171" t="s">
        <v>54</v>
      </c>
      <c r="K171" s="2">
        <v>3.3</v>
      </c>
      <c r="L171" t="s">
        <v>26</v>
      </c>
      <c r="M171" t="s">
        <v>27</v>
      </c>
      <c r="N171" t="s">
        <v>55</v>
      </c>
      <c r="O171" t="s">
        <v>26</v>
      </c>
      <c r="P171" t="s">
        <v>26</v>
      </c>
      <c r="Q171" s="3">
        <v>3</v>
      </c>
      <c r="R171" t="s">
        <v>46</v>
      </c>
      <c r="S171" t="s">
        <v>97</v>
      </c>
    </row>
    <row r="172" spans="1:19" x14ac:dyDescent="0.25">
      <c r="A172">
        <v>171</v>
      </c>
      <c r="B172">
        <v>52</v>
      </c>
      <c r="C172" t="s">
        <v>19</v>
      </c>
      <c r="D172" t="s">
        <v>56</v>
      </c>
      <c r="E172" t="s">
        <v>21</v>
      </c>
      <c r="F172" s="1">
        <v>25</v>
      </c>
      <c r="G172" t="s">
        <v>52</v>
      </c>
      <c r="H172" t="s">
        <v>45</v>
      </c>
      <c r="I172" t="s">
        <v>33</v>
      </c>
      <c r="J172" t="s">
        <v>58</v>
      </c>
      <c r="K172" s="2">
        <v>2.6</v>
      </c>
      <c r="L172" t="s">
        <v>26</v>
      </c>
      <c r="M172" t="s">
        <v>29</v>
      </c>
      <c r="N172" t="s">
        <v>76</v>
      </c>
      <c r="O172" t="s">
        <v>26</v>
      </c>
      <c r="P172" t="s">
        <v>26</v>
      </c>
      <c r="Q172" s="3">
        <v>46</v>
      </c>
      <c r="R172" t="s">
        <v>29</v>
      </c>
      <c r="S172" t="s">
        <v>77</v>
      </c>
    </row>
    <row r="173" spans="1:19" x14ac:dyDescent="0.25">
      <c r="A173">
        <v>172</v>
      </c>
      <c r="B173">
        <v>29</v>
      </c>
      <c r="C173" t="s">
        <v>19</v>
      </c>
      <c r="D173" t="s">
        <v>61</v>
      </c>
      <c r="E173" t="s">
        <v>21</v>
      </c>
      <c r="F173" s="1">
        <v>35</v>
      </c>
      <c r="G173" t="s">
        <v>141</v>
      </c>
      <c r="H173" t="s">
        <v>45</v>
      </c>
      <c r="I173" t="s">
        <v>144</v>
      </c>
      <c r="J173" t="s">
        <v>54</v>
      </c>
      <c r="K173" s="2">
        <v>3.6</v>
      </c>
      <c r="L173" t="s">
        <v>26</v>
      </c>
      <c r="M173" t="s">
        <v>59</v>
      </c>
      <c r="N173" t="s">
        <v>76</v>
      </c>
      <c r="O173" t="s">
        <v>26</v>
      </c>
      <c r="P173" t="s">
        <v>26</v>
      </c>
      <c r="Q173" s="3">
        <v>4</v>
      </c>
      <c r="R173" t="s">
        <v>27</v>
      </c>
      <c r="S173" t="s">
        <v>41</v>
      </c>
    </row>
    <row r="174" spans="1:19" x14ac:dyDescent="0.25">
      <c r="A174">
        <v>173</v>
      </c>
      <c r="B174">
        <v>54</v>
      </c>
      <c r="C174" t="s">
        <v>19</v>
      </c>
      <c r="D174" t="s">
        <v>106</v>
      </c>
      <c r="E174" t="s">
        <v>69</v>
      </c>
      <c r="F174" s="1">
        <v>67</v>
      </c>
      <c r="G174" t="s">
        <v>145</v>
      </c>
      <c r="H174" t="s">
        <v>45</v>
      </c>
      <c r="I174" t="s">
        <v>84</v>
      </c>
      <c r="J174" t="s">
        <v>54</v>
      </c>
      <c r="K174" s="2">
        <v>3.9</v>
      </c>
      <c r="L174" t="s">
        <v>26</v>
      </c>
      <c r="M174" t="s">
        <v>34</v>
      </c>
      <c r="N174" t="s">
        <v>47</v>
      </c>
      <c r="O174" t="s">
        <v>26</v>
      </c>
      <c r="P174" t="s">
        <v>26</v>
      </c>
      <c r="Q174" s="3">
        <v>42</v>
      </c>
      <c r="R174" t="s">
        <v>27</v>
      </c>
      <c r="S174" t="s">
        <v>77</v>
      </c>
    </row>
    <row r="175" spans="1:19" x14ac:dyDescent="0.25">
      <c r="A175">
        <v>174</v>
      </c>
      <c r="B175">
        <v>25</v>
      </c>
      <c r="C175" t="s">
        <v>19</v>
      </c>
      <c r="D175" t="s">
        <v>124</v>
      </c>
      <c r="E175" t="s">
        <v>69</v>
      </c>
      <c r="F175" s="1">
        <v>46</v>
      </c>
      <c r="G175" t="s">
        <v>78</v>
      </c>
      <c r="H175" t="s">
        <v>45</v>
      </c>
      <c r="I175" t="s">
        <v>49</v>
      </c>
      <c r="J175" t="s">
        <v>58</v>
      </c>
      <c r="K175" s="2">
        <v>3.4</v>
      </c>
      <c r="L175" t="s">
        <v>26</v>
      </c>
      <c r="M175" t="s">
        <v>46</v>
      </c>
      <c r="N175" t="s">
        <v>55</v>
      </c>
      <c r="O175" t="s">
        <v>26</v>
      </c>
      <c r="P175" t="s">
        <v>26</v>
      </c>
      <c r="Q175" s="3">
        <v>30</v>
      </c>
      <c r="R175" t="s">
        <v>35</v>
      </c>
      <c r="S175" t="s">
        <v>50</v>
      </c>
    </row>
    <row r="176" spans="1:19" x14ac:dyDescent="0.25">
      <c r="A176">
        <v>175</v>
      </c>
      <c r="B176">
        <v>41</v>
      </c>
      <c r="C176" t="s">
        <v>19</v>
      </c>
      <c r="D176" t="s">
        <v>73</v>
      </c>
      <c r="E176" t="s">
        <v>43</v>
      </c>
      <c r="F176" s="1">
        <v>35</v>
      </c>
      <c r="G176" t="s">
        <v>129</v>
      </c>
      <c r="H176" t="s">
        <v>23</v>
      </c>
      <c r="I176" t="s">
        <v>110</v>
      </c>
      <c r="J176" t="s">
        <v>25</v>
      </c>
      <c r="K176" s="2">
        <v>3.5</v>
      </c>
      <c r="L176" t="s">
        <v>26</v>
      </c>
      <c r="M176" t="s">
        <v>29</v>
      </c>
      <c r="N176" t="s">
        <v>28</v>
      </c>
      <c r="O176" t="s">
        <v>26</v>
      </c>
      <c r="P176" t="s">
        <v>26</v>
      </c>
      <c r="Q176" s="3">
        <v>37</v>
      </c>
      <c r="R176" t="s">
        <v>29</v>
      </c>
      <c r="S176" t="s">
        <v>50</v>
      </c>
    </row>
    <row r="177" spans="1:19" x14ac:dyDescent="0.25">
      <c r="A177">
        <v>176</v>
      </c>
      <c r="B177">
        <v>53</v>
      </c>
      <c r="C177" t="s">
        <v>19</v>
      </c>
      <c r="D177" t="s">
        <v>64</v>
      </c>
      <c r="E177" t="s">
        <v>65</v>
      </c>
      <c r="F177" s="1">
        <v>86</v>
      </c>
      <c r="G177" t="s">
        <v>101</v>
      </c>
      <c r="H177" t="s">
        <v>23</v>
      </c>
      <c r="I177" t="s">
        <v>84</v>
      </c>
      <c r="J177" t="s">
        <v>58</v>
      </c>
      <c r="K177" s="2">
        <v>2.8</v>
      </c>
      <c r="L177" t="s">
        <v>26</v>
      </c>
      <c r="M177" t="s">
        <v>59</v>
      </c>
      <c r="N177" t="s">
        <v>47</v>
      </c>
      <c r="O177" t="s">
        <v>26</v>
      </c>
      <c r="P177" t="s">
        <v>26</v>
      </c>
      <c r="Q177" s="3">
        <v>2</v>
      </c>
      <c r="R177" t="s">
        <v>34</v>
      </c>
      <c r="S177" t="s">
        <v>50</v>
      </c>
    </row>
    <row r="178" spans="1:19" x14ac:dyDescent="0.25">
      <c r="A178">
        <v>177</v>
      </c>
      <c r="B178">
        <v>53</v>
      </c>
      <c r="C178" t="s">
        <v>19</v>
      </c>
      <c r="D178" t="s">
        <v>132</v>
      </c>
      <c r="E178" t="s">
        <v>69</v>
      </c>
      <c r="F178" s="1">
        <v>81</v>
      </c>
      <c r="G178" t="s">
        <v>83</v>
      </c>
      <c r="H178" t="s">
        <v>23</v>
      </c>
      <c r="I178" t="s">
        <v>94</v>
      </c>
      <c r="J178" t="s">
        <v>39</v>
      </c>
      <c r="K178" s="2">
        <v>2.7</v>
      </c>
      <c r="L178" t="s">
        <v>26</v>
      </c>
      <c r="M178" t="s">
        <v>34</v>
      </c>
      <c r="N178" t="s">
        <v>47</v>
      </c>
      <c r="O178" t="s">
        <v>26</v>
      </c>
      <c r="P178" t="s">
        <v>26</v>
      </c>
      <c r="Q178" s="3">
        <v>30</v>
      </c>
      <c r="R178" t="s">
        <v>27</v>
      </c>
      <c r="S178" t="s">
        <v>60</v>
      </c>
    </row>
    <row r="179" spans="1:19" x14ac:dyDescent="0.25">
      <c r="A179">
        <v>178</v>
      </c>
      <c r="B179">
        <v>21</v>
      </c>
      <c r="C179" t="s">
        <v>19</v>
      </c>
      <c r="D179" t="s">
        <v>104</v>
      </c>
      <c r="E179" t="s">
        <v>21</v>
      </c>
      <c r="F179" s="1">
        <v>42</v>
      </c>
      <c r="G179" t="s">
        <v>111</v>
      </c>
      <c r="H179" t="s">
        <v>23</v>
      </c>
      <c r="I179" t="s">
        <v>136</v>
      </c>
      <c r="J179" t="s">
        <v>58</v>
      </c>
      <c r="K179" s="2">
        <v>3.7</v>
      </c>
      <c r="L179" t="s">
        <v>26</v>
      </c>
      <c r="M179" t="s">
        <v>59</v>
      </c>
      <c r="N179" t="s">
        <v>47</v>
      </c>
      <c r="O179" t="s">
        <v>26</v>
      </c>
      <c r="P179" t="s">
        <v>26</v>
      </c>
      <c r="Q179" s="3">
        <v>47</v>
      </c>
      <c r="R179" t="s">
        <v>34</v>
      </c>
      <c r="S179" t="s">
        <v>88</v>
      </c>
    </row>
    <row r="180" spans="1:19" x14ac:dyDescent="0.25">
      <c r="A180">
        <v>179</v>
      </c>
      <c r="B180">
        <v>61</v>
      </c>
      <c r="C180" t="s">
        <v>19</v>
      </c>
      <c r="D180" t="s">
        <v>87</v>
      </c>
      <c r="E180" t="s">
        <v>21</v>
      </c>
      <c r="F180" s="1">
        <v>43</v>
      </c>
      <c r="G180" t="s">
        <v>135</v>
      </c>
      <c r="H180" t="s">
        <v>23</v>
      </c>
      <c r="I180" t="s">
        <v>93</v>
      </c>
      <c r="J180" t="s">
        <v>58</v>
      </c>
      <c r="K180" s="2">
        <v>4.3</v>
      </c>
      <c r="L180" t="s">
        <v>26</v>
      </c>
      <c r="M180" t="s">
        <v>59</v>
      </c>
      <c r="N180" t="s">
        <v>72</v>
      </c>
      <c r="O180" t="s">
        <v>26</v>
      </c>
      <c r="P180" t="s">
        <v>26</v>
      </c>
      <c r="Q180" s="3">
        <v>21</v>
      </c>
      <c r="R180" t="s">
        <v>46</v>
      </c>
      <c r="S180" t="s">
        <v>60</v>
      </c>
    </row>
    <row r="181" spans="1:19" x14ac:dyDescent="0.25">
      <c r="A181">
        <v>180</v>
      </c>
      <c r="B181">
        <v>64</v>
      </c>
      <c r="C181" t="s">
        <v>19</v>
      </c>
      <c r="D181" t="s">
        <v>137</v>
      </c>
      <c r="E181" t="s">
        <v>43</v>
      </c>
      <c r="F181" s="1">
        <v>31</v>
      </c>
      <c r="G181" t="s">
        <v>115</v>
      </c>
      <c r="H181" t="s">
        <v>45</v>
      </c>
      <c r="I181" t="s">
        <v>84</v>
      </c>
      <c r="J181" t="s">
        <v>58</v>
      </c>
      <c r="K181" s="2">
        <v>4.9000000000000004</v>
      </c>
      <c r="L181" t="s">
        <v>26</v>
      </c>
      <c r="M181" t="s">
        <v>59</v>
      </c>
      <c r="N181" t="s">
        <v>76</v>
      </c>
      <c r="O181" t="s">
        <v>26</v>
      </c>
      <c r="P181" t="s">
        <v>26</v>
      </c>
      <c r="Q181" s="3">
        <v>9</v>
      </c>
      <c r="R181" t="s">
        <v>34</v>
      </c>
      <c r="S181" t="s">
        <v>30</v>
      </c>
    </row>
    <row r="182" spans="1:19" x14ac:dyDescent="0.25">
      <c r="A182">
        <v>181</v>
      </c>
      <c r="B182">
        <v>51</v>
      </c>
      <c r="C182" t="s">
        <v>19</v>
      </c>
      <c r="D182" t="s">
        <v>42</v>
      </c>
      <c r="E182" t="s">
        <v>43</v>
      </c>
      <c r="F182" s="1">
        <v>81</v>
      </c>
      <c r="G182" t="s">
        <v>147</v>
      </c>
      <c r="H182" t="s">
        <v>23</v>
      </c>
      <c r="I182" t="s">
        <v>96</v>
      </c>
      <c r="J182" t="s">
        <v>58</v>
      </c>
      <c r="K182" s="2">
        <v>3.3</v>
      </c>
      <c r="L182" t="s">
        <v>26</v>
      </c>
      <c r="M182" t="s">
        <v>35</v>
      </c>
      <c r="N182" t="s">
        <v>76</v>
      </c>
      <c r="O182" t="s">
        <v>26</v>
      </c>
      <c r="P182" t="s">
        <v>26</v>
      </c>
      <c r="Q182" s="3">
        <v>12</v>
      </c>
      <c r="R182" t="s">
        <v>59</v>
      </c>
      <c r="S182" t="s">
        <v>30</v>
      </c>
    </row>
    <row r="183" spans="1:19" x14ac:dyDescent="0.25">
      <c r="A183">
        <v>182</v>
      </c>
      <c r="B183">
        <v>32</v>
      </c>
      <c r="C183" t="s">
        <v>19</v>
      </c>
      <c r="D183" t="s">
        <v>95</v>
      </c>
      <c r="E183" t="s">
        <v>21</v>
      </c>
      <c r="F183" s="1">
        <v>61</v>
      </c>
      <c r="G183" t="s">
        <v>37</v>
      </c>
      <c r="H183" t="s">
        <v>45</v>
      </c>
      <c r="I183" t="s">
        <v>118</v>
      </c>
      <c r="J183" t="s">
        <v>54</v>
      </c>
      <c r="K183" s="2">
        <v>4.7</v>
      </c>
      <c r="L183" t="s">
        <v>26</v>
      </c>
      <c r="M183" t="s">
        <v>29</v>
      </c>
      <c r="N183" t="s">
        <v>47</v>
      </c>
      <c r="O183" t="s">
        <v>26</v>
      </c>
      <c r="P183" t="s">
        <v>26</v>
      </c>
      <c r="Q183" s="3">
        <v>4</v>
      </c>
      <c r="R183" t="s">
        <v>34</v>
      </c>
      <c r="S183" t="s">
        <v>41</v>
      </c>
    </row>
    <row r="184" spans="1:19" x14ac:dyDescent="0.25">
      <c r="A184">
        <v>183</v>
      </c>
      <c r="B184">
        <v>38</v>
      </c>
      <c r="C184" t="s">
        <v>19</v>
      </c>
      <c r="D184" t="s">
        <v>143</v>
      </c>
      <c r="E184" t="s">
        <v>69</v>
      </c>
      <c r="F184" s="1">
        <v>96</v>
      </c>
      <c r="G184" t="s">
        <v>90</v>
      </c>
      <c r="H184" t="s">
        <v>92</v>
      </c>
      <c r="I184" t="s">
        <v>75</v>
      </c>
      <c r="J184" t="s">
        <v>54</v>
      </c>
      <c r="K184" s="2">
        <v>2.8</v>
      </c>
      <c r="L184" t="s">
        <v>26</v>
      </c>
      <c r="M184" t="s">
        <v>29</v>
      </c>
      <c r="N184" t="s">
        <v>76</v>
      </c>
      <c r="O184" t="s">
        <v>26</v>
      </c>
      <c r="P184" t="s">
        <v>26</v>
      </c>
      <c r="Q184" s="3">
        <v>10</v>
      </c>
      <c r="R184" t="s">
        <v>59</v>
      </c>
      <c r="S184" t="s">
        <v>50</v>
      </c>
    </row>
    <row r="185" spans="1:19" x14ac:dyDescent="0.25">
      <c r="A185">
        <v>184</v>
      </c>
      <c r="B185">
        <v>58</v>
      </c>
      <c r="C185" t="s">
        <v>19</v>
      </c>
      <c r="D185" t="s">
        <v>87</v>
      </c>
      <c r="E185" t="s">
        <v>21</v>
      </c>
      <c r="F185" s="1">
        <v>29</v>
      </c>
      <c r="G185" t="s">
        <v>123</v>
      </c>
      <c r="H185" t="s">
        <v>92</v>
      </c>
      <c r="I185" t="s">
        <v>118</v>
      </c>
      <c r="J185" t="s">
        <v>39</v>
      </c>
      <c r="K185" s="2">
        <v>3.6</v>
      </c>
      <c r="L185" t="s">
        <v>26</v>
      </c>
      <c r="M185" t="s">
        <v>34</v>
      </c>
      <c r="N185" t="s">
        <v>72</v>
      </c>
      <c r="O185" t="s">
        <v>26</v>
      </c>
      <c r="P185" t="s">
        <v>26</v>
      </c>
      <c r="Q185" s="3">
        <v>26</v>
      </c>
      <c r="R185" t="s">
        <v>27</v>
      </c>
      <c r="S185" t="s">
        <v>41</v>
      </c>
    </row>
    <row r="186" spans="1:19" x14ac:dyDescent="0.25">
      <c r="A186">
        <v>185</v>
      </c>
      <c r="B186">
        <v>32</v>
      </c>
      <c r="C186" t="s">
        <v>19</v>
      </c>
      <c r="D186" t="s">
        <v>51</v>
      </c>
      <c r="E186" t="s">
        <v>43</v>
      </c>
      <c r="F186" s="1">
        <v>33</v>
      </c>
      <c r="G186" t="s">
        <v>78</v>
      </c>
      <c r="H186" t="s">
        <v>23</v>
      </c>
      <c r="I186" t="s">
        <v>109</v>
      </c>
      <c r="J186" t="s">
        <v>39</v>
      </c>
      <c r="K186" s="2">
        <v>3</v>
      </c>
      <c r="L186" t="s">
        <v>26</v>
      </c>
      <c r="M186" t="s">
        <v>35</v>
      </c>
      <c r="N186" t="s">
        <v>28</v>
      </c>
      <c r="O186" t="s">
        <v>26</v>
      </c>
      <c r="P186" t="s">
        <v>26</v>
      </c>
      <c r="Q186" s="3">
        <v>40</v>
      </c>
      <c r="R186" t="s">
        <v>35</v>
      </c>
      <c r="S186" t="s">
        <v>30</v>
      </c>
    </row>
    <row r="187" spans="1:19" x14ac:dyDescent="0.25">
      <c r="A187">
        <v>186</v>
      </c>
      <c r="B187">
        <v>46</v>
      </c>
      <c r="C187" t="s">
        <v>19</v>
      </c>
      <c r="D187" t="s">
        <v>113</v>
      </c>
      <c r="E187" t="s">
        <v>21</v>
      </c>
      <c r="F187" s="1">
        <v>32</v>
      </c>
      <c r="G187" t="s">
        <v>150</v>
      </c>
      <c r="H187" t="s">
        <v>92</v>
      </c>
      <c r="I187" t="s">
        <v>67</v>
      </c>
      <c r="J187" t="s">
        <v>54</v>
      </c>
      <c r="K187" s="2">
        <v>4.5</v>
      </c>
      <c r="L187" t="s">
        <v>26</v>
      </c>
      <c r="M187" t="s">
        <v>34</v>
      </c>
      <c r="N187" t="s">
        <v>76</v>
      </c>
      <c r="O187" t="s">
        <v>26</v>
      </c>
      <c r="P187" t="s">
        <v>26</v>
      </c>
      <c r="Q187" s="3">
        <v>34</v>
      </c>
      <c r="R187" t="s">
        <v>34</v>
      </c>
      <c r="S187" t="s">
        <v>30</v>
      </c>
    </row>
    <row r="188" spans="1:19" x14ac:dyDescent="0.25">
      <c r="A188">
        <v>187</v>
      </c>
      <c r="B188">
        <v>39</v>
      </c>
      <c r="C188" t="s">
        <v>19</v>
      </c>
      <c r="D188" t="s">
        <v>132</v>
      </c>
      <c r="E188" t="s">
        <v>69</v>
      </c>
      <c r="F188" s="1">
        <v>56</v>
      </c>
      <c r="G188" t="s">
        <v>148</v>
      </c>
      <c r="H188" t="s">
        <v>38</v>
      </c>
      <c r="I188" t="s">
        <v>93</v>
      </c>
      <c r="J188" t="s">
        <v>54</v>
      </c>
      <c r="K188" s="2">
        <v>2.9</v>
      </c>
      <c r="L188" t="s">
        <v>26</v>
      </c>
      <c r="M188" t="s">
        <v>59</v>
      </c>
      <c r="N188" t="s">
        <v>55</v>
      </c>
      <c r="O188" t="s">
        <v>26</v>
      </c>
      <c r="P188" t="s">
        <v>26</v>
      </c>
      <c r="Q188" s="3">
        <v>31</v>
      </c>
      <c r="R188" t="s">
        <v>59</v>
      </c>
      <c r="S188" t="s">
        <v>50</v>
      </c>
    </row>
    <row r="189" spans="1:19" x14ac:dyDescent="0.25">
      <c r="A189">
        <v>188</v>
      </c>
      <c r="B189">
        <v>19</v>
      </c>
      <c r="C189" t="s">
        <v>19</v>
      </c>
      <c r="D189" t="s">
        <v>73</v>
      </c>
      <c r="E189" t="s">
        <v>43</v>
      </c>
      <c r="F189" s="1">
        <v>94</v>
      </c>
      <c r="G189" t="s">
        <v>142</v>
      </c>
      <c r="H189" t="s">
        <v>38</v>
      </c>
      <c r="I189" t="s">
        <v>75</v>
      </c>
      <c r="J189" t="s">
        <v>39</v>
      </c>
      <c r="K189" s="2">
        <v>3.3</v>
      </c>
      <c r="L189" t="s">
        <v>26</v>
      </c>
      <c r="M189" t="s">
        <v>27</v>
      </c>
      <c r="N189" t="s">
        <v>76</v>
      </c>
      <c r="O189" t="s">
        <v>26</v>
      </c>
      <c r="P189" t="s">
        <v>26</v>
      </c>
      <c r="Q189" s="3">
        <v>1</v>
      </c>
      <c r="R189" t="s">
        <v>34</v>
      </c>
      <c r="S189" t="s">
        <v>77</v>
      </c>
    </row>
    <row r="190" spans="1:19" x14ac:dyDescent="0.25">
      <c r="A190">
        <v>189</v>
      </c>
      <c r="B190">
        <v>50</v>
      </c>
      <c r="C190" t="s">
        <v>19</v>
      </c>
      <c r="D190" t="s">
        <v>104</v>
      </c>
      <c r="E190" t="s">
        <v>21</v>
      </c>
      <c r="F190" s="1">
        <v>53</v>
      </c>
      <c r="G190" t="s">
        <v>74</v>
      </c>
      <c r="H190" t="s">
        <v>45</v>
      </c>
      <c r="I190" t="s">
        <v>71</v>
      </c>
      <c r="J190" t="s">
        <v>39</v>
      </c>
      <c r="K190" s="2">
        <v>3.1</v>
      </c>
      <c r="L190" t="s">
        <v>26</v>
      </c>
      <c r="M190" t="s">
        <v>27</v>
      </c>
      <c r="N190" t="s">
        <v>28</v>
      </c>
      <c r="O190" t="s">
        <v>26</v>
      </c>
      <c r="P190" t="s">
        <v>26</v>
      </c>
      <c r="Q190" s="3">
        <v>5</v>
      </c>
      <c r="R190" t="s">
        <v>34</v>
      </c>
      <c r="S190" t="s">
        <v>77</v>
      </c>
    </row>
    <row r="191" spans="1:19" x14ac:dyDescent="0.25">
      <c r="A191">
        <v>190</v>
      </c>
      <c r="B191">
        <v>36</v>
      </c>
      <c r="C191" t="s">
        <v>19</v>
      </c>
      <c r="D191" t="s">
        <v>20</v>
      </c>
      <c r="E191" t="s">
        <v>21</v>
      </c>
      <c r="F191" s="1">
        <v>82</v>
      </c>
      <c r="G191" t="s">
        <v>66</v>
      </c>
      <c r="H191" t="s">
        <v>45</v>
      </c>
      <c r="I191" t="s">
        <v>33</v>
      </c>
      <c r="J191" t="s">
        <v>58</v>
      </c>
      <c r="K191" s="2">
        <v>4.4000000000000004</v>
      </c>
      <c r="L191" t="s">
        <v>26</v>
      </c>
      <c r="M191" t="s">
        <v>29</v>
      </c>
      <c r="N191" t="s">
        <v>47</v>
      </c>
      <c r="O191" t="s">
        <v>26</v>
      </c>
      <c r="P191" t="s">
        <v>26</v>
      </c>
      <c r="Q191" s="3">
        <v>4</v>
      </c>
      <c r="R191" t="s">
        <v>27</v>
      </c>
      <c r="S191" t="s">
        <v>41</v>
      </c>
    </row>
    <row r="192" spans="1:19" x14ac:dyDescent="0.25">
      <c r="A192">
        <v>191</v>
      </c>
      <c r="B192">
        <v>65</v>
      </c>
      <c r="C192" t="s">
        <v>19</v>
      </c>
      <c r="D192" t="s">
        <v>64</v>
      </c>
      <c r="E192" t="s">
        <v>65</v>
      </c>
      <c r="F192" s="1">
        <v>70</v>
      </c>
      <c r="G192" t="s">
        <v>116</v>
      </c>
      <c r="H192" t="s">
        <v>92</v>
      </c>
      <c r="I192" t="s">
        <v>118</v>
      </c>
      <c r="J192" t="s">
        <v>58</v>
      </c>
      <c r="K192" s="2">
        <v>3</v>
      </c>
      <c r="L192" t="s">
        <v>26</v>
      </c>
      <c r="M192" t="s">
        <v>29</v>
      </c>
      <c r="N192" t="s">
        <v>40</v>
      </c>
      <c r="O192" t="s">
        <v>26</v>
      </c>
      <c r="P192" t="s">
        <v>26</v>
      </c>
      <c r="Q192" s="3">
        <v>48</v>
      </c>
      <c r="R192" t="s">
        <v>29</v>
      </c>
      <c r="S192" t="s">
        <v>60</v>
      </c>
    </row>
    <row r="193" spans="1:19" x14ac:dyDescent="0.25">
      <c r="A193">
        <v>192</v>
      </c>
      <c r="B193">
        <v>64</v>
      </c>
      <c r="C193" t="s">
        <v>19</v>
      </c>
      <c r="D193" t="s">
        <v>124</v>
      </c>
      <c r="E193" t="s">
        <v>69</v>
      </c>
      <c r="F193" s="1">
        <v>76</v>
      </c>
      <c r="G193" t="s">
        <v>140</v>
      </c>
      <c r="H193" t="s">
        <v>45</v>
      </c>
      <c r="I193" t="s">
        <v>24</v>
      </c>
      <c r="J193" t="s">
        <v>58</v>
      </c>
      <c r="K193" s="2">
        <v>3.9</v>
      </c>
      <c r="L193" t="s">
        <v>26</v>
      </c>
      <c r="M193" t="s">
        <v>27</v>
      </c>
      <c r="N193" t="s">
        <v>40</v>
      </c>
      <c r="O193" t="s">
        <v>26</v>
      </c>
      <c r="P193" t="s">
        <v>26</v>
      </c>
      <c r="Q193" s="3">
        <v>29</v>
      </c>
      <c r="R193" t="s">
        <v>35</v>
      </c>
      <c r="S193" t="s">
        <v>97</v>
      </c>
    </row>
    <row r="194" spans="1:19" x14ac:dyDescent="0.25">
      <c r="A194">
        <v>193</v>
      </c>
      <c r="B194">
        <v>46</v>
      </c>
      <c r="C194" t="s">
        <v>19</v>
      </c>
      <c r="D194" t="s">
        <v>73</v>
      </c>
      <c r="E194" t="s">
        <v>43</v>
      </c>
      <c r="F194" s="1">
        <v>29</v>
      </c>
      <c r="G194" t="s">
        <v>145</v>
      </c>
      <c r="H194" t="s">
        <v>23</v>
      </c>
      <c r="I194" t="s">
        <v>49</v>
      </c>
      <c r="J194" t="s">
        <v>54</v>
      </c>
      <c r="K194" s="2">
        <v>2.9</v>
      </c>
      <c r="L194" t="s">
        <v>26</v>
      </c>
      <c r="M194" t="s">
        <v>29</v>
      </c>
      <c r="N194" t="s">
        <v>28</v>
      </c>
      <c r="O194" t="s">
        <v>26</v>
      </c>
      <c r="P194" t="s">
        <v>26</v>
      </c>
      <c r="Q194" s="3">
        <v>12</v>
      </c>
      <c r="R194" t="s">
        <v>46</v>
      </c>
      <c r="S194" t="s">
        <v>77</v>
      </c>
    </row>
    <row r="195" spans="1:19" x14ac:dyDescent="0.25">
      <c r="A195">
        <v>194</v>
      </c>
      <c r="B195">
        <v>36</v>
      </c>
      <c r="C195" t="s">
        <v>19</v>
      </c>
      <c r="D195" t="s">
        <v>133</v>
      </c>
      <c r="E195" t="s">
        <v>69</v>
      </c>
      <c r="F195" s="1">
        <v>100</v>
      </c>
      <c r="G195" t="s">
        <v>114</v>
      </c>
      <c r="H195" t="s">
        <v>38</v>
      </c>
      <c r="I195" t="s">
        <v>67</v>
      </c>
      <c r="J195" t="s">
        <v>58</v>
      </c>
      <c r="K195" s="2">
        <v>3</v>
      </c>
      <c r="L195" t="s">
        <v>26</v>
      </c>
      <c r="M195" t="s">
        <v>46</v>
      </c>
      <c r="N195" t="s">
        <v>55</v>
      </c>
      <c r="O195" t="s">
        <v>26</v>
      </c>
      <c r="P195" t="s">
        <v>26</v>
      </c>
      <c r="Q195" s="3">
        <v>29</v>
      </c>
      <c r="R195" t="s">
        <v>29</v>
      </c>
      <c r="S195" t="s">
        <v>50</v>
      </c>
    </row>
    <row r="196" spans="1:19" x14ac:dyDescent="0.25">
      <c r="A196">
        <v>195</v>
      </c>
      <c r="B196">
        <v>51</v>
      </c>
      <c r="C196" t="s">
        <v>19</v>
      </c>
      <c r="D196" t="s">
        <v>132</v>
      </c>
      <c r="E196" t="s">
        <v>69</v>
      </c>
      <c r="F196" s="1">
        <v>94</v>
      </c>
      <c r="G196" t="s">
        <v>70</v>
      </c>
      <c r="H196" t="s">
        <v>45</v>
      </c>
      <c r="I196" t="s">
        <v>79</v>
      </c>
      <c r="J196" t="s">
        <v>39</v>
      </c>
      <c r="K196" s="2">
        <v>3.1</v>
      </c>
      <c r="L196" t="s">
        <v>26</v>
      </c>
      <c r="M196" t="s">
        <v>29</v>
      </c>
      <c r="N196" t="s">
        <v>28</v>
      </c>
      <c r="O196" t="s">
        <v>26</v>
      </c>
      <c r="P196" t="s">
        <v>26</v>
      </c>
      <c r="Q196" s="3">
        <v>15</v>
      </c>
      <c r="R196" t="s">
        <v>59</v>
      </c>
      <c r="S196" t="s">
        <v>60</v>
      </c>
    </row>
    <row r="197" spans="1:19" x14ac:dyDescent="0.25">
      <c r="A197">
        <v>196</v>
      </c>
      <c r="B197">
        <v>51</v>
      </c>
      <c r="C197" t="s">
        <v>19</v>
      </c>
      <c r="D197" t="s">
        <v>102</v>
      </c>
      <c r="E197" t="s">
        <v>65</v>
      </c>
      <c r="F197" s="1">
        <v>25</v>
      </c>
      <c r="G197" t="s">
        <v>85</v>
      </c>
      <c r="H197" t="s">
        <v>45</v>
      </c>
      <c r="I197" t="s">
        <v>136</v>
      </c>
      <c r="J197" t="s">
        <v>58</v>
      </c>
      <c r="K197" s="2">
        <v>4.3</v>
      </c>
      <c r="L197" t="s">
        <v>26</v>
      </c>
      <c r="M197" t="s">
        <v>27</v>
      </c>
      <c r="N197" t="s">
        <v>40</v>
      </c>
      <c r="O197" t="s">
        <v>26</v>
      </c>
      <c r="P197" t="s">
        <v>26</v>
      </c>
      <c r="Q197" s="3">
        <v>34</v>
      </c>
      <c r="R197" t="s">
        <v>27</v>
      </c>
      <c r="S197" t="s">
        <v>88</v>
      </c>
    </row>
    <row r="198" spans="1:19" x14ac:dyDescent="0.25">
      <c r="A198">
        <v>197</v>
      </c>
      <c r="B198">
        <v>38</v>
      </c>
      <c r="C198" t="s">
        <v>19</v>
      </c>
      <c r="D198" t="s">
        <v>137</v>
      </c>
      <c r="E198" t="s">
        <v>43</v>
      </c>
      <c r="F198" s="1">
        <v>88</v>
      </c>
      <c r="G198" t="s">
        <v>149</v>
      </c>
      <c r="H198" t="s">
        <v>45</v>
      </c>
      <c r="I198" t="s">
        <v>93</v>
      </c>
      <c r="J198" t="s">
        <v>54</v>
      </c>
      <c r="K198" s="2">
        <v>3.9</v>
      </c>
      <c r="L198" t="s">
        <v>26</v>
      </c>
      <c r="M198" t="s">
        <v>35</v>
      </c>
      <c r="N198" t="s">
        <v>47</v>
      </c>
      <c r="O198" t="s">
        <v>26</v>
      </c>
      <c r="P198" t="s">
        <v>26</v>
      </c>
      <c r="Q198" s="3">
        <v>41</v>
      </c>
      <c r="R198" t="s">
        <v>27</v>
      </c>
      <c r="S198" t="s">
        <v>30</v>
      </c>
    </row>
    <row r="199" spans="1:19" x14ac:dyDescent="0.25">
      <c r="A199">
        <v>198</v>
      </c>
      <c r="B199">
        <v>59</v>
      </c>
      <c r="C199" t="s">
        <v>19</v>
      </c>
      <c r="D199" t="s">
        <v>119</v>
      </c>
      <c r="E199" t="s">
        <v>69</v>
      </c>
      <c r="F199" s="1">
        <v>78</v>
      </c>
      <c r="G199" t="s">
        <v>131</v>
      </c>
      <c r="H199" t="s">
        <v>45</v>
      </c>
      <c r="I199" t="s">
        <v>94</v>
      </c>
      <c r="J199" t="s">
        <v>58</v>
      </c>
      <c r="K199" s="2">
        <v>3.2</v>
      </c>
      <c r="L199" t="s">
        <v>26</v>
      </c>
      <c r="M199" t="s">
        <v>59</v>
      </c>
      <c r="N199" t="s">
        <v>72</v>
      </c>
      <c r="O199" t="s">
        <v>26</v>
      </c>
      <c r="P199" t="s">
        <v>26</v>
      </c>
      <c r="Q199" s="3">
        <v>41</v>
      </c>
      <c r="R199" t="s">
        <v>27</v>
      </c>
      <c r="S199" t="s">
        <v>88</v>
      </c>
    </row>
    <row r="200" spans="1:19" x14ac:dyDescent="0.25">
      <c r="A200">
        <v>199</v>
      </c>
      <c r="B200">
        <v>57</v>
      </c>
      <c r="C200" t="s">
        <v>19</v>
      </c>
      <c r="D200" t="s">
        <v>106</v>
      </c>
      <c r="E200" t="s">
        <v>69</v>
      </c>
      <c r="F200" s="1">
        <v>45</v>
      </c>
      <c r="G200" t="s">
        <v>140</v>
      </c>
      <c r="H200" t="s">
        <v>45</v>
      </c>
      <c r="I200" t="s">
        <v>49</v>
      </c>
      <c r="J200" t="s">
        <v>25</v>
      </c>
      <c r="K200" s="2">
        <v>4.8</v>
      </c>
      <c r="L200" t="s">
        <v>26</v>
      </c>
      <c r="M200" t="s">
        <v>35</v>
      </c>
      <c r="N200" t="s">
        <v>55</v>
      </c>
      <c r="O200" t="s">
        <v>26</v>
      </c>
      <c r="P200" t="s">
        <v>26</v>
      </c>
      <c r="Q200" s="3">
        <v>39</v>
      </c>
      <c r="R200" t="s">
        <v>27</v>
      </c>
      <c r="S200" t="s">
        <v>30</v>
      </c>
    </row>
    <row r="201" spans="1:19" x14ac:dyDescent="0.25">
      <c r="A201">
        <v>200</v>
      </c>
      <c r="B201">
        <v>54</v>
      </c>
      <c r="C201" t="s">
        <v>19</v>
      </c>
      <c r="D201" t="s">
        <v>124</v>
      </c>
      <c r="E201" t="s">
        <v>69</v>
      </c>
      <c r="F201" s="1">
        <v>73</v>
      </c>
      <c r="G201" t="s">
        <v>135</v>
      </c>
      <c r="H201" t="s">
        <v>92</v>
      </c>
      <c r="I201" t="s">
        <v>96</v>
      </c>
      <c r="J201" t="s">
        <v>54</v>
      </c>
      <c r="K201" s="2">
        <v>3.8</v>
      </c>
      <c r="L201" t="s">
        <v>26</v>
      </c>
      <c r="M201" t="s">
        <v>59</v>
      </c>
      <c r="N201" t="s">
        <v>28</v>
      </c>
      <c r="O201" t="s">
        <v>26</v>
      </c>
      <c r="P201" t="s">
        <v>26</v>
      </c>
      <c r="Q201" s="3">
        <v>32</v>
      </c>
      <c r="R201" t="s">
        <v>35</v>
      </c>
      <c r="S201" t="s">
        <v>41</v>
      </c>
    </row>
    <row r="202" spans="1:19" x14ac:dyDescent="0.25">
      <c r="A202">
        <v>201</v>
      </c>
      <c r="B202">
        <v>25</v>
      </c>
      <c r="C202" t="s">
        <v>19</v>
      </c>
      <c r="D202" t="s">
        <v>82</v>
      </c>
      <c r="E202" t="s">
        <v>21</v>
      </c>
      <c r="F202" s="1">
        <v>61</v>
      </c>
      <c r="G202" t="s">
        <v>138</v>
      </c>
      <c r="H202" t="s">
        <v>38</v>
      </c>
      <c r="I202" t="s">
        <v>86</v>
      </c>
      <c r="J202" t="s">
        <v>54</v>
      </c>
      <c r="K202" s="2">
        <v>3.3</v>
      </c>
      <c r="L202" t="s">
        <v>26</v>
      </c>
      <c r="M202" t="s">
        <v>46</v>
      </c>
      <c r="N202" t="s">
        <v>47</v>
      </c>
      <c r="O202" t="s">
        <v>26</v>
      </c>
      <c r="P202" t="s">
        <v>26</v>
      </c>
      <c r="Q202" s="3">
        <v>29</v>
      </c>
      <c r="R202" t="s">
        <v>29</v>
      </c>
      <c r="S202" t="s">
        <v>88</v>
      </c>
    </row>
    <row r="203" spans="1:19" x14ac:dyDescent="0.25">
      <c r="A203">
        <v>202</v>
      </c>
      <c r="B203">
        <v>69</v>
      </c>
      <c r="C203" t="s">
        <v>19</v>
      </c>
      <c r="D203" t="s">
        <v>20</v>
      </c>
      <c r="E203" t="s">
        <v>21</v>
      </c>
      <c r="F203" s="1">
        <v>22</v>
      </c>
      <c r="G203" t="s">
        <v>70</v>
      </c>
      <c r="H203" t="s">
        <v>38</v>
      </c>
      <c r="I203" t="s">
        <v>118</v>
      </c>
      <c r="J203" t="s">
        <v>58</v>
      </c>
      <c r="K203" s="2">
        <v>4.3</v>
      </c>
      <c r="L203" t="s">
        <v>26</v>
      </c>
      <c r="M203" t="s">
        <v>34</v>
      </c>
      <c r="N203" t="s">
        <v>40</v>
      </c>
      <c r="O203" t="s">
        <v>26</v>
      </c>
      <c r="P203" t="s">
        <v>26</v>
      </c>
      <c r="Q203" s="3">
        <v>15</v>
      </c>
      <c r="R203" t="s">
        <v>34</v>
      </c>
      <c r="S203" t="s">
        <v>50</v>
      </c>
    </row>
    <row r="204" spans="1:19" x14ac:dyDescent="0.25">
      <c r="A204">
        <v>203</v>
      </c>
      <c r="B204">
        <v>57</v>
      </c>
      <c r="C204" t="s">
        <v>19</v>
      </c>
      <c r="D204" t="s">
        <v>124</v>
      </c>
      <c r="E204" t="s">
        <v>69</v>
      </c>
      <c r="F204" s="1">
        <v>38</v>
      </c>
      <c r="G204" t="s">
        <v>145</v>
      </c>
      <c r="H204" t="s">
        <v>23</v>
      </c>
      <c r="I204" t="s">
        <v>136</v>
      </c>
      <c r="J204" t="s">
        <v>39</v>
      </c>
      <c r="K204" s="2">
        <v>2.7</v>
      </c>
      <c r="L204" t="s">
        <v>26</v>
      </c>
      <c r="M204" t="s">
        <v>34</v>
      </c>
      <c r="N204" t="s">
        <v>28</v>
      </c>
      <c r="O204" t="s">
        <v>26</v>
      </c>
      <c r="P204" t="s">
        <v>26</v>
      </c>
      <c r="Q204" s="3">
        <v>33</v>
      </c>
      <c r="R204" t="s">
        <v>29</v>
      </c>
      <c r="S204" t="s">
        <v>50</v>
      </c>
    </row>
    <row r="205" spans="1:19" x14ac:dyDescent="0.25">
      <c r="A205">
        <v>204</v>
      </c>
      <c r="B205">
        <v>70</v>
      </c>
      <c r="C205" t="s">
        <v>19</v>
      </c>
      <c r="D205" t="s">
        <v>119</v>
      </c>
      <c r="E205" t="s">
        <v>69</v>
      </c>
      <c r="F205" s="1">
        <v>38</v>
      </c>
      <c r="G205" t="s">
        <v>116</v>
      </c>
      <c r="H205" t="s">
        <v>38</v>
      </c>
      <c r="I205" t="s">
        <v>134</v>
      </c>
      <c r="J205" t="s">
        <v>58</v>
      </c>
      <c r="K205" s="2">
        <v>3.2</v>
      </c>
      <c r="L205" t="s">
        <v>26</v>
      </c>
      <c r="M205" t="s">
        <v>46</v>
      </c>
      <c r="N205" t="s">
        <v>47</v>
      </c>
      <c r="O205" t="s">
        <v>26</v>
      </c>
      <c r="P205" t="s">
        <v>26</v>
      </c>
      <c r="Q205" s="3">
        <v>18</v>
      </c>
      <c r="R205" t="s">
        <v>34</v>
      </c>
      <c r="S205" t="s">
        <v>41</v>
      </c>
    </row>
    <row r="206" spans="1:19" x14ac:dyDescent="0.25">
      <c r="A206">
        <v>205</v>
      </c>
      <c r="B206">
        <v>24</v>
      </c>
      <c r="C206" t="s">
        <v>19</v>
      </c>
      <c r="D206" t="s">
        <v>51</v>
      </c>
      <c r="E206" t="s">
        <v>43</v>
      </c>
      <c r="F206" s="1">
        <v>100</v>
      </c>
      <c r="G206" t="s">
        <v>117</v>
      </c>
      <c r="H206" t="s">
        <v>45</v>
      </c>
      <c r="I206" t="s">
        <v>134</v>
      </c>
      <c r="J206" t="s">
        <v>58</v>
      </c>
      <c r="K206" s="2">
        <v>4</v>
      </c>
      <c r="L206" t="s">
        <v>26</v>
      </c>
      <c r="M206" t="s">
        <v>46</v>
      </c>
      <c r="N206" t="s">
        <v>76</v>
      </c>
      <c r="O206" t="s">
        <v>26</v>
      </c>
      <c r="P206" t="s">
        <v>26</v>
      </c>
      <c r="Q206" s="3">
        <v>35</v>
      </c>
      <c r="R206" t="s">
        <v>35</v>
      </c>
      <c r="S206" t="s">
        <v>77</v>
      </c>
    </row>
    <row r="207" spans="1:19" x14ac:dyDescent="0.25">
      <c r="A207">
        <v>206</v>
      </c>
      <c r="B207">
        <v>67</v>
      </c>
      <c r="C207" t="s">
        <v>19</v>
      </c>
      <c r="D207" t="s">
        <v>56</v>
      </c>
      <c r="E207" t="s">
        <v>21</v>
      </c>
      <c r="F207" s="1">
        <v>64</v>
      </c>
      <c r="G207" t="s">
        <v>78</v>
      </c>
      <c r="H207" t="s">
        <v>45</v>
      </c>
      <c r="I207" t="s">
        <v>67</v>
      </c>
      <c r="J207" t="s">
        <v>25</v>
      </c>
      <c r="K207" s="2">
        <v>3</v>
      </c>
      <c r="L207" t="s">
        <v>26</v>
      </c>
      <c r="M207" t="s">
        <v>34</v>
      </c>
      <c r="N207" t="s">
        <v>55</v>
      </c>
      <c r="O207" t="s">
        <v>26</v>
      </c>
      <c r="P207" t="s">
        <v>26</v>
      </c>
      <c r="Q207" s="3">
        <v>25</v>
      </c>
      <c r="R207" t="s">
        <v>46</v>
      </c>
      <c r="S207" t="s">
        <v>41</v>
      </c>
    </row>
    <row r="208" spans="1:19" x14ac:dyDescent="0.25">
      <c r="A208">
        <v>207</v>
      </c>
      <c r="B208">
        <v>24</v>
      </c>
      <c r="C208" t="s">
        <v>19</v>
      </c>
      <c r="D208" t="s">
        <v>113</v>
      </c>
      <c r="E208" t="s">
        <v>21</v>
      </c>
      <c r="F208" s="1">
        <v>55</v>
      </c>
      <c r="G208" t="s">
        <v>150</v>
      </c>
      <c r="H208" t="s">
        <v>23</v>
      </c>
      <c r="I208" t="s">
        <v>67</v>
      </c>
      <c r="J208" t="s">
        <v>54</v>
      </c>
      <c r="K208" s="2">
        <v>4.2</v>
      </c>
      <c r="L208" t="s">
        <v>26</v>
      </c>
      <c r="M208" t="s">
        <v>29</v>
      </c>
      <c r="N208" t="s">
        <v>40</v>
      </c>
      <c r="O208" t="s">
        <v>26</v>
      </c>
      <c r="P208" t="s">
        <v>26</v>
      </c>
      <c r="Q208" s="3">
        <v>6</v>
      </c>
      <c r="R208" t="s">
        <v>29</v>
      </c>
      <c r="S208" t="s">
        <v>30</v>
      </c>
    </row>
    <row r="209" spans="1:19" x14ac:dyDescent="0.25">
      <c r="A209">
        <v>208</v>
      </c>
      <c r="B209">
        <v>62</v>
      </c>
      <c r="C209" t="s">
        <v>19</v>
      </c>
      <c r="D209" t="s">
        <v>143</v>
      </c>
      <c r="E209" t="s">
        <v>69</v>
      </c>
      <c r="F209" s="1">
        <v>91</v>
      </c>
      <c r="G209" t="s">
        <v>44</v>
      </c>
      <c r="H209" t="s">
        <v>45</v>
      </c>
      <c r="I209" t="s">
        <v>67</v>
      </c>
      <c r="J209" t="s">
        <v>54</v>
      </c>
      <c r="K209" s="2">
        <v>2.9</v>
      </c>
      <c r="L209" t="s">
        <v>26</v>
      </c>
      <c r="M209" t="s">
        <v>29</v>
      </c>
      <c r="N209" t="s">
        <v>28</v>
      </c>
      <c r="O209" t="s">
        <v>26</v>
      </c>
      <c r="P209" t="s">
        <v>26</v>
      </c>
      <c r="Q209" s="3">
        <v>17</v>
      </c>
      <c r="R209" t="s">
        <v>34</v>
      </c>
      <c r="S209" t="s">
        <v>77</v>
      </c>
    </row>
    <row r="210" spans="1:19" x14ac:dyDescent="0.25">
      <c r="A210">
        <v>209</v>
      </c>
      <c r="B210">
        <v>57</v>
      </c>
      <c r="C210" t="s">
        <v>19</v>
      </c>
      <c r="D210" t="s">
        <v>87</v>
      </c>
      <c r="E210" t="s">
        <v>21</v>
      </c>
      <c r="F210" s="1">
        <v>38</v>
      </c>
      <c r="G210" t="s">
        <v>150</v>
      </c>
      <c r="H210" t="s">
        <v>45</v>
      </c>
      <c r="I210" t="s">
        <v>81</v>
      </c>
      <c r="J210" t="s">
        <v>39</v>
      </c>
      <c r="K210" s="2">
        <v>4.0999999999999996</v>
      </c>
      <c r="L210" t="s">
        <v>26</v>
      </c>
      <c r="M210" t="s">
        <v>35</v>
      </c>
      <c r="N210" t="s">
        <v>76</v>
      </c>
      <c r="O210" t="s">
        <v>26</v>
      </c>
      <c r="P210" t="s">
        <v>26</v>
      </c>
      <c r="Q210" s="3">
        <v>17</v>
      </c>
      <c r="R210" t="s">
        <v>27</v>
      </c>
      <c r="S210" t="s">
        <v>88</v>
      </c>
    </row>
    <row r="211" spans="1:19" x14ac:dyDescent="0.25">
      <c r="A211">
        <v>210</v>
      </c>
      <c r="B211">
        <v>55</v>
      </c>
      <c r="C211" t="s">
        <v>19</v>
      </c>
      <c r="D211" t="s">
        <v>42</v>
      </c>
      <c r="E211" t="s">
        <v>43</v>
      </c>
      <c r="F211" s="1">
        <v>97</v>
      </c>
      <c r="G211" t="s">
        <v>148</v>
      </c>
      <c r="H211" t="s">
        <v>38</v>
      </c>
      <c r="I211" t="s">
        <v>79</v>
      </c>
      <c r="J211" t="s">
        <v>25</v>
      </c>
      <c r="K211" s="2">
        <v>3.2</v>
      </c>
      <c r="L211" t="s">
        <v>26</v>
      </c>
      <c r="M211" t="s">
        <v>34</v>
      </c>
      <c r="N211" t="s">
        <v>76</v>
      </c>
      <c r="O211" t="s">
        <v>26</v>
      </c>
      <c r="P211" t="s">
        <v>26</v>
      </c>
      <c r="Q211" s="3">
        <v>44</v>
      </c>
      <c r="R211" t="s">
        <v>35</v>
      </c>
      <c r="S211" t="s">
        <v>97</v>
      </c>
    </row>
    <row r="212" spans="1:19" x14ac:dyDescent="0.25">
      <c r="A212">
        <v>211</v>
      </c>
      <c r="B212">
        <v>45</v>
      </c>
      <c r="C212" t="s">
        <v>19</v>
      </c>
      <c r="D212" t="s">
        <v>102</v>
      </c>
      <c r="E212" t="s">
        <v>65</v>
      </c>
      <c r="F212" s="1">
        <v>22</v>
      </c>
      <c r="G212" t="s">
        <v>129</v>
      </c>
      <c r="H212" t="s">
        <v>23</v>
      </c>
      <c r="I212" t="s">
        <v>86</v>
      </c>
      <c r="J212" t="s">
        <v>58</v>
      </c>
      <c r="K212" s="2">
        <v>3</v>
      </c>
      <c r="L212" t="s">
        <v>26</v>
      </c>
      <c r="M212" t="s">
        <v>29</v>
      </c>
      <c r="N212" t="s">
        <v>72</v>
      </c>
      <c r="O212" t="s">
        <v>26</v>
      </c>
      <c r="P212" t="s">
        <v>26</v>
      </c>
      <c r="Q212" s="3">
        <v>6</v>
      </c>
      <c r="R212" t="s">
        <v>46</v>
      </c>
      <c r="S212" t="s">
        <v>30</v>
      </c>
    </row>
    <row r="213" spans="1:19" x14ac:dyDescent="0.25">
      <c r="A213">
        <v>212</v>
      </c>
      <c r="B213">
        <v>69</v>
      </c>
      <c r="C213" t="s">
        <v>19</v>
      </c>
      <c r="D213" t="s">
        <v>87</v>
      </c>
      <c r="E213" t="s">
        <v>21</v>
      </c>
      <c r="F213" s="1">
        <v>92</v>
      </c>
      <c r="G213" t="s">
        <v>147</v>
      </c>
      <c r="H213" t="s">
        <v>23</v>
      </c>
      <c r="I213" t="s">
        <v>33</v>
      </c>
      <c r="J213" t="s">
        <v>58</v>
      </c>
      <c r="K213" s="2">
        <v>4.2</v>
      </c>
      <c r="L213" t="s">
        <v>26</v>
      </c>
      <c r="M213" t="s">
        <v>29</v>
      </c>
      <c r="N213" t="s">
        <v>72</v>
      </c>
      <c r="O213" t="s">
        <v>26</v>
      </c>
      <c r="P213" t="s">
        <v>26</v>
      </c>
      <c r="Q213" s="3">
        <v>45</v>
      </c>
      <c r="R213" t="s">
        <v>59</v>
      </c>
      <c r="S213" t="s">
        <v>30</v>
      </c>
    </row>
    <row r="214" spans="1:19" x14ac:dyDescent="0.25">
      <c r="A214">
        <v>213</v>
      </c>
      <c r="B214">
        <v>67</v>
      </c>
      <c r="C214" t="s">
        <v>19</v>
      </c>
      <c r="D214" t="s">
        <v>68</v>
      </c>
      <c r="E214" t="s">
        <v>69</v>
      </c>
      <c r="F214" s="1">
        <v>84</v>
      </c>
      <c r="G214" t="s">
        <v>141</v>
      </c>
      <c r="H214" t="s">
        <v>23</v>
      </c>
      <c r="I214" t="s">
        <v>144</v>
      </c>
      <c r="J214" t="s">
        <v>58</v>
      </c>
      <c r="K214" s="2">
        <v>4.2</v>
      </c>
      <c r="L214" t="s">
        <v>26</v>
      </c>
      <c r="M214" t="s">
        <v>29</v>
      </c>
      <c r="N214" t="s">
        <v>28</v>
      </c>
      <c r="O214" t="s">
        <v>26</v>
      </c>
      <c r="P214" t="s">
        <v>26</v>
      </c>
      <c r="Q214" s="3">
        <v>7</v>
      </c>
      <c r="R214" t="s">
        <v>59</v>
      </c>
      <c r="S214" t="s">
        <v>50</v>
      </c>
    </row>
    <row r="215" spans="1:19" x14ac:dyDescent="0.25">
      <c r="A215">
        <v>214</v>
      </c>
      <c r="B215">
        <v>30</v>
      </c>
      <c r="C215" t="s">
        <v>19</v>
      </c>
      <c r="D215" t="s">
        <v>68</v>
      </c>
      <c r="E215" t="s">
        <v>69</v>
      </c>
      <c r="F215" s="1">
        <v>93</v>
      </c>
      <c r="G215" t="s">
        <v>107</v>
      </c>
      <c r="H215" t="s">
        <v>23</v>
      </c>
      <c r="I215" t="s">
        <v>100</v>
      </c>
      <c r="J215" t="s">
        <v>58</v>
      </c>
      <c r="K215" s="2">
        <v>4.4000000000000004</v>
      </c>
      <c r="L215" t="s">
        <v>26</v>
      </c>
      <c r="M215" t="s">
        <v>35</v>
      </c>
      <c r="N215" t="s">
        <v>76</v>
      </c>
      <c r="O215" t="s">
        <v>26</v>
      </c>
      <c r="P215" t="s">
        <v>26</v>
      </c>
      <c r="Q215" s="3">
        <v>11</v>
      </c>
      <c r="R215" t="s">
        <v>59</v>
      </c>
      <c r="S215" t="s">
        <v>97</v>
      </c>
    </row>
    <row r="216" spans="1:19" x14ac:dyDescent="0.25">
      <c r="A216">
        <v>215</v>
      </c>
      <c r="B216">
        <v>24</v>
      </c>
      <c r="C216" t="s">
        <v>19</v>
      </c>
      <c r="D216" t="s">
        <v>102</v>
      </c>
      <c r="E216" t="s">
        <v>65</v>
      </c>
      <c r="F216" s="1">
        <v>50</v>
      </c>
      <c r="G216" t="s">
        <v>78</v>
      </c>
      <c r="H216" t="s">
        <v>23</v>
      </c>
      <c r="I216" t="s">
        <v>144</v>
      </c>
      <c r="J216" t="s">
        <v>54</v>
      </c>
      <c r="K216" s="2">
        <v>4.2</v>
      </c>
      <c r="L216" t="s">
        <v>26</v>
      </c>
      <c r="M216" t="s">
        <v>35</v>
      </c>
      <c r="N216" t="s">
        <v>47</v>
      </c>
      <c r="O216" t="s">
        <v>26</v>
      </c>
      <c r="P216" t="s">
        <v>26</v>
      </c>
      <c r="Q216" s="3">
        <v>41</v>
      </c>
      <c r="R216" t="s">
        <v>35</v>
      </c>
      <c r="S216" t="s">
        <v>97</v>
      </c>
    </row>
    <row r="217" spans="1:19" x14ac:dyDescent="0.25">
      <c r="A217">
        <v>216</v>
      </c>
      <c r="B217">
        <v>62</v>
      </c>
      <c r="C217" t="s">
        <v>19</v>
      </c>
      <c r="D217" t="s">
        <v>119</v>
      </c>
      <c r="E217" t="s">
        <v>69</v>
      </c>
      <c r="F217" s="1">
        <v>64</v>
      </c>
      <c r="G217" t="s">
        <v>127</v>
      </c>
      <c r="H217" t="s">
        <v>38</v>
      </c>
      <c r="I217" t="s">
        <v>121</v>
      </c>
      <c r="J217" t="s">
        <v>39</v>
      </c>
      <c r="K217" s="2">
        <v>2.8</v>
      </c>
      <c r="L217" t="s">
        <v>26</v>
      </c>
      <c r="M217" t="s">
        <v>34</v>
      </c>
      <c r="N217" t="s">
        <v>72</v>
      </c>
      <c r="O217" t="s">
        <v>26</v>
      </c>
      <c r="P217" t="s">
        <v>26</v>
      </c>
      <c r="Q217" s="3">
        <v>24</v>
      </c>
      <c r="R217" t="s">
        <v>46</v>
      </c>
      <c r="S217" t="s">
        <v>77</v>
      </c>
    </row>
    <row r="218" spans="1:19" x14ac:dyDescent="0.25">
      <c r="A218">
        <v>217</v>
      </c>
      <c r="B218">
        <v>43</v>
      </c>
      <c r="C218" t="s">
        <v>19</v>
      </c>
      <c r="D218" t="s">
        <v>61</v>
      </c>
      <c r="E218" t="s">
        <v>21</v>
      </c>
      <c r="F218" s="1">
        <v>61</v>
      </c>
      <c r="G218" t="s">
        <v>37</v>
      </c>
      <c r="H218" t="s">
        <v>23</v>
      </c>
      <c r="I218" t="s">
        <v>134</v>
      </c>
      <c r="J218" t="s">
        <v>39</v>
      </c>
      <c r="K218" s="2">
        <v>3.7</v>
      </c>
      <c r="L218" t="s">
        <v>26</v>
      </c>
      <c r="M218" t="s">
        <v>35</v>
      </c>
      <c r="N218" t="s">
        <v>40</v>
      </c>
      <c r="O218" t="s">
        <v>26</v>
      </c>
      <c r="P218" t="s">
        <v>26</v>
      </c>
      <c r="Q218" s="3">
        <v>21</v>
      </c>
      <c r="R218" t="s">
        <v>29</v>
      </c>
      <c r="S218" t="s">
        <v>41</v>
      </c>
    </row>
    <row r="219" spans="1:19" x14ac:dyDescent="0.25">
      <c r="A219">
        <v>218</v>
      </c>
      <c r="B219">
        <v>35</v>
      </c>
      <c r="C219" t="s">
        <v>19</v>
      </c>
      <c r="D219" t="s">
        <v>89</v>
      </c>
      <c r="E219" t="s">
        <v>69</v>
      </c>
      <c r="F219" s="1">
        <v>48</v>
      </c>
      <c r="G219" t="s">
        <v>101</v>
      </c>
      <c r="H219" t="s">
        <v>45</v>
      </c>
      <c r="I219" t="s">
        <v>75</v>
      </c>
      <c r="J219" t="s">
        <v>25</v>
      </c>
      <c r="K219" s="2">
        <v>3.5</v>
      </c>
      <c r="L219" t="s">
        <v>26</v>
      </c>
      <c r="M219" t="s">
        <v>29</v>
      </c>
      <c r="N219" t="s">
        <v>47</v>
      </c>
      <c r="O219" t="s">
        <v>26</v>
      </c>
      <c r="P219" t="s">
        <v>26</v>
      </c>
      <c r="Q219" s="3">
        <v>24</v>
      </c>
      <c r="R219" t="s">
        <v>34</v>
      </c>
      <c r="S219" t="s">
        <v>50</v>
      </c>
    </row>
    <row r="220" spans="1:19" x14ac:dyDescent="0.25">
      <c r="A220">
        <v>219</v>
      </c>
      <c r="B220">
        <v>28</v>
      </c>
      <c r="C220" t="s">
        <v>19</v>
      </c>
      <c r="D220" t="s">
        <v>113</v>
      </c>
      <c r="E220" t="s">
        <v>21</v>
      </c>
      <c r="F220" s="1">
        <v>45</v>
      </c>
      <c r="G220" t="s">
        <v>99</v>
      </c>
      <c r="H220" t="s">
        <v>38</v>
      </c>
      <c r="I220" t="s">
        <v>136</v>
      </c>
      <c r="J220" t="s">
        <v>39</v>
      </c>
      <c r="K220" s="2">
        <v>2.9</v>
      </c>
      <c r="L220" t="s">
        <v>26</v>
      </c>
      <c r="M220" t="s">
        <v>27</v>
      </c>
      <c r="N220" t="s">
        <v>76</v>
      </c>
      <c r="O220" t="s">
        <v>26</v>
      </c>
      <c r="P220" t="s">
        <v>26</v>
      </c>
      <c r="Q220" s="3">
        <v>8</v>
      </c>
      <c r="R220" t="s">
        <v>27</v>
      </c>
      <c r="S220" t="s">
        <v>60</v>
      </c>
    </row>
    <row r="221" spans="1:19" x14ac:dyDescent="0.25">
      <c r="A221">
        <v>220</v>
      </c>
      <c r="B221">
        <v>32</v>
      </c>
      <c r="C221" t="s">
        <v>19</v>
      </c>
      <c r="D221" t="s">
        <v>133</v>
      </c>
      <c r="E221" t="s">
        <v>69</v>
      </c>
      <c r="F221" s="1">
        <v>88</v>
      </c>
      <c r="G221" t="s">
        <v>107</v>
      </c>
      <c r="H221" t="s">
        <v>45</v>
      </c>
      <c r="I221" t="s">
        <v>109</v>
      </c>
      <c r="J221" t="s">
        <v>39</v>
      </c>
      <c r="K221" s="2">
        <v>3</v>
      </c>
      <c r="L221" t="s">
        <v>26</v>
      </c>
      <c r="M221" t="s">
        <v>29</v>
      </c>
      <c r="N221" t="s">
        <v>40</v>
      </c>
      <c r="O221" t="s">
        <v>26</v>
      </c>
      <c r="P221" t="s">
        <v>26</v>
      </c>
      <c r="Q221" s="3">
        <v>12</v>
      </c>
      <c r="R221" t="s">
        <v>35</v>
      </c>
      <c r="S221" t="s">
        <v>30</v>
      </c>
    </row>
    <row r="222" spans="1:19" x14ac:dyDescent="0.25">
      <c r="A222">
        <v>221</v>
      </c>
      <c r="B222">
        <v>39</v>
      </c>
      <c r="C222" t="s">
        <v>19</v>
      </c>
      <c r="D222" t="s">
        <v>51</v>
      </c>
      <c r="E222" t="s">
        <v>43</v>
      </c>
      <c r="F222" s="1">
        <v>57</v>
      </c>
      <c r="G222" t="s">
        <v>117</v>
      </c>
      <c r="H222" t="s">
        <v>38</v>
      </c>
      <c r="I222" t="s">
        <v>126</v>
      </c>
      <c r="J222" t="s">
        <v>39</v>
      </c>
      <c r="K222" s="2">
        <v>3.7</v>
      </c>
      <c r="L222" t="s">
        <v>26</v>
      </c>
      <c r="M222" t="s">
        <v>59</v>
      </c>
      <c r="N222" t="s">
        <v>28</v>
      </c>
      <c r="O222" t="s">
        <v>26</v>
      </c>
      <c r="P222" t="s">
        <v>26</v>
      </c>
      <c r="Q222" s="3">
        <v>48</v>
      </c>
      <c r="R222" t="s">
        <v>59</v>
      </c>
      <c r="S222" t="s">
        <v>30</v>
      </c>
    </row>
    <row r="223" spans="1:19" x14ac:dyDescent="0.25">
      <c r="A223">
        <v>222</v>
      </c>
      <c r="B223">
        <v>28</v>
      </c>
      <c r="C223" t="s">
        <v>19</v>
      </c>
      <c r="D223" t="s">
        <v>124</v>
      </c>
      <c r="E223" t="s">
        <v>69</v>
      </c>
      <c r="F223" s="1">
        <v>68</v>
      </c>
      <c r="G223" t="s">
        <v>98</v>
      </c>
      <c r="H223" t="s">
        <v>92</v>
      </c>
      <c r="I223" t="s">
        <v>136</v>
      </c>
      <c r="J223" t="s">
        <v>54</v>
      </c>
      <c r="K223" s="2">
        <v>4.4000000000000004</v>
      </c>
      <c r="L223" t="s">
        <v>26</v>
      </c>
      <c r="M223" t="s">
        <v>59</v>
      </c>
      <c r="N223" t="s">
        <v>76</v>
      </c>
      <c r="O223" t="s">
        <v>26</v>
      </c>
      <c r="P223" t="s">
        <v>26</v>
      </c>
      <c r="Q223" s="3">
        <v>6</v>
      </c>
      <c r="R223" t="s">
        <v>34</v>
      </c>
      <c r="S223" t="s">
        <v>60</v>
      </c>
    </row>
    <row r="224" spans="1:19" x14ac:dyDescent="0.25">
      <c r="A224">
        <v>223</v>
      </c>
      <c r="B224">
        <v>47</v>
      </c>
      <c r="C224" t="s">
        <v>19</v>
      </c>
      <c r="D224" t="s">
        <v>143</v>
      </c>
      <c r="E224" t="s">
        <v>69</v>
      </c>
      <c r="F224" s="1">
        <v>94</v>
      </c>
      <c r="G224" t="s">
        <v>85</v>
      </c>
      <c r="H224" t="s">
        <v>92</v>
      </c>
      <c r="I224" t="s">
        <v>24</v>
      </c>
      <c r="J224" t="s">
        <v>39</v>
      </c>
      <c r="K224" s="2">
        <v>4.5</v>
      </c>
      <c r="L224" t="s">
        <v>26</v>
      </c>
      <c r="M224" t="s">
        <v>29</v>
      </c>
      <c r="N224" t="s">
        <v>72</v>
      </c>
      <c r="O224" t="s">
        <v>26</v>
      </c>
      <c r="P224" t="s">
        <v>26</v>
      </c>
      <c r="Q224" s="3">
        <v>14</v>
      </c>
      <c r="R224" t="s">
        <v>46</v>
      </c>
      <c r="S224" t="s">
        <v>30</v>
      </c>
    </row>
    <row r="225" spans="1:19" x14ac:dyDescent="0.25">
      <c r="A225">
        <v>224</v>
      </c>
      <c r="B225">
        <v>20</v>
      </c>
      <c r="C225" t="s">
        <v>19</v>
      </c>
      <c r="D225" t="s">
        <v>95</v>
      </c>
      <c r="E225" t="s">
        <v>21</v>
      </c>
      <c r="F225" s="1">
        <v>41</v>
      </c>
      <c r="G225" t="s">
        <v>52</v>
      </c>
      <c r="H225" t="s">
        <v>45</v>
      </c>
      <c r="I225" t="s">
        <v>49</v>
      </c>
      <c r="J225" t="s">
        <v>39</v>
      </c>
      <c r="K225" s="2">
        <v>4.8</v>
      </c>
      <c r="L225" t="s">
        <v>26</v>
      </c>
      <c r="M225" t="s">
        <v>29</v>
      </c>
      <c r="N225" t="s">
        <v>40</v>
      </c>
      <c r="O225" t="s">
        <v>26</v>
      </c>
      <c r="P225" t="s">
        <v>26</v>
      </c>
      <c r="Q225" s="3">
        <v>34</v>
      </c>
      <c r="R225" t="s">
        <v>46</v>
      </c>
      <c r="S225" t="s">
        <v>50</v>
      </c>
    </row>
    <row r="226" spans="1:19" x14ac:dyDescent="0.25">
      <c r="A226">
        <v>225</v>
      </c>
      <c r="B226">
        <v>63</v>
      </c>
      <c r="C226" t="s">
        <v>19</v>
      </c>
      <c r="D226" t="s">
        <v>125</v>
      </c>
      <c r="E226" t="s">
        <v>21</v>
      </c>
      <c r="F226" s="1">
        <v>83</v>
      </c>
      <c r="G226" t="s">
        <v>147</v>
      </c>
      <c r="H226" t="s">
        <v>38</v>
      </c>
      <c r="I226" t="s">
        <v>118</v>
      </c>
      <c r="J226" t="s">
        <v>54</v>
      </c>
      <c r="K226" s="2">
        <v>2.9</v>
      </c>
      <c r="L226" t="s">
        <v>26</v>
      </c>
      <c r="M226" t="s">
        <v>46</v>
      </c>
      <c r="N226" t="s">
        <v>40</v>
      </c>
      <c r="O226" t="s">
        <v>26</v>
      </c>
      <c r="P226" t="s">
        <v>26</v>
      </c>
      <c r="Q226" s="3">
        <v>12</v>
      </c>
      <c r="R226" t="s">
        <v>35</v>
      </c>
      <c r="S226" t="s">
        <v>97</v>
      </c>
    </row>
    <row r="227" spans="1:19" x14ac:dyDescent="0.25">
      <c r="A227">
        <v>226</v>
      </c>
      <c r="B227">
        <v>25</v>
      </c>
      <c r="C227" t="s">
        <v>19</v>
      </c>
      <c r="D227" t="s">
        <v>102</v>
      </c>
      <c r="E227" t="s">
        <v>65</v>
      </c>
      <c r="F227" s="1">
        <v>22</v>
      </c>
      <c r="G227" t="s">
        <v>74</v>
      </c>
      <c r="H227" t="s">
        <v>45</v>
      </c>
      <c r="I227" t="s">
        <v>79</v>
      </c>
      <c r="J227" t="s">
        <v>39</v>
      </c>
      <c r="K227" s="2">
        <v>3.2</v>
      </c>
      <c r="L227" t="s">
        <v>26</v>
      </c>
      <c r="M227" t="s">
        <v>59</v>
      </c>
      <c r="N227" t="s">
        <v>47</v>
      </c>
      <c r="O227" t="s">
        <v>26</v>
      </c>
      <c r="P227" t="s">
        <v>26</v>
      </c>
      <c r="Q227" s="3">
        <v>11</v>
      </c>
      <c r="R227" t="s">
        <v>34</v>
      </c>
      <c r="S227" t="s">
        <v>50</v>
      </c>
    </row>
    <row r="228" spans="1:19" x14ac:dyDescent="0.25">
      <c r="A228">
        <v>227</v>
      </c>
      <c r="B228">
        <v>29</v>
      </c>
      <c r="C228" t="s">
        <v>19</v>
      </c>
      <c r="D228" t="s">
        <v>73</v>
      </c>
      <c r="E228" t="s">
        <v>43</v>
      </c>
      <c r="F228" s="1">
        <v>74</v>
      </c>
      <c r="G228" t="s">
        <v>105</v>
      </c>
      <c r="H228" t="s">
        <v>23</v>
      </c>
      <c r="I228" t="s">
        <v>84</v>
      </c>
      <c r="J228" t="s">
        <v>39</v>
      </c>
      <c r="K228" s="2">
        <v>3.3</v>
      </c>
      <c r="L228" t="s">
        <v>26</v>
      </c>
      <c r="M228" t="s">
        <v>35</v>
      </c>
      <c r="N228" t="s">
        <v>40</v>
      </c>
      <c r="O228" t="s">
        <v>26</v>
      </c>
      <c r="P228" t="s">
        <v>26</v>
      </c>
      <c r="Q228" s="3">
        <v>5</v>
      </c>
      <c r="R228" t="s">
        <v>46</v>
      </c>
      <c r="S228" t="s">
        <v>88</v>
      </c>
    </row>
    <row r="229" spans="1:19" x14ac:dyDescent="0.25">
      <c r="A229">
        <v>228</v>
      </c>
      <c r="B229">
        <v>50</v>
      </c>
      <c r="C229" t="s">
        <v>19</v>
      </c>
      <c r="D229" t="s">
        <v>36</v>
      </c>
      <c r="E229" t="s">
        <v>21</v>
      </c>
      <c r="F229" s="1">
        <v>90</v>
      </c>
      <c r="G229" t="s">
        <v>44</v>
      </c>
      <c r="H229" t="s">
        <v>45</v>
      </c>
      <c r="I229" t="s">
        <v>49</v>
      </c>
      <c r="J229" t="s">
        <v>25</v>
      </c>
      <c r="K229" s="2">
        <v>4.2</v>
      </c>
      <c r="L229" t="s">
        <v>26</v>
      </c>
      <c r="M229" t="s">
        <v>29</v>
      </c>
      <c r="N229" t="s">
        <v>55</v>
      </c>
      <c r="O229" t="s">
        <v>26</v>
      </c>
      <c r="P229" t="s">
        <v>26</v>
      </c>
      <c r="Q229" s="3">
        <v>25</v>
      </c>
      <c r="R229" t="s">
        <v>29</v>
      </c>
      <c r="S229" t="s">
        <v>30</v>
      </c>
    </row>
    <row r="230" spans="1:19" x14ac:dyDescent="0.25">
      <c r="A230">
        <v>229</v>
      </c>
      <c r="B230">
        <v>18</v>
      </c>
      <c r="C230" t="s">
        <v>19</v>
      </c>
      <c r="D230" t="s">
        <v>125</v>
      </c>
      <c r="E230" t="s">
        <v>21</v>
      </c>
      <c r="F230" s="1">
        <v>79</v>
      </c>
      <c r="G230" t="s">
        <v>83</v>
      </c>
      <c r="H230" t="s">
        <v>45</v>
      </c>
      <c r="I230" t="s">
        <v>53</v>
      </c>
      <c r="J230" t="s">
        <v>39</v>
      </c>
      <c r="K230" s="2">
        <v>2.9</v>
      </c>
      <c r="L230" t="s">
        <v>26</v>
      </c>
      <c r="M230" t="s">
        <v>27</v>
      </c>
      <c r="N230" t="s">
        <v>76</v>
      </c>
      <c r="O230" t="s">
        <v>26</v>
      </c>
      <c r="P230" t="s">
        <v>26</v>
      </c>
      <c r="Q230" s="3">
        <v>11</v>
      </c>
      <c r="R230" t="s">
        <v>27</v>
      </c>
      <c r="S230" t="s">
        <v>50</v>
      </c>
    </row>
    <row r="231" spans="1:19" x14ac:dyDescent="0.25">
      <c r="A231">
        <v>230</v>
      </c>
      <c r="B231">
        <v>70</v>
      </c>
      <c r="C231" t="s">
        <v>19</v>
      </c>
      <c r="D231" t="s">
        <v>42</v>
      </c>
      <c r="E231" t="s">
        <v>43</v>
      </c>
      <c r="F231" s="1">
        <v>28</v>
      </c>
      <c r="G231" t="s">
        <v>123</v>
      </c>
      <c r="H231" t="s">
        <v>38</v>
      </c>
      <c r="I231" t="s">
        <v>67</v>
      </c>
      <c r="J231" t="s">
        <v>39</v>
      </c>
      <c r="K231" s="2">
        <v>4.5999999999999996</v>
      </c>
      <c r="L231" t="s">
        <v>26</v>
      </c>
      <c r="M231" t="s">
        <v>35</v>
      </c>
      <c r="N231" t="s">
        <v>47</v>
      </c>
      <c r="O231" t="s">
        <v>26</v>
      </c>
      <c r="P231" t="s">
        <v>26</v>
      </c>
      <c r="Q231" s="3">
        <v>27</v>
      </c>
      <c r="R231" t="s">
        <v>46</v>
      </c>
      <c r="S231" t="s">
        <v>97</v>
      </c>
    </row>
    <row r="232" spans="1:19" x14ac:dyDescent="0.25">
      <c r="A232">
        <v>231</v>
      </c>
      <c r="B232">
        <v>66</v>
      </c>
      <c r="C232" t="s">
        <v>19</v>
      </c>
      <c r="D232" t="s">
        <v>119</v>
      </c>
      <c r="E232" t="s">
        <v>69</v>
      </c>
      <c r="F232" s="1">
        <v>88</v>
      </c>
      <c r="G232" t="s">
        <v>140</v>
      </c>
      <c r="H232" t="s">
        <v>23</v>
      </c>
      <c r="I232" t="s">
        <v>79</v>
      </c>
      <c r="J232" t="s">
        <v>58</v>
      </c>
      <c r="K232" s="2">
        <v>4.0999999999999996</v>
      </c>
      <c r="L232" t="s">
        <v>26</v>
      </c>
      <c r="M232" t="s">
        <v>29</v>
      </c>
      <c r="N232" t="s">
        <v>55</v>
      </c>
      <c r="O232" t="s">
        <v>26</v>
      </c>
      <c r="P232" t="s">
        <v>26</v>
      </c>
      <c r="Q232" s="3">
        <v>43</v>
      </c>
      <c r="R232" t="s">
        <v>27</v>
      </c>
      <c r="S232" t="s">
        <v>50</v>
      </c>
    </row>
    <row r="233" spans="1:19" x14ac:dyDescent="0.25">
      <c r="A233">
        <v>232</v>
      </c>
      <c r="B233">
        <v>28</v>
      </c>
      <c r="C233" t="s">
        <v>19</v>
      </c>
      <c r="D233" t="s">
        <v>20</v>
      </c>
      <c r="E233" t="s">
        <v>21</v>
      </c>
      <c r="F233" s="1">
        <v>26</v>
      </c>
      <c r="G233" t="s">
        <v>122</v>
      </c>
      <c r="H233" t="s">
        <v>45</v>
      </c>
      <c r="I233" t="s">
        <v>144</v>
      </c>
      <c r="J233" t="s">
        <v>39</v>
      </c>
      <c r="K233" s="2">
        <v>3.1</v>
      </c>
      <c r="L233" t="s">
        <v>26</v>
      </c>
      <c r="M233" t="s">
        <v>34</v>
      </c>
      <c r="N233" t="s">
        <v>72</v>
      </c>
      <c r="O233" t="s">
        <v>26</v>
      </c>
      <c r="P233" t="s">
        <v>26</v>
      </c>
      <c r="Q233" s="3">
        <v>18</v>
      </c>
      <c r="R233" t="s">
        <v>59</v>
      </c>
      <c r="S233" t="s">
        <v>97</v>
      </c>
    </row>
    <row r="234" spans="1:19" x14ac:dyDescent="0.25">
      <c r="A234">
        <v>233</v>
      </c>
      <c r="B234">
        <v>54</v>
      </c>
      <c r="C234" t="s">
        <v>19</v>
      </c>
      <c r="D234" t="s">
        <v>106</v>
      </c>
      <c r="E234" t="s">
        <v>69</v>
      </c>
      <c r="F234" s="1">
        <v>27</v>
      </c>
      <c r="G234" t="s">
        <v>78</v>
      </c>
      <c r="H234" t="s">
        <v>23</v>
      </c>
      <c r="I234" t="s">
        <v>75</v>
      </c>
      <c r="J234" t="s">
        <v>25</v>
      </c>
      <c r="K234" s="2">
        <v>4.2</v>
      </c>
      <c r="L234" t="s">
        <v>26</v>
      </c>
      <c r="M234" t="s">
        <v>34</v>
      </c>
      <c r="N234" t="s">
        <v>28</v>
      </c>
      <c r="O234" t="s">
        <v>26</v>
      </c>
      <c r="P234" t="s">
        <v>26</v>
      </c>
      <c r="Q234" s="3">
        <v>32</v>
      </c>
      <c r="R234" t="s">
        <v>34</v>
      </c>
      <c r="S234" t="s">
        <v>77</v>
      </c>
    </row>
    <row r="235" spans="1:19" x14ac:dyDescent="0.25">
      <c r="A235">
        <v>234</v>
      </c>
      <c r="B235">
        <v>19</v>
      </c>
      <c r="C235" t="s">
        <v>19</v>
      </c>
      <c r="D235" t="s">
        <v>31</v>
      </c>
      <c r="E235" t="s">
        <v>21</v>
      </c>
      <c r="F235" s="1">
        <v>83</v>
      </c>
      <c r="G235" t="s">
        <v>117</v>
      </c>
      <c r="H235" t="s">
        <v>92</v>
      </c>
      <c r="I235" t="s">
        <v>134</v>
      </c>
      <c r="J235" t="s">
        <v>58</v>
      </c>
      <c r="K235" s="2">
        <v>4.5</v>
      </c>
      <c r="L235" t="s">
        <v>26</v>
      </c>
      <c r="M235" t="s">
        <v>46</v>
      </c>
      <c r="N235" t="s">
        <v>47</v>
      </c>
      <c r="O235" t="s">
        <v>26</v>
      </c>
      <c r="P235" t="s">
        <v>26</v>
      </c>
      <c r="Q235" s="3">
        <v>27</v>
      </c>
      <c r="R235" t="s">
        <v>34</v>
      </c>
      <c r="S235" t="s">
        <v>97</v>
      </c>
    </row>
    <row r="236" spans="1:19" x14ac:dyDescent="0.25">
      <c r="A236">
        <v>235</v>
      </c>
      <c r="B236">
        <v>20</v>
      </c>
      <c r="C236" t="s">
        <v>19</v>
      </c>
      <c r="D236" t="s">
        <v>143</v>
      </c>
      <c r="E236" t="s">
        <v>69</v>
      </c>
      <c r="F236" s="1">
        <v>39</v>
      </c>
      <c r="G236" t="s">
        <v>147</v>
      </c>
      <c r="H236" t="s">
        <v>38</v>
      </c>
      <c r="I236" t="s">
        <v>67</v>
      </c>
      <c r="J236" t="s">
        <v>54</v>
      </c>
      <c r="K236" s="2">
        <v>3.7</v>
      </c>
      <c r="L236" t="s">
        <v>26</v>
      </c>
      <c r="M236" t="s">
        <v>46</v>
      </c>
      <c r="N236" t="s">
        <v>47</v>
      </c>
      <c r="O236" t="s">
        <v>26</v>
      </c>
      <c r="P236" t="s">
        <v>26</v>
      </c>
      <c r="Q236" s="3">
        <v>24</v>
      </c>
      <c r="R236" t="s">
        <v>27</v>
      </c>
      <c r="S236" t="s">
        <v>41</v>
      </c>
    </row>
    <row r="237" spans="1:19" x14ac:dyDescent="0.25">
      <c r="A237">
        <v>236</v>
      </c>
      <c r="B237">
        <v>43</v>
      </c>
      <c r="C237" t="s">
        <v>19</v>
      </c>
      <c r="D237" t="s">
        <v>89</v>
      </c>
      <c r="E237" t="s">
        <v>69</v>
      </c>
      <c r="F237" s="1">
        <v>89</v>
      </c>
      <c r="G237" t="s">
        <v>127</v>
      </c>
      <c r="H237" t="s">
        <v>45</v>
      </c>
      <c r="I237" t="s">
        <v>109</v>
      </c>
      <c r="J237" t="s">
        <v>25</v>
      </c>
      <c r="K237" s="2">
        <v>3.7</v>
      </c>
      <c r="L237" t="s">
        <v>26</v>
      </c>
      <c r="M237" t="s">
        <v>35</v>
      </c>
      <c r="N237" t="s">
        <v>40</v>
      </c>
      <c r="O237" t="s">
        <v>26</v>
      </c>
      <c r="P237" t="s">
        <v>26</v>
      </c>
      <c r="Q237" s="3">
        <v>31</v>
      </c>
      <c r="R237" t="s">
        <v>59</v>
      </c>
      <c r="S237" t="s">
        <v>60</v>
      </c>
    </row>
    <row r="238" spans="1:19" x14ac:dyDescent="0.25">
      <c r="A238">
        <v>237</v>
      </c>
      <c r="B238">
        <v>38</v>
      </c>
      <c r="C238" t="s">
        <v>19</v>
      </c>
      <c r="D238" t="s">
        <v>64</v>
      </c>
      <c r="E238" t="s">
        <v>65</v>
      </c>
      <c r="F238" s="1">
        <v>68</v>
      </c>
      <c r="G238" t="s">
        <v>114</v>
      </c>
      <c r="H238" t="s">
        <v>23</v>
      </c>
      <c r="I238" t="s">
        <v>96</v>
      </c>
      <c r="J238" t="s">
        <v>25</v>
      </c>
      <c r="K238" s="2">
        <v>3.4</v>
      </c>
      <c r="L238" t="s">
        <v>26</v>
      </c>
      <c r="M238" t="s">
        <v>59</v>
      </c>
      <c r="N238" t="s">
        <v>47</v>
      </c>
      <c r="O238" t="s">
        <v>26</v>
      </c>
      <c r="P238" t="s">
        <v>26</v>
      </c>
      <c r="Q238" s="3">
        <v>39</v>
      </c>
      <c r="R238" t="s">
        <v>46</v>
      </c>
      <c r="S238" t="s">
        <v>30</v>
      </c>
    </row>
    <row r="239" spans="1:19" x14ac:dyDescent="0.25">
      <c r="A239">
        <v>238</v>
      </c>
      <c r="B239">
        <v>50</v>
      </c>
      <c r="C239" t="s">
        <v>19</v>
      </c>
      <c r="D239" t="s">
        <v>82</v>
      </c>
      <c r="E239" t="s">
        <v>21</v>
      </c>
      <c r="F239" s="1">
        <v>90</v>
      </c>
      <c r="G239" t="s">
        <v>146</v>
      </c>
      <c r="H239" t="s">
        <v>45</v>
      </c>
      <c r="I239" t="s">
        <v>118</v>
      </c>
      <c r="J239" t="s">
        <v>54</v>
      </c>
      <c r="K239" s="2">
        <v>3</v>
      </c>
      <c r="L239" t="s">
        <v>26</v>
      </c>
      <c r="M239" t="s">
        <v>29</v>
      </c>
      <c r="N239" t="s">
        <v>76</v>
      </c>
      <c r="O239" t="s">
        <v>26</v>
      </c>
      <c r="P239" t="s">
        <v>26</v>
      </c>
      <c r="Q239" s="3">
        <v>36</v>
      </c>
      <c r="R239" t="s">
        <v>59</v>
      </c>
      <c r="S239" t="s">
        <v>30</v>
      </c>
    </row>
    <row r="240" spans="1:19" x14ac:dyDescent="0.25">
      <c r="A240">
        <v>239</v>
      </c>
      <c r="B240">
        <v>64</v>
      </c>
      <c r="C240" t="s">
        <v>19</v>
      </c>
      <c r="D240" t="s">
        <v>87</v>
      </c>
      <c r="E240" t="s">
        <v>21</v>
      </c>
      <c r="F240" s="1">
        <v>34</v>
      </c>
      <c r="G240" t="s">
        <v>123</v>
      </c>
      <c r="H240" t="s">
        <v>45</v>
      </c>
      <c r="I240" t="s">
        <v>100</v>
      </c>
      <c r="J240" t="s">
        <v>58</v>
      </c>
      <c r="K240" s="2">
        <v>4.2</v>
      </c>
      <c r="L240" t="s">
        <v>26</v>
      </c>
      <c r="M240" t="s">
        <v>59</v>
      </c>
      <c r="N240" t="s">
        <v>40</v>
      </c>
      <c r="O240" t="s">
        <v>26</v>
      </c>
      <c r="P240" t="s">
        <v>26</v>
      </c>
      <c r="Q240" s="3">
        <v>5</v>
      </c>
      <c r="R240" t="s">
        <v>35</v>
      </c>
      <c r="S240" t="s">
        <v>50</v>
      </c>
    </row>
    <row r="241" spans="1:19" x14ac:dyDescent="0.25">
      <c r="A241">
        <v>240</v>
      </c>
      <c r="B241">
        <v>49</v>
      </c>
      <c r="C241" t="s">
        <v>19</v>
      </c>
      <c r="D241" t="s">
        <v>95</v>
      </c>
      <c r="E241" t="s">
        <v>21</v>
      </c>
      <c r="F241" s="1">
        <v>51</v>
      </c>
      <c r="G241" t="s">
        <v>129</v>
      </c>
      <c r="H241" t="s">
        <v>23</v>
      </c>
      <c r="I241" t="s">
        <v>134</v>
      </c>
      <c r="J241" t="s">
        <v>54</v>
      </c>
      <c r="K241" s="2">
        <v>2.9</v>
      </c>
      <c r="L241" t="s">
        <v>26</v>
      </c>
      <c r="M241" t="s">
        <v>46</v>
      </c>
      <c r="N241" t="s">
        <v>28</v>
      </c>
      <c r="O241" t="s">
        <v>26</v>
      </c>
      <c r="P241" t="s">
        <v>26</v>
      </c>
      <c r="Q241" s="3">
        <v>47</v>
      </c>
      <c r="R241" t="s">
        <v>27</v>
      </c>
      <c r="S241" t="s">
        <v>77</v>
      </c>
    </row>
    <row r="242" spans="1:19" x14ac:dyDescent="0.25">
      <c r="A242">
        <v>241</v>
      </c>
      <c r="B242">
        <v>47</v>
      </c>
      <c r="C242" t="s">
        <v>19</v>
      </c>
      <c r="D242" t="s">
        <v>31</v>
      </c>
      <c r="E242" t="s">
        <v>21</v>
      </c>
      <c r="F242" s="1">
        <v>45</v>
      </c>
      <c r="G242" t="s">
        <v>57</v>
      </c>
      <c r="H242" t="s">
        <v>92</v>
      </c>
      <c r="I242" t="s">
        <v>49</v>
      </c>
      <c r="J242" t="s">
        <v>25</v>
      </c>
      <c r="K242" s="2">
        <v>3.5</v>
      </c>
      <c r="L242" t="s">
        <v>26</v>
      </c>
      <c r="M242" t="s">
        <v>27</v>
      </c>
      <c r="N242" t="s">
        <v>40</v>
      </c>
      <c r="O242" t="s">
        <v>26</v>
      </c>
      <c r="P242" t="s">
        <v>26</v>
      </c>
      <c r="Q242" s="3">
        <v>29</v>
      </c>
      <c r="R242" t="s">
        <v>34</v>
      </c>
      <c r="S242" t="s">
        <v>30</v>
      </c>
    </row>
    <row r="243" spans="1:19" x14ac:dyDescent="0.25">
      <c r="A243">
        <v>242</v>
      </c>
      <c r="B243">
        <v>36</v>
      </c>
      <c r="C243" t="s">
        <v>19</v>
      </c>
      <c r="D243" t="s">
        <v>104</v>
      </c>
      <c r="E243" t="s">
        <v>21</v>
      </c>
      <c r="F243" s="1">
        <v>88</v>
      </c>
      <c r="G243" t="s">
        <v>80</v>
      </c>
      <c r="H243" t="s">
        <v>45</v>
      </c>
      <c r="I243" t="s">
        <v>100</v>
      </c>
      <c r="J243" t="s">
        <v>25</v>
      </c>
      <c r="K243" s="2">
        <v>4.0999999999999996</v>
      </c>
      <c r="L243" t="s">
        <v>26</v>
      </c>
      <c r="M243" t="s">
        <v>46</v>
      </c>
      <c r="N243" t="s">
        <v>40</v>
      </c>
      <c r="O243" t="s">
        <v>26</v>
      </c>
      <c r="P243" t="s">
        <v>26</v>
      </c>
      <c r="Q243" s="3">
        <v>43</v>
      </c>
      <c r="R243" t="s">
        <v>29</v>
      </c>
      <c r="S243" t="s">
        <v>77</v>
      </c>
    </row>
    <row r="244" spans="1:19" x14ac:dyDescent="0.25">
      <c r="A244">
        <v>243</v>
      </c>
      <c r="B244">
        <v>55</v>
      </c>
      <c r="C244" t="s">
        <v>19</v>
      </c>
      <c r="D244" t="s">
        <v>64</v>
      </c>
      <c r="E244" t="s">
        <v>65</v>
      </c>
      <c r="F244" s="1">
        <v>85</v>
      </c>
      <c r="G244" t="s">
        <v>85</v>
      </c>
      <c r="H244" t="s">
        <v>23</v>
      </c>
      <c r="I244" t="s">
        <v>24</v>
      </c>
      <c r="J244" t="s">
        <v>54</v>
      </c>
      <c r="K244" s="2">
        <v>4.3</v>
      </c>
      <c r="L244" t="s">
        <v>26</v>
      </c>
      <c r="M244" t="s">
        <v>27</v>
      </c>
      <c r="N244" t="s">
        <v>76</v>
      </c>
      <c r="O244" t="s">
        <v>26</v>
      </c>
      <c r="P244" t="s">
        <v>26</v>
      </c>
      <c r="Q244" s="3">
        <v>40</v>
      </c>
      <c r="R244" t="s">
        <v>59</v>
      </c>
      <c r="S244" t="s">
        <v>97</v>
      </c>
    </row>
    <row r="245" spans="1:19" x14ac:dyDescent="0.25">
      <c r="A245">
        <v>244</v>
      </c>
      <c r="B245">
        <v>25</v>
      </c>
      <c r="C245" t="s">
        <v>19</v>
      </c>
      <c r="D245" t="s">
        <v>106</v>
      </c>
      <c r="E245" t="s">
        <v>69</v>
      </c>
      <c r="F245" s="1">
        <v>100</v>
      </c>
      <c r="G245" t="s">
        <v>22</v>
      </c>
      <c r="H245" t="s">
        <v>45</v>
      </c>
      <c r="I245" t="s">
        <v>79</v>
      </c>
      <c r="J245" t="s">
        <v>25</v>
      </c>
      <c r="K245" s="2">
        <v>2.8</v>
      </c>
      <c r="L245" t="s">
        <v>26</v>
      </c>
      <c r="M245" t="s">
        <v>27</v>
      </c>
      <c r="N245" t="s">
        <v>72</v>
      </c>
      <c r="O245" t="s">
        <v>26</v>
      </c>
      <c r="P245" t="s">
        <v>26</v>
      </c>
      <c r="Q245" s="3">
        <v>4</v>
      </c>
      <c r="R245" t="s">
        <v>59</v>
      </c>
      <c r="S245" t="s">
        <v>88</v>
      </c>
    </row>
    <row r="246" spans="1:19" x14ac:dyDescent="0.25">
      <c r="A246">
        <v>245</v>
      </c>
      <c r="B246">
        <v>53</v>
      </c>
      <c r="C246" t="s">
        <v>19</v>
      </c>
      <c r="D246" t="s">
        <v>133</v>
      </c>
      <c r="E246" t="s">
        <v>69</v>
      </c>
      <c r="F246" s="1">
        <v>42</v>
      </c>
      <c r="G246" t="s">
        <v>48</v>
      </c>
      <c r="H246" t="s">
        <v>38</v>
      </c>
      <c r="I246" t="s">
        <v>126</v>
      </c>
      <c r="J246" t="s">
        <v>39</v>
      </c>
      <c r="K246" s="2">
        <v>4.9000000000000004</v>
      </c>
      <c r="L246" t="s">
        <v>26</v>
      </c>
      <c r="M246" t="s">
        <v>59</v>
      </c>
      <c r="N246" t="s">
        <v>72</v>
      </c>
      <c r="O246" t="s">
        <v>26</v>
      </c>
      <c r="P246" t="s">
        <v>26</v>
      </c>
      <c r="Q246" s="3">
        <v>39</v>
      </c>
      <c r="R246" t="s">
        <v>46</v>
      </c>
      <c r="S246" t="s">
        <v>41</v>
      </c>
    </row>
    <row r="247" spans="1:19" x14ac:dyDescent="0.25">
      <c r="A247">
        <v>246</v>
      </c>
      <c r="B247">
        <v>49</v>
      </c>
      <c r="C247" t="s">
        <v>19</v>
      </c>
      <c r="D247" t="s">
        <v>42</v>
      </c>
      <c r="E247" t="s">
        <v>43</v>
      </c>
      <c r="F247" s="1">
        <v>53</v>
      </c>
      <c r="G247" t="s">
        <v>44</v>
      </c>
      <c r="H247" t="s">
        <v>23</v>
      </c>
      <c r="I247" t="s">
        <v>63</v>
      </c>
      <c r="J247" t="s">
        <v>54</v>
      </c>
      <c r="K247" s="2">
        <v>3.3</v>
      </c>
      <c r="L247" t="s">
        <v>26</v>
      </c>
      <c r="M247" t="s">
        <v>35</v>
      </c>
      <c r="N247" t="s">
        <v>47</v>
      </c>
      <c r="O247" t="s">
        <v>26</v>
      </c>
      <c r="P247" t="s">
        <v>26</v>
      </c>
      <c r="Q247" s="3">
        <v>45</v>
      </c>
      <c r="R247" t="s">
        <v>29</v>
      </c>
      <c r="S247" t="s">
        <v>30</v>
      </c>
    </row>
    <row r="248" spans="1:19" x14ac:dyDescent="0.25">
      <c r="A248">
        <v>247</v>
      </c>
      <c r="B248">
        <v>35</v>
      </c>
      <c r="C248" t="s">
        <v>19</v>
      </c>
      <c r="D248" t="s">
        <v>89</v>
      </c>
      <c r="E248" t="s">
        <v>69</v>
      </c>
      <c r="F248" s="1">
        <v>86</v>
      </c>
      <c r="G248" t="s">
        <v>107</v>
      </c>
      <c r="H248" t="s">
        <v>92</v>
      </c>
      <c r="I248" t="s">
        <v>118</v>
      </c>
      <c r="J248" t="s">
        <v>39</v>
      </c>
      <c r="K248" s="2">
        <v>3.2</v>
      </c>
      <c r="L248" t="s">
        <v>26</v>
      </c>
      <c r="M248" t="s">
        <v>27</v>
      </c>
      <c r="N248" t="s">
        <v>28</v>
      </c>
      <c r="O248" t="s">
        <v>26</v>
      </c>
      <c r="P248" t="s">
        <v>26</v>
      </c>
      <c r="Q248" s="3">
        <v>20</v>
      </c>
      <c r="R248" t="s">
        <v>29</v>
      </c>
      <c r="S248" t="s">
        <v>77</v>
      </c>
    </row>
    <row r="249" spans="1:19" x14ac:dyDescent="0.25">
      <c r="A249">
        <v>248</v>
      </c>
      <c r="B249">
        <v>29</v>
      </c>
      <c r="C249" t="s">
        <v>19</v>
      </c>
      <c r="D249" t="s">
        <v>31</v>
      </c>
      <c r="E249" t="s">
        <v>21</v>
      </c>
      <c r="F249" s="1">
        <v>66</v>
      </c>
      <c r="G249" t="s">
        <v>57</v>
      </c>
      <c r="H249" t="s">
        <v>92</v>
      </c>
      <c r="I249" t="s">
        <v>110</v>
      </c>
      <c r="J249" t="s">
        <v>39</v>
      </c>
      <c r="K249" s="2">
        <v>4.4000000000000004</v>
      </c>
      <c r="L249" t="s">
        <v>26</v>
      </c>
      <c r="M249" t="s">
        <v>27</v>
      </c>
      <c r="N249" t="s">
        <v>55</v>
      </c>
      <c r="O249" t="s">
        <v>26</v>
      </c>
      <c r="P249" t="s">
        <v>26</v>
      </c>
      <c r="Q249" s="3">
        <v>14</v>
      </c>
      <c r="R249" t="s">
        <v>59</v>
      </c>
      <c r="S249" t="s">
        <v>41</v>
      </c>
    </row>
    <row r="250" spans="1:19" x14ac:dyDescent="0.25">
      <c r="A250">
        <v>249</v>
      </c>
      <c r="B250">
        <v>47</v>
      </c>
      <c r="C250" t="s">
        <v>19</v>
      </c>
      <c r="D250" t="s">
        <v>133</v>
      </c>
      <c r="E250" t="s">
        <v>69</v>
      </c>
      <c r="F250" s="1">
        <v>100</v>
      </c>
      <c r="G250" t="s">
        <v>138</v>
      </c>
      <c r="H250" t="s">
        <v>45</v>
      </c>
      <c r="I250" t="s">
        <v>144</v>
      </c>
      <c r="J250" t="s">
        <v>25</v>
      </c>
      <c r="K250" s="2">
        <v>4.8</v>
      </c>
      <c r="L250" t="s">
        <v>26</v>
      </c>
      <c r="M250" t="s">
        <v>29</v>
      </c>
      <c r="N250" t="s">
        <v>28</v>
      </c>
      <c r="O250" t="s">
        <v>26</v>
      </c>
      <c r="P250" t="s">
        <v>26</v>
      </c>
      <c r="Q250" s="3">
        <v>33</v>
      </c>
      <c r="R250" t="s">
        <v>46</v>
      </c>
      <c r="S250" t="s">
        <v>41</v>
      </c>
    </row>
    <row r="251" spans="1:19" x14ac:dyDescent="0.25">
      <c r="A251">
        <v>250</v>
      </c>
      <c r="B251">
        <v>53</v>
      </c>
      <c r="C251" t="s">
        <v>19</v>
      </c>
      <c r="D251" t="s">
        <v>68</v>
      </c>
      <c r="E251" t="s">
        <v>69</v>
      </c>
      <c r="F251" s="1">
        <v>47</v>
      </c>
      <c r="G251" t="s">
        <v>120</v>
      </c>
      <c r="H251" t="s">
        <v>38</v>
      </c>
      <c r="I251" t="s">
        <v>86</v>
      </c>
      <c r="J251" t="s">
        <v>58</v>
      </c>
      <c r="K251" s="2">
        <v>4.2</v>
      </c>
      <c r="L251" t="s">
        <v>26</v>
      </c>
      <c r="M251" t="s">
        <v>35</v>
      </c>
      <c r="N251" t="s">
        <v>55</v>
      </c>
      <c r="O251" t="s">
        <v>26</v>
      </c>
      <c r="P251" t="s">
        <v>26</v>
      </c>
      <c r="Q251" s="3">
        <v>18</v>
      </c>
      <c r="R251" t="s">
        <v>27</v>
      </c>
      <c r="S251" t="s">
        <v>50</v>
      </c>
    </row>
    <row r="252" spans="1:19" x14ac:dyDescent="0.25">
      <c r="A252">
        <v>251</v>
      </c>
      <c r="B252">
        <v>33</v>
      </c>
      <c r="C252" t="s">
        <v>19</v>
      </c>
      <c r="D252" t="s">
        <v>87</v>
      </c>
      <c r="E252" t="s">
        <v>21</v>
      </c>
      <c r="F252" s="1">
        <v>25</v>
      </c>
      <c r="G252" t="s">
        <v>91</v>
      </c>
      <c r="H252" t="s">
        <v>23</v>
      </c>
      <c r="I252" t="s">
        <v>94</v>
      </c>
      <c r="J252" t="s">
        <v>58</v>
      </c>
      <c r="K252" s="2">
        <v>4</v>
      </c>
      <c r="L252" t="s">
        <v>26</v>
      </c>
      <c r="M252" t="s">
        <v>59</v>
      </c>
      <c r="N252" t="s">
        <v>28</v>
      </c>
      <c r="O252" t="s">
        <v>26</v>
      </c>
      <c r="P252" t="s">
        <v>26</v>
      </c>
      <c r="Q252" s="3">
        <v>9</v>
      </c>
      <c r="R252" t="s">
        <v>34</v>
      </c>
      <c r="S252" t="s">
        <v>41</v>
      </c>
    </row>
    <row r="253" spans="1:19" x14ac:dyDescent="0.25">
      <c r="A253">
        <v>252</v>
      </c>
      <c r="B253">
        <v>21</v>
      </c>
      <c r="C253" t="s">
        <v>19</v>
      </c>
      <c r="D253" t="s">
        <v>68</v>
      </c>
      <c r="E253" t="s">
        <v>69</v>
      </c>
      <c r="F253" s="1">
        <v>51</v>
      </c>
      <c r="G253" t="s">
        <v>52</v>
      </c>
      <c r="H253" t="s">
        <v>92</v>
      </c>
      <c r="I253" t="s">
        <v>81</v>
      </c>
      <c r="J253" t="s">
        <v>25</v>
      </c>
      <c r="K253" s="2">
        <v>2.5</v>
      </c>
      <c r="L253" t="s">
        <v>26</v>
      </c>
      <c r="M253" t="s">
        <v>46</v>
      </c>
      <c r="N253" t="s">
        <v>55</v>
      </c>
      <c r="O253" t="s">
        <v>26</v>
      </c>
      <c r="P253" t="s">
        <v>26</v>
      </c>
      <c r="Q253" s="3">
        <v>34</v>
      </c>
      <c r="R253" t="s">
        <v>46</v>
      </c>
      <c r="S253" t="s">
        <v>50</v>
      </c>
    </row>
    <row r="254" spans="1:19" x14ac:dyDescent="0.25">
      <c r="A254">
        <v>253</v>
      </c>
      <c r="B254">
        <v>32</v>
      </c>
      <c r="C254" t="s">
        <v>19</v>
      </c>
      <c r="D254" t="s">
        <v>61</v>
      </c>
      <c r="E254" t="s">
        <v>21</v>
      </c>
      <c r="F254" s="1">
        <v>41</v>
      </c>
      <c r="G254" t="s">
        <v>80</v>
      </c>
      <c r="H254" t="s">
        <v>45</v>
      </c>
      <c r="I254" t="s">
        <v>84</v>
      </c>
      <c r="J254" t="s">
        <v>54</v>
      </c>
      <c r="K254" s="2">
        <v>3.9</v>
      </c>
      <c r="L254" t="s">
        <v>26</v>
      </c>
      <c r="M254" t="s">
        <v>35</v>
      </c>
      <c r="N254" t="s">
        <v>40</v>
      </c>
      <c r="O254" t="s">
        <v>26</v>
      </c>
      <c r="P254" t="s">
        <v>26</v>
      </c>
      <c r="Q254" s="3">
        <v>33</v>
      </c>
      <c r="R254" t="s">
        <v>29</v>
      </c>
      <c r="S254" t="s">
        <v>30</v>
      </c>
    </row>
    <row r="255" spans="1:19" x14ac:dyDescent="0.25">
      <c r="A255">
        <v>254</v>
      </c>
      <c r="B255">
        <v>52</v>
      </c>
      <c r="C255" t="s">
        <v>19</v>
      </c>
      <c r="D255" t="s">
        <v>137</v>
      </c>
      <c r="E255" t="s">
        <v>43</v>
      </c>
      <c r="F255" s="1">
        <v>73</v>
      </c>
      <c r="G255" t="s">
        <v>101</v>
      </c>
      <c r="H255" t="s">
        <v>23</v>
      </c>
      <c r="I255" t="s">
        <v>109</v>
      </c>
      <c r="J255" t="s">
        <v>25</v>
      </c>
      <c r="K255" s="2">
        <v>4.9000000000000004</v>
      </c>
      <c r="L255" t="s">
        <v>26</v>
      </c>
      <c r="M255" t="s">
        <v>46</v>
      </c>
      <c r="N255" t="s">
        <v>72</v>
      </c>
      <c r="O255" t="s">
        <v>26</v>
      </c>
      <c r="P255" t="s">
        <v>26</v>
      </c>
      <c r="Q255" s="3">
        <v>15</v>
      </c>
      <c r="R255" t="s">
        <v>34</v>
      </c>
      <c r="S255" t="s">
        <v>77</v>
      </c>
    </row>
    <row r="256" spans="1:19" x14ac:dyDescent="0.25">
      <c r="A256">
        <v>255</v>
      </c>
      <c r="B256">
        <v>67</v>
      </c>
      <c r="C256" t="s">
        <v>19</v>
      </c>
      <c r="D256" t="s">
        <v>89</v>
      </c>
      <c r="E256" t="s">
        <v>69</v>
      </c>
      <c r="F256" s="1">
        <v>42</v>
      </c>
      <c r="G256" t="s">
        <v>116</v>
      </c>
      <c r="H256" t="s">
        <v>45</v>
      </c>
      <c r="I256" t="s">
        <v>53</v>
      </c>
      <c r="J256" t="s">
        <v>25</v>
      </c>
      <c r="K256" s="2">
        <v>3.5</v>
      </c>
      <c r="L256" t="s">
        <v>26</v>
      </c>
      <c r="M256" t="s">
        <v>27</v>
      </c>
      <c r="N256" t="s">
        <v>76</v>
      </c>
      <c r="O256" t="s">
        <v>26</v>
      </c>
      <c r="P256" t="s">
        <v>26</v>
      </c>
      <c r="Q256" s="3">
        <v>4</v>
      </c>
      <c r="R256" t="s">
        <v>46</v>
      </c>
      <c r="S256" t="s">
        <v>77</v>
      </c>
    </row>
    <row r="257" spans="1:19" x14ac:dyDescent="0.25">
      <c r="A257">
        <v>256</v>
      </c>
      <c r="B257">
        <v>43</v>
      </c>
      <c r="C257" t="s">
        <v>19</v>
      </c>
      <c r="D257" t="s">
        <v>119</v>
      </c>
      <c r="E257" t="s">
        <v>69</v>
      </c>
      <c r="F257" s="1">
        <v>20</v>
      </c>
      <c r="G257" t="s">
        <v>128</v>
      </c>
      <c r="H257" t="s">
        <v>45</v>
      </c>
      <c r="I257" t="s">
        <v>63</v>
      </c>
      <c r="J257" t="s">
        <v>39</v>
      </c>
      <c r="K257" s="2">
        <v>4.2</v>
      </c>
      <c r="L257" t="s">
        <v>26</v>
      </c>
      <c r="M257" t="s">
        <v>59</v>
      </c>
      <c r="N257" t="s">
        <v>40</v>
      </c>
      <c r="O257" t="s">
        <v>26</v>
      </c>
      <c r="P257" t="s">
        <v>26</v>
      </c>
      <c r="Q257" s="3">
        <v>25</v>
      </c>
      <c r="R257" t="s">
        <v>59</v>
      </c>
      <c r="S257" t="s">
        <v>50</v>
      </c>
    </row>
    <row r="258" spans="1:19" x14ac:dyDescent="0.25">
      <c r="A258">
        <v>257</v>
      </c>
      <c r="B258">
        <v>58</v>
      </c>
      <c r="C258" t="s">
        <v>19</v>
      </c>
      <c r="D258" t="s">
        <v>106</v>
      </c>
      <c r="E258" t="s">
        <v>69</v>
      </c>
      <c r="F258" s="1">
        <v>30</v>
      </c>
      <c r="G258" t="s">
        <v>147</v>
      </c>
      <c r="H258" t="s">
        <v>92</v>
      </c>
      <c r="I258" t="s">
        <v>84</v>
      </c>
      <c r="J258" t="s">
        <v>39</v>
      </c>
      <c r="K258" s="2">
        <v>4.7</v>
      </c>
      <c r="L258" t="s">
        <v>26</v>
      </c>
      <c r="M258" t="s">
        <v>29</v>
      </c>
      <c r="N258" t="s">
        <v>28</v>
      </c>
      <c r="O258" t="s">
        <v>26</v>
      </c>
      <c r="P258" t="s">
        <v>26</v>
      </c>
      <c r="Q258" s="3">
        <v>20</v>
      </c>
      <c r="R258" t="s">
        <v>27</v>
      </c>
      <c r="S258" t="s">
        <v>97</v>
      </c>
    </row>
    <row r="259" spans="1:19" x14ac:dyDescent="0.25">
      <c r="A259">
        <v>258</v>
      </c>
      <c r="B259">
        <v>20</v>
      </c>
      <c r="C259" t="s">
        <v>19</v>
      </c>
      <c r="D259" t="s">
        <v>68</v>
      </c>
      <c r="E259" t="s">
        <v>69</v>
      </c>
      <c r="F259" s="1">
        <v>53</v>
      </c>
      <c r="G259" t="s">
        <v>66</v>
      </c>
      <c r="H259" t="s">
        <v>45</v>
      </c>
      <c r="I259" t="s">
        <v>108</v>
      </c>
      <c r="J259" t="s">
        <v>54</v>
      </c>
      <c r="K259" s="2">
        <v>4.5</v>
      </c>
      <c r="L259" t="s">
        <v>26</v>
      </c>
      <c r="M259" t="s">
        <v>46</v>
      </c>
      <c r="N259" t="s">
        <v>28</v>
      </c>
      <c r="O259" t="s">
        <v>26</v>
      </c>
      <c r="P259" t="s">
        <v>26</v>
      </c>
      <c r="Q259" s="3">
        <v>5</v>
      </c>
      <c r="R259" t="s">
        <v>27</v>
      </c>
      <c r="S259" t="s">
        <v>60</v>
      </c>
    </row>
    <row r="260" spans="1:19" x14ac:dyDescent="0.25">
      <c r="A260">
        <v>259</v>
      </c>
      <c r="B260">
        <v>61</v>
      </c>
      <c r="C260" t="s">
        <v>19</v>
      </c>
      <c r="D260" t="s">
        <v>143</v>
      </c>
      <c r="E260" t="s">
        <v>69</v>
      </c>
      <c r="F260" s="1">
        <v>74</v>
      </c>
      <c r="G260" t="s">
        <v>90</v>
      </c>
      <c r="H260" t="s">
        <v>38</v>
      </c>
      <c r="I260" t="s">
        <v>93</v>
      </c>
      <c r="J260" t="s">
        <v>39</v>
      </c>
      <c r="K260" s="2">
        <v>2.8</v>
      </c>
      <c r="L260" t="s">
        <v>26</v>
      </c>
      <c r="M260" t="s">
        <v>29</v>
      </c>
      <c r="N260" t="s">
        <v>28</v>
      </c>
      <c r="O260" t="s">
        <v>26</v>
      </c>
      <c r="P260" t="s">
        <v>26</v>
      </c>
      <c r="Q260" s="3">
        <v>16</v>
      </c>
      <c r="R260" t="s">
        <v>35</v>
      </c>
      <c r="S260" t="s">
        <v>60</v>
      </c>
    </row>
    <row r="261" spans="1:19" x14ac:dyDescent="0.25">
      <c r="A261">
        <v>260</v>
      </c>
      <c r="B261">
        <v>32</v>
      </c>
      <c r="C261" t="s">
        <v>19</v>
      </c>
      <c r="D261" t="s">
        <v>36</v>
      </c>
      <c r="E261" t="s">
        <v>21</v>
      </c>
      <c r="F261" s="1">
        <v>57</v>
      </c>
      <c r="G261" t="s">
        <v>62</v>
      </c>
      <c r="H261" t="s">
        <v>45</v>
      </c>
      <c r="I261" t="s">
        <v>81</v>
      </c>
      <c r="J261" t="s">
        <v>58</v>
      </c>
      <c r="K261" s="2">
        <v>2.9</v>
      </c>
      <c r="L261" t="s">
        <v>26</v>
      </c>
      <c r="M261" t="s">
        <v>27</v>
      </c>
      <c r="N261" t="s">
        <v>55</v>
      </c>
      <c r="O261" t="s">
        <v>26</v>
      </c>
      <c r="P261" t="s">
        <v>26</v>
      </c>
      <c r="Q261" s="3">
        <v>13</v>
      </c>
      <c r="R261" t="s">
        <v>59</v>
      </c>
      <c r="S261" t="s">
        <v>50</v>
      </c>
    </row>
    <row r="262" spans="1:19" x14ac:dyDescent="0.25">
      <c r="A262">
        <v>261</v>
      </c>
      <c r="B262">
        <v>38</v>
      </c>
      <c r="C262" t="s">
        <v>19</v>
      </c>
      <c r="D262" t="s">
        <v>124</v>
      </c>
      <c r="E262" t="s">
        <v>69</v>
      </c>
      <c r="F262" s="1">
        <v>57</v>
      </c>
      <c r="G262" t="s">
        <v>57</v>
      </c>
      <c r="H262" t="s">
        <v>38</v>
      </c>
      <c r="I262" t="s">
        <v>108</v>
      </c>
      <c r="J262" t="s">
        <v>25</v>
      </c>
      <c r="K262" s="2">
        <v>3.2</v>
      </c>
      <c r="L262" t="s">
        <v>26</v>
      </c>
      <c r="M262" t="s">
        <v>34</v>
      </c>
      <c r="N262" t="s">
        <v>72</v>
      </c>
      <c r="O262" t="s">
        <v>26</v>
      </c>
      <c r="P262" t="s">
        <v>26</v>
      </c>
      <c r="Q262" s="3">
        <v>11</v>
      </c>
      <c r="R262" t="s">
        <v>27</v>
      </c>
      <c r="S262" t="s">
        <v>97</v>
      </c>
    </row>
    <row r="263" spans="1:19" x14ac:dyDescent="0.25">
      <c r="A263">
        <v>262</v>
      </c>
      <c r="B263">
        <v>21</v>
      </c>
      <c r="C263" t="s">
        <v>19</v>
      </c>
      <c r="D263" t="s">
        <v>36</v>
      </c>
      <c r="E263" t="s">
        <v>21</v>
      </c>
      <c r="F263" s="1">
        <v>77</v>
      </c>
      <c r="G263" t="s">
        <v>99</v>
      </c>
      <c r="H263" t="s">
        <v>23</v>
      </c>
      <c r="I263" t="s">
        <v>136</v>
      </c>
      <c r="J263" t="s">
        <v>25</v>
      </c>
      <c r="K263" s="2">
        <v>4.9000000000000004</v>
      </c>
      <c r="L263" t="s">
        <v>26</v>
      </c>
      <c r="M263" t="s">
        <v>35</v>
      </c>
      <c r="N263" t="s">
        <v>55</v>
      </c>
      <c r="O263" t="s">
        <v>26</v>
      </c>
      <c r="P263" t="s">
        <v>26</v>
      </c>
      <c r="Q263" s="3">
        <v>21</v>
      </c>
      <c r="R263" t="s">
        <v>27</v>
      </c>
      <c r="S263" t="s">
        <v>50</v>
      </c>
    </row>
    <row r="264" spans="1:19" x14ac:dyDescent="0.25">
      <c r="A264">
        <v>263</v>
      </c>
      <c r="B264">
        <v>37</v>
      </c>
      <c r="C264" t="s">
        <v>19</v>
      </c>
      <c r="D264" t="s">
        <v>95</v>
      </c>
      <c r="E264" t="s">
        <v>21</v>
      </c>
      <c r="F264" s="1">
        <v>40</v>
      </c>
      <c r="G264" t="s">
        <v>78</v>
      </c>
      <c r="H264" t="s">
        <v>45</v>
      </c>
      <c r="I264" t="s">
        <v>86</v>
      </c>
      <c r="J264" t="s">
        <v>54</v>
      </c>
      <c r="K264" s="2">
        <v>3.7</v>
      </c>
      <c r="L264" t="s">
        <v>26</v>
      </c>
      <c r="M264" t="s">
        <v>35</v>
      </c>
      <c r="N264" t="s">
        <v>47</v>
      </c>
      <c r="O264" t="s">
        <v>26</v>
      </c>
      <c r="P264" t="s">
        <v>26</v>
      </c>
      <c r="Q264" s="3">
        <v>6</v>
      </c>
      <c r="R264" t="s">
        <v>59</v>
      </c>
      <c r="S264" t="s">
        <v>50</v>
      </c>
    </row>
    <row r="265" spans="1:19" x14ac:dyDescent="0.25">
      <c r="A265">
        <v>264</v>
      </c>
      <c r="B265">
        <v>27</v>
      </c>
      <c r="C265" t="s">
        <v>19</v>
      </c>
      <c r="D265" t="s">
        <v>61</v>
      </c>
      <c r="E265" t="s">
        <v>21</v>
      </c>
      <c r="F265" s="1">
        <v>46</v>
      </c>
      <c r="G265" t="s">
        <v>146</v>
      </c>
      <c r="H265" t="s">
        <v>45</v>
      </c>
      <c r="I265" t="s">
        <v>75</v>
      </c>
      <c r="J265" t="s">
        <v>54</v>
      </c>
      <c r="K265" s="2">
        <v>4.3</v>
      </c>
      <c r="L265" t="s">
        <v>26</v>
      </c>
      <c r="M265" t="s">
        <v>27</v>
      </c>
      <c r="N265" t="s">
        <v>76</v>
      </c>
      <c r="O265" t="s">
        <v>26</v>
      </c>
      <c r="P265" t="s">
        <v>26</v>
      </c>
      <c r="Q265" s="3">
        <v>29</v>
      </c>
      <c r="R265" t="s">
        <v>29</v>
      </c>
      <c r="S265" t="s">
        <v>88</v>
      </c>
    </row>
    <row r="266" spans="1:19" x14ac:dyDescent="0.25">
      <c r="A266">
        <v>265</v>
      </c>
      <c r="B266">
        <v>36</v>
      </c>
      <c r="C266" t="s">
        <v>19</v>
      </c>
      <c r="D266" t="s">
        <v>95</v>
      </c>
      <c r="E266" t="s">
        <v>21</v>
      </c>
      <c r="F266" s="1">
        <v>78</v>
      </c>
      <c r="G266" t="s">
        <v>112</v>
      </c>
      <c r="H266" t="s">
        <v>38</v>
      </c>
      <c r="I266" t="s">
        <v>63</v>
      </c>
      <c r="J266" t="s">
        <v>58</v>
      </c>
      <c r="K266" s="2">
        <v>3.9</v>
      </c>
      <c r="L266" t="s">
        <v>26</v>
      </c>
      <c r="M266" t="s">
        <v>29</v>
      </c>
      <c r="N266" t="s">
        <v>76</v>
      </c>
      <c r="O266" t="s">
        <v>26</v>
      </c>
      <c r="P266" t="s">
        <v>26</v>
      </c>
      <c r="Q266" s="3">
        <v>15</v>
      </c>
      <c r="R266" t="s">
        <v>35</v>
      </c>
      <c r="S266" t="s">
        <v>50</v>
      </c>
    </row>
    <row r="267" spans="1:19" x14ac:dyDescent="0.25">
      <c r="A267">
        <v>266</v>
      </c>
      <c r="B267">
        <v>32</v>
      </c>
      <c r="C267" t="s">
        <v>19</v>
      </c>
      <c r="D267" t="s">
        <v>132</v>
      </c>
      <c r="E267" t="s">
        <v>69</v>
      </c>
      <c r="F267" s="1">
        <v>59</v>
      </c>
      <c r="G267" t="s">
        <v>151</v>
      </c>
      <c r="H267" t="s">
        <v>45</v>
      </c>
      <c r="I267" t="s">
        <v>24</v>
      </c>
      <c r="J267" t="s">
        <v>39</v>
      </c>
      <c r="K267" s="2">
        <v>3.2</v>
      </c>
      <c r="L267" t="s">
        <v>26</v>
      </c>
      <c r="M267" t="s">
        <v>29</v>
      </c>
      <c r="N267" t="s">
        <v>72</v>
      </c>
      <c r="O267" t="s">
        <v>26</v>
      </c>
      <c r="P267" t="s">
        <v>26</v>
      </c>
      <c r="Q267" s="3">
        <v>17</v>
      </c>
      <c r="R267" t="s">
        <v>34</v>
      </c>
      <c r="S267" t="s">
        <v>77</v>
      </c>
    </row>
    <row r="268" spans="1:19" x14ac:dyDescent="0.25">
      <c r="A268">
        <v>267</v>
      </c>
      <c r="B268">
        <v>51</v>
      </c>
      <c r="C268" t="s">
        <v>19</v>
      </c>
      <c r="D268" t="s">
        <v>106</v>
      </c>
      <c r="E268" t="s">
        <v>69</v>
      </c>
      <c r="F268" s="1">
        <v>75</v>
      </c>
      <c r="G268" t="s">
        <v>62</v>
      </c>
      <c r="H268" t="s">
        <v>23</v>
      </c>
      <c r="I268" t="s">
        <v>53</v>
      </c>
      <c r="J268" t="s">
        <v>54</v>
      </c>
      <c r="K268" s="2">
        <v>3.1</v>
      </c>
      <c r="L268" t="s">
        <v>26</v>
      </c>
      <c r="M268" t="s">
        <v>35</v>
      </c>
      <c r="N268" t="s">
        <v>28</v>
      </c>
      <c r="O268" t="s">
        <v>26</v>
      </c>
      <c r="P268" t="s">
        <v>26</v>
      </c>
      <c r="Q268" s="3">
        <v>32</v>
      </c>
      <c r="R268" t="s">
        <v>27</v>
      </c>
      <c r="S268" t="s">
        <v>41</v>
      </c>
    </row>
    <row r="269" spans="1:19" x14ac:dyDescent="0.25">
      <c r="A269">
        <v>268</v>
      </c>
      <c r="B269">
        <v>64</v>
      </c>
      <c r="C269" t="s">
        <v>19</v>
      </c>
      <c r="D269" t="s">
        <v>31</v>
      </c>
      <c r="E269" t="s">
        <v>21</v>
      </c>
      <c r="F269" s="1">
        <v>54</v>
      </c>
      <c r="G269" t="s">
        <v>128</v>
      </c>
      <c r="H269" t="s">
        <v>45</v>
      </c>
      <c r="I269" t="s">
        <v>79</v>
      </c>
      <c r="J269" t="s">
        <v>39</v>
      </c>
      <c r="K269" s="2">
        <v>3.9</v>
      </c>
      <c r="L269" t="s">
        <v>26</v>
      </c>
      <c r="M269" t="s">
        <v>29</v>
      </c>
      <c r="N269" t="s">
        <v>72</v>
      </c>
      <c r="O269" t="s">
        <v>26</v>
      </c>
      <c r="P269" t="s">
        <v>26</v>
      </c>
      <c r="Q269" s="3">
        <v>42</v>
      </c>
      <c r="R269" t="s">
        <v>29</v>
      </c>
      <c r="S269" t="s">
        <v>50</v>
      </c>
    </row>
    <row r="270" spans="1:19" x14ac:dyDescent="0.25">
      <c r="A270">
        <v>269</v>
      </c>
      <c r="B270">
        <v>68</v>
      </c>
      <c r="C270" t="s">
        <v>19</v>
      </c>
      <c r="D270" t="s">
        <v>73</v>
      </c>
      <c r="E270" t="s">
        <v>43</v>
      </c>
      <c r="F270" s="1">
        <v>42</v>
      </c>
      <c r="G270" t="s">
        <v>142</v>
      </c>
      <c r="H270" t="s">
        <v>45</v>
      </c>
      <c r="I270" t="s">
        <v>63</v>
      </c>
      <c r="J270" t="s">
        <v>39</v>
      </c>
      <c r="K270" s="2">
        <v>2.6</v>
      </c>
      <c r="L270" t="s">
        <v>26</v>
      </c>
      <c r="M270" t="s">
        <v>29</v>
      </c>
      <c r="N270" t="s">
        <v>76</v>
      </c>
      <c r="O270" t="s">
        <v>26</v>
      </c>
      <c r="P270" t="s">
        <v>26</v>
      </c>
      <c r="Q270" s="3">
        <v>21</v>
      </c>
      <c r="R270" t="s">
        <v>35</v>
      </c>
      <c r="S270" t="s">
        <v>88</v>
      </c>
    </row>
    <row r="271" spans="1:19" x14ac:dyDescent="0.25">
      <c r="A271">
        <v>270</v>
      </c>
      <c r="B271">
        <v>68</v>
      </c>
      <c r="C271" t="s">
        <v>19</v>
      </c>
      <c r="D271" t="s">
        <v>20</v>
      </c>
      <c r="E271" t="s">
        <v>21</v>
      </c>
      <c r="F271" s="1">
        <v>44</v>
      </c>
      <c r="G271" t="s">
        <v>142</v>
      </c>
      <c r="H271" t="s">
        <v>45</v>
      </c>
      <c r="I271" t="s">
        <v>63</v>
      </c>
      <c r="J271" t="s">
        <v>25</v>
      </c>
      <c r="K271" s="2">
        <v>3.3</v>
      </c>
      <c r="L271" t="s">
        <v>26</v>
      </c>
      <c r="M271" t="s">
        <v>46</v>
      </c>
      <c r="N271" t="s">
        <v>47</v>
      </c>
      <c r="O271" t="s">
        <v>26</v>
      </c>
      <c r="P271" t="s">
        <v>26</v>
      </c>
      <c r="Q271" s="3">
        <v>9</v>
      </c>
      <c r="R271" t="s">
        <v>35</v>
      </c>
      <c r="S271" t="s">
        <v>77</v>
      </c>
    </row>
    <row r="272" spans="1:19" x14ac:dyDescent="0.25">
      <c r="A272">
        <v>271</v>
      </c>
      <c r="B272">
        <v>33</v>
      </c>
      <c r="C272" t="s">
        <v>19</v>
      </c>
      <c r="D272" t="s">
        <v>36</v>
      </c>
      <c r="E272" t="s">
        <v>21</v>
      </c>
      <c r="F272" s="1">
        <v>52</v>
      </c>
      <c r="G272" t="s">
        <v>114</v>
      </c>
      <c r="H272" t="s">
        <v>92</v>
      </c>
      <c r="I272" t="s">
        <v>121</v>
      </c>
      <c r="J272" t="s">
        <v>58</v>
      </c>
      <c r="K272" s="2">
        <v>4.5999999999999996</v>
      </c>
      <c r="L272" t="s">
        <v>26</v>
      </c>
      <c r="M272" t="s">
        <v>59</v>
      </c>
      <c r="N272" t="s">
        <v>40</v>
      </c>
      <c r="O272" t="s">
        <v>26</v>
      </c>
      <c r="P272" t="s">
        <v>26</v>
      </c>
      <c r="Q272" s="3">
        <v>16</v>
      </c>
      <c r="R272" t="s">
        <v>34</v>
      </c>
      <c r="S272" t="s">
        <v>50</v>
      </c>
    </row>
    <row r="273" spans="1:19" x14ac:dyDescent="0.25">
      <c r="A273">
        <v>272</v>
      </c>
      <c r="B273">
        <v>65</v>
      </c>
      <c r="C273" t="s">
        <v>19</v>
      </c>
      <c r="D273" t="s">
        <v>89</v>
      </c>
      <c r="E273" t="s">
        <v>69</v>
      </c>
      <c r="F273" s="1">
        <v>69</v>
      </c>
      <c r="G273" t="s">
        <v>128</v>
      </c>
      <c r="H273" t="s">
        <v>92</v>
      </c>
      <c r="I273" t="s">
        <v>134</v>
      </c>
      <c r="J273" t="s">
        <v>54</v>
      </c>
      <c r="K273" s="2">
        <v>4.5999999999999996</v>
      </c>
      <c r="L273" t="s">
        <v>26</v>
      </c>
      <c r="M273" t="s">
        <v>27</v>
      </c>
      <c r="N273" t="s">
        <v>28</v>
      </c>
      <c r="O273" t="s">
        <v>26</v>
      </c>
      <c r="P273" t="s">
        <v>26</v>
      </c>
      <c r="Q273" s="3">
        <v>42</v>
      </c>
      <c r="R273" t="s">
        <v>27</v>
      </c>
      <c r="S273" t="s">
        <v>30</v>
      </c>
    </row>
    <row r="274" spans="1:19" x14ac:dyDescent="0.25">
      <c r="A274">
        <v>273</v>
      </c>
      <c r="B274">
        <v>48</v>
      </c>
      <c r="C274" t="s">
        <v>19</v>
      </c>
      <c r="D274" t="s">
        <v>106</v>
      </c>
      <c r="E274" t="s">
        <v>69</v>
      </c>
      <c r="F274" s="1">
        <v>26</v>
      </c>
      <c r="G274" t="s">
        <v>48</v>
      </c>
      <c r="H274" t="s">
        <v>45</v>
      </c>
      <c r="I274" t="s">
        <v>118</v>
      </c>
      <c r="J274" t="s">
        <v>54</v>
      </c>
      <c r="K274" s="2">
        <v>4.4000000000000004</v>
      </c>
      <c r="L274" t="s">
        <v>26</v>
      </c>
      <c r="M274" t="s">
        <v>46</v>
      </c>
      <c r="N274" t="s">
        <v>72</v>
      </c>
      <c r="O274" t="s">
        <v>26</v>
      </c>
      <c r="P274" t="s">
        <v>26</v>
      </c>
      <c r="Q274" s="3">
        <v>37</v>
      </c>
      <c r="R274" t="s">
        <v>59</v>
      </c>
      <c r="S274" t="s">
        <v>77</v>
      </c>
    </row>
    <row r="275" spans="1:19" x14ac:dyDescent="0.25">
      <c r="A275">
        <v>274</v>
      </c>
      <c r="B275">
        <v>69</v>
      </c>
      <c r="C275" t="s">
        <v>19</v>
      </c>
      <c r="D275" t="s">
        <v>64</v>
      </c>
      <c r="E275" t="s">
        <v>65</v>
      </c>
      <c r="F275" s="1">
        <v>33</v>
      </c>
      <c r="G275" t="s">
        <v>114</v>
      </c>
      <c r="H275" t="s">
        <v>38</v>
      </c>
      <c r="I275" t="s">
        <v>67</v>
      </c>
      <c r="J275" t="s">
        <v>39</v>
      </c>
      <c r="K275" s="2">
        <v>4.2</v>
      </c>
      <c r="L275" t="s">
        <v>26</v>
      </c>
      <c r="M275" t="s">
        <v>35</v>
      </c>
      <c r="N275" t="s">
        <v>28</v>
      </c>
      <c r="O275" t="s">
        <v>26</v>
      </c>
      <c r="P275" t="s">
        <v>26</v>
      </c>
      <c r="Q275" s="3">
        <v>32</v>
      </c>
      <c r="R275" t="s">
        <v>59</v>
      </c>
      <c r="S275" t="s">
        <v>60</v>
      </c>
    </row>
    <row r="276" spans="1:19" x14ac:dyDescent="0.25">
      <c r="A276">
        <v>275</v>
      </c>
      <c r="B276">
        <v>59</v>
      </c>
      <c r="C276" t="s">
        <v>19</v>
      </c>
      <c r="D276" t="s">
        <v>106</v>
      </c>
      <c r="E276" t="s">
        <v>69</v>
      </c>
      <c r="F276" s="1">
        <v>32</v>
      </c>
      <c r="G276" t="s">
        <v>128</v>
      </c>
      <c r="H276" t="s">
        <v>45</v>
      </c>
      <c r="I276" t="s">
        <v>126</v>
      </c>
      <c r="J276" t="s">
        <v>39</v>
      </c>
      <c r="K276" s="2">
        <v>3</v>
      </c>
      <c r="L276" t="s">
        <v>26</v>
      </c>
      <c r="M276" t="s">
        <v>27</v>
      </c>
      <c r="N276" t="s">
        <v>28</v>
      </c>
      <c r="O276" t="s">
        <v>26</v>
      </c>
      <c r="P276" t="s">
        <v>26</v>
      </c>
      <c r="Q276" s="3">
        <v>28</v>
      </c>
      <c r="R276" t="s">
        <v>35</v>
      </c>
      <c r="S276" t="s">
        <v>77</v>
      </c>
    </row>
    <row r="277" spans="1:19" x14ac:dyDescent="0.25">
      <c r="A277">
        <v>276</v>
      </c>
      <c r="B277">
        <v>48</v>
      </c>
      <c r="C277" t="s">
        <v>19</v>
      </c>
      <c r="D277" t="s">
        <v>132</v>
      </c>
      <c r="E277" t="s">
        <v>69</v>
      </c>
      <c r="F277" s="1">
        <v>85</v>
      </c>
      <c r="G277" t="s">
        <v>141</v>
      </c>
      <c r="H277" t="s">
        <v>92</v>
      </c>
      <c r="I277" t="s">
        <v>93</v>
      </c>
      <c r="J277" t="s">
        <v>25</v>
      </c>
      <c r="K277" s="2">
        <v>4</v>
      </c>
      <c r="L277" t="s">
        <v>26</v>
      </c>
      <c r="M277" t="s">
        <v>59</v>
      </c>
      <c r="N277" t="s">
        <v>28</v>
      </c>
      <c r="O277" t="s">
        <v>26</v>
      </c>
      <c r="P277" t="s">
        <v>26</v>
      </c>
      <c r="Q277" s="3">
        <v>13</v>
      </c>
      <c r="R277" t="s">
        <v>27</v>
      </c>
      <c r="S277" t="s">
        <v>41</v>
      </c>
    </row>
    <row r="278" spans="1:19" x14ac:dyDescent="0.25">
      <c r="A278">
        <v>277</v>
      </c>
      <c r="B278">
        <v>25</v>
      </c>
      <c r="C278" t="s">
        <v>19</v>
      </c>
      <c r="D278" t="s">
        <v>87</v>
      </c>
      <c r="E278" t="s">
        <v>21</v>
      </c>
      <c r="F278" s="1">
        <v>30</v>
      </c>
      <c r="G278" t="s">
        <v>147</v>
      </c>
      <c r="H278" t="s">
        <v>92</v>
      </c>
      <c r="I278" t="s">
        <v>49</v>
      </c>
      <c r="J278" t="s">
        <v>58</v>
      </c>
      <c r="K278" s="2">
        <v>3.5</v>
      </c>
      <c r="L278" t="s">
        <v>26</v>
      </c>
      <c r="M278" t="s">
        <v>59</v>
      </c>
      <c r="N278" t="s">
        <v>28</v>
      </c>
      <c r="O278" t="s">
        <v>26</v>
      </c>
      <c r="P278" t="s">
        <v>26</v>
      </c>
      <c r="Q278" s="3">
        <v>11</v>
      </c>
      <c r="R278" t="s">
        <v>34</v>
      </c>
      <c r="S278" t="s">
        <v>30</v>
      </c>
    </row>
    <row r="279" spans="1:19" x14ac:dyDescent="0.25">
      <c r="A279">
        <v>278</v>
      </c>
      <c r="B279">
        <v>29</v>
      </c>
      <c r="C279" t="s">
        <v>19</v>
      </c>
      <c r="D279" t="s">
        <v>56</v>
      </c>
      <c r="E279" t="s">
        <v>21</v>
      </c>
      <c r="F279" s="1">
        <v>29</v>
      </c>
      <c r="G279" t="s">
        <v>142</v>
      </c>
      <c r="H279" t="s">
        <v>45</v>
      </c>
      <c r="I279" t="s">
        <v>96</v>
      </c>
      <c r="J279" t="s">
        <v>25</v>
      </c>
      <c r="K279" s="2">
        <v>3</v>
      </c>
      <c r="L279" t="s">
        <v>26</v>
      </c>
      <c r="M279" t="s">
        <v>27</v>
      </c>
      <c r="N279" t="s">
        <v>76</v>
      </c>
      <c r="O279" t="s">
        <v>26</v>
      </c>
      <c r="P279" t="s">
        <v>26</v>
      </c>
      <c r="Q279" s="3">
        <v>36</v>
      </c>
      <c r="R279" t="s">
        <v>34</v>
      </c>
      <c r="S279" t="s">
        <v>77</v>
      </c>
    </row>
    <row r="280" spans="1:19" x14ac:dyDescent="0.25">
      <c r="A280">
        <v>279</v>
      </c>
      <c r="B280">
        <v>57</v>
      </c>
      <c r="C280" t="s">
        <v>19</v>
      </c>
      <c r="D280" t="s">
        <v>31</v>
      </c>
      <c r="E280" t="s">
        <v>21</v>
      </c>
      <c r="F280" s="1">
        <v>95</v>
      </c>
      <c r="G280" t="s">
        <v>78</v>
      </c>
      <c r="H280" t="s">
        <v>45</v>
      </c>
      <c r="I280" t="s">
        <v>121</v>
      </c>
      <c r="J280" t="s">
        <v>39</v>
      </c>
      <c r="K280" s="2">
        <v>3.7</v>
      </c>
      <c r="L280" t="s">
        <v>26</v>
      </c>
      <c r="M280" t="s">
        <v>34</v>
      </c>
      <c r="N280" t="s">
        <v>28</v>
      </c>
      <c r="O280" t="s">
        <v>26</v>
      </c>
      <c r="P280" t="s">
        <v>26</v>
      </c>
      <c r="Q280" s="3">
        <v>23</v>
      </c>
      <c r="R280" t="s">
        <v>59</v>
      </c>
      <c r="S280" t="s">
        <v>50</v>
      </c>
    </row>
    <row r="281" spans="1:19" x14ac:dyDescent="0.25">
      <c r="A281">
        <v>280</v>
      </c>
      <c r="B281">
        <v>23</v>
      </c>
      <c r="C281" t="s">
        <v>19</v>
      </c>
      <c r="D281" t="s">
        <v>51</v>
      </c>
      <c r="E281" t="s">
        <v>43</v>
      </c>
      <c r="F281" s="1">
        <v>69</v>
      </c>
      <c r="G281" t="s">
        <v>74</v>
      </c>
      <c r="H281" t="s">
        <v>23</v>
      </c>
      <c r="I281" t="s">
        <v>49</v>
      </c>
      <c r="J281" t="s">
        <v>54</v>
      </c>
      <c r="K281" s="2">
        <v>4</v>
      </c>
      <c r="L281" t="s">
        <v>26</v>
      </c>
      <c r="M281" t="s">
        <v>27</v>
      </c>
      <c r="N281" t="s">
        <v>55</v>
      </c>
      <c r="O281" t="s">
        <v>26</v>
      </c>
      <c r="P281" t="s">
        <v>26</v>
      </c>
      <c r="Q281" s="3">
        <v>37</v>
      </c>
      <c r="R281" t="s">
        <v>34</v>
      </c>
      <c r="S281" t="s">
        <v>88</v>
      </c>
    </row>
    <row r="282" spans="1:19" x14ac:dyDescent="0.25">
      <c r="A282">
        <v>281</v>
      </c>
      <c r="B282">
        <v>45</v>
      </c>
      <c r="C282" t="s">
        <v>19</v>
      </c>
      <c r="D282" t="s">
        <v>42</v>
      </c>
      <c r="E282" t="s">
        <v>43</v>
      </c>
      <c r="F282" s="1">
        <v>69</v>
      </c>
      <c r="G282" t="s">
        <v>57</v>
      </c>
      <c r="H282" t="s">
        <v>38</v>
      </c>
      <c r="I282" t="s">
        <v>109</v>
      </c>
      <c r="J282" t="s">
        <v>58</v>
      </c>
      <c r="K282" s="2">
        <v>4.2</v>
      </c>
      <c r="L282" t="s">
        <v>26</v>
      </c>
      <c r="M282" t="s">
        <v>59</v>
      </c>
      <c r="N282" t="s">
        <v>72</v>
      </c>
      <c r="O282" t="s">
        <v>26</v>
      </c>
      <c r="P282" t="s">
        <v>26</v>
      </c>
      <c r="Q282" s="3">
        <v>21</v>
      </c>
      <c r="R282" t="s">
        <v>35</v>
      </c>
      <c r="S282" t="s">
        <v>77</v>
      </c>
    </row>
    <row r="283" spans="1:19" x14ac:dyDescent="0.25">
      <c r="A283">
        <v>282</v>
      </c>
      <c r="B283">
        <v>38</v>
      </c>
      <c r="C283" t="s">
        <v>19</v>
      </c>
      <c r="D283" t="s">
        <v>133</v>
      </c>
      <c r="E283" t="s">
        <v>69</v>
      </c>
      <c r="F283" s="1">
        <v>61</v>
      </c>
      <c r="G283" t="s">
        <v>101</v>
      </c>
      <c r="H283" t="s">
        <v>92</v>
      </c>
      <c r="I283" t="s">
        <v>63</v>
      </c>
      <c r="J283" t="s">
        <v>39</v>
      </c>
      <c r="K283" s="2">
        <v>2.5</v>
      </c>
      <c r="L283" t="s">
        <v>26</v>
      </c>
      <c r="M283" t="s">
        <v>34</v>
      </c>
      <c r="N283" t="s">
        <v>55</v>
      </c>
      <c r="O283" t="s">
        <v>26</v>
      </c>
      <c r="P283" t="s">
        <v>26</v>
      </c>
      <c r="Q283" s="3">
        <v>22</v>
      </c>
      <c r="R283" t="s">
        <v>59</v>
      </c>
      <c r="S283" t="s">
        <v>77</v>
      </c>
    </row>
    <row r="284" spans="1:19" x14ac:dyDescent="0.25">
      <c r="A284">
        <v>283</v>
      </c>
      <c r="B284">
        <v>21</v>
      </c>
      <c r="C284" t="s">
        <v>19</v>
      </c>
      <c r="D284" t="s">
        <v>87</v>
      </c>
      <c r="E284" t="s">
        <v>21</v>
      </c>
      <c r="F284" s="1">
        <v>94</v>
      </c>
      <c r="G284" t="s">
        <v>148</v>
      </c>
      <c r="H284" t="s">
        <v>45</v>
      </c>
      <c r="I284" t="s">
        <v>86</v>
      </c>
      <c r="J284" t="s">
        <v>54</v>
      </c>
      <c r="K284" s="2">
        <v>3</v>
      </c>
      <c r="L284" t="s">
        <v>26</v>
      </c>
      <c r="M284" t="s">
        <v>59</v>
      </c>
      <c r="N284" t="s">
        <v>72</v>
      </c>
      <c r="O284" t="s">
        <v>26</v>
      </c>
      <c r="P284" t="s">
        <v>26</v>
      </c>
      <c r="Q284" s="3">
        <v>9</v>
      </c>
      <c r="R284" t="s">
        <v>35</v>
      </c>
      <c r="S284" t="s">
        <v>88</v>
      </c>
    </row>
    <row r="285" spans="1:19" x14ac:dyDescent="0.25">
      <c r="A285">
        <v>284</v>
      </c>
      <c r="B285">
        <v>32</v>
      </c>
      <c r="C285" t="s">
        <v>19</v>
      </c>
      <c r="D285" t="s">
        <v>31</v>
      </c>
      <c r="E285" t="s">
        <v>21</v>
      </c>
      <c r="F285" s="1">
        <v>30</v>
      </c>
      <c r="G285" t="s">
        <v>57</v>
      </c>
      <c r="H285" t="s">
        <v>38</v>
      </c>
      <c r="I285" t="s">
        <v>33</v>
      </c>
      <c r="J285" t="s">
        <v>58</v>
      </c>
      <c r="K285" s="2">
        <v>3.2</v>
      </c>
      <c r="L285" t="s">
        <v>26</v>
      </c>
      <c r="M285" t="s">
        <v>59</v>
      </c>
      <c r="N285" t="s">
        <v>47</v>
      </c>
      <c r="O285" t="s">
        <v>26</v>
      </c>
      <c r="P285" t="s">
        <v>26</v>
      </c>
      <c r="Q285" s="3">
        <v>16</v>
      </c>
      <c r="R285" t="s">
        <v>29</v>
      </c>
      <c r="S285" t="s">
        <v>50</v>
      </c>
    </row>
    <row r="286" spans="1:19" x14ac:dyDescent="0.25">
      <c r="A286">
        <v>285</v>
      </c>
      <c r="B286">
        <v>63</v>
      </c>
      <c r="C286" t="s">
        <v>19</v>
      </c>
      <c r="D286" t="s">
        <v>87</v>
      </c>
      <c r="E286" t="s">
        <v>21</v>
      </c>
      <c r="F286" s="1">
        <v>45</v>
      </c>
      <c r="G286" t="s">
        <v>123</v>
      </c>
      <c r="H286" t="s">
        <v>45</v>
      </c>
      <c r="I286" t="s">
        <v>108</v>
      </c>
      <c r="J286" t="s">
        <v>54</v>
      </c>
      <c r="K286" s="2">
        <v>3.5</v>
      </c>
      <c r="L286" t="s">
        <v>26</v>
      </c>
      <c r="M286" t="s">
        <v>46</v>
      </c>
      <c r="N286" t="s">
        <v>55</v>
      </c>
      <c r="O286" t="s">
        <v>26</v>
      </c>
      <c r="P286" t="s">
        <v>26</v>
      </c>
      <c r="Q286" s="3">
        <v>4</v>
      </c>
      <c r="R286" t="s">
        <v>46</v>
      </c>
      <c r="S286" t="s">
        <v>60</v>
      </c>
    </row>
    <row r="287" spans="1:19" x14ac:dyDescent="0.25">
      <c r="A287">
        <v>286</v>
      </c>
      <c r="B287">
        <v>29</v>
      </c>
      <c r="C287" t="s">
        <v>19</v>
      </c>
      <c r="D287" t="s">
        <v>68</v>
      </c>
      <c r="E287" t="s">
        <v>69</v>
      </c>
      <c r="F287" s="1">
        <v>39</v>
      </c>
      <c r="G287" t="s">
        <v>22</v>
      </c>
      <c r="H287" t="s">
        <v>92</v>
      </c>
      <c r="I287" t="s">
        <v>134</v>
      </c>
      <c r="J287" t="s">
        <v>54</v>
      </c>
      <c r="K287" s="2">
        <v>4.8</v>
      </c>
      <c r="L287" t="s">
        <v>26</v>
      </c>
      <c r="M287" t="s">
        <v>27</v>
      </c>
      <c r="N287" t="s">
        <v>28</v>
      </c>
      <c r="O287" t="s">
        <v>26</v>
      </c>
      <c r="P287" t="s">
        <v>26</v>
      </c>
      <c r="Q287" s="3">
        <v>3</v>
      </c>
      <c r="R287" t="s">
        <v>59</v>
      </c>
      <c r="S287" t="s">
        <v>77</v>
      </c>
    </row>
    <row r="288" spans="1:19" x14ac:dyDescent="0.25">
      <c r="A288">
        <v>287</v>
      </c>
      <c r="B288">
        <v>27</v>
      </c>
      <c r="C288" t="s">
        <v>19</v>
      </c>
      <c r="D288" t="s">
        <v>106</v>
      </c>
      <c r="E288" t="s">
        <v>69</v>
      </c>
      <c r="F288" s="1">
        <v>51</v>
      </c>
      <c r="G288" t="s">
        <v>145</v>
      </c>
      <c r="H288" t="s">
        <v>23</v>
      </c>
      <c r="I288" t="s">
        <v>24</v>
      </c>
      <c r="J288" t="s">
        <v>54</v>
      </c>
      <c r="K288" s="2">
        <v>2.6</v>
      </c>
      <c r="L288" t="s">
        <v>26</v>
      </c>
      <c r="M288" t="s">
        <v>35</v>
      </c>
      <c r="N288" t="s">
        <v>76</v>
      </c>
      <c r="O288" t="s">
        <v>26</v>
      </c>
      <c r="P288" t="s">
        <v>26</v>
      </c>
      <c r="Q288" s="3">
        <v>6</v>
      </c>
      <c r="R288" t="s">
        <v>59</v>
      </c>
      <c r="S288" t="s">
        <v>50</v>
      </c>
    </row>
    <row r="289" spans="1:19" x14ac:dyDescent="0.25">
      <c r="A289">
        <v>288</v>
      </c>
      <c r="B289">
        <v>56</v>
      </c>
      <c r="C289" t="s">
        <v>19</v>
      </c>
      <c r="D289" t="s">
        <v>119</v>
      </c>
      <c r="E289" t="s">
        <v>69</v>
      </c>
      <c r="F289" s="1">
        <v>37</v>
      </c>
      <c r="G289" t="s">
        <v>80</v>
      </c>
      <c r="H289" t="s">
        <v>23</v>
      </c>
      <c r="I289" t="s">
        <v>144</v>
      </c>
      <c r="J289" t="s">
        <v>39</v>
      </c>
      <c r="K289" s="2">
        <v>3.4</v>
      </c>
      <c r="L289" t="s">
        <v>26</v>
      </c>
      <c r="M289" t="s">
        <v>35</v>
      </c>
      <c r="N289" t="s">
        <v>72</v>
      </c>
      <c r="O289" t="s">
        <v>26</v>
      </c>
      <c r="P289" t="s">
        <v>26</v>
      </c>
      <c r="Q289" s="3">
        <v>18</v>
      </c>
      <c r="R289" t="s">
        <v>29</v>
      </c>
      <c r="S289" t="s">
        <v>30</v>
      </c>
    </row>
    <row r="290" spans="1:19" x14ac:dyDescent="0.25">
      <c r="A290">
        <v>289</v>
      </c>
      <c r="B290">
        <v>30</v>
      </c>
      <c r="C290" t="s">
        <v>19</v>
      </c>
      <c r="D290" t="s">
        <v>113</v>
      </c>
      <c r="E290" t="s">
        <v>21</v>
      </c>
      <c r="F290" s="1">
        <v>62</v>
      </c>
      <c r="G290" t="s">
        <v>98</v>
      </c>
      <c r="H290" t="s">
        <v>45</v>
      </c>
      <c r="I290" t="s">
        <v>93</v>
      </c>
      <c r="J290" t="s">
        <v>25</v>
      </c>
      <c r="K290" s="2">
        <v>3.7</v>
      </c>
      <c r="L290" t="s">
        <v>26</v>
      </c>
      <c r="M290" t="s">
        <v>27</v>
      </c>
      <c r="N290" t="s">
        <v>72</v>
      </c>
      <c r="O290" t="s">
        <v>26</v>
      </c>
      <c r="P290" t="s">
        <v>26</v>
      </c>
      <c r="Q290" s="3">
        <v>34</v>
      </c>
      <c r="R290" t="s">
        <v>29</v>
      </c>
      <c r="S290" t="s">
        <v>77</v>
      </c>
    </row>
    <row r="291" spans="1:19" x14ac:dyDescent="0.25">
      <c r="A291">
        <v>290</v>
      </c>
      <c r="B291">
        <v>49</v>
      </c>
      <c r="C291" t="s">
        <v>19</v>
      </c>
      <c r="D291" t="s">
        <v>64</v>
      </c>
      <c r="E291" t="s">
        <v>65</v>
      </c>
      <c r="F291" s="1">
        <v>85</v>
      </c>
      <c r="G291" t="s">
        <v>85</v>
      </c>
      <c r="H291" t="s">
        <v>45</v>
      </c>
      <c r="I291" t="s">
        <v>134</v>
      </c>
      <c r="J291" t="s">
        <v>58</v>
      </c>
      <c r="K291" s="2">
        <v>4.5</v>
      </c>
      <c r="L291" t="s">
        <v>26</v>
      </c>
      <c r="M291" t="s">
        <v>59</v>
      </c>
      <c r="N291" t="s">
        <v>72</v>
      </c>
      <c r="O291" t="s">
        <v>26</v>
      </c>
      <c r="P291" t="s">
        <v>26</v>
      </c>
      <c r="Q291" s="3">
        <v>26</v>
      </c>
      <c r="R291" t="s">
        <v>27</v>
      </c>
      <c r="S291" t="s">
        <v>88</v>
      </c>
    </row>
    <row r="292" spans="1:19" x14ac:dyDescent="0.25">
      <c r="A292">
        <v>291</v>
      </c>
      <c r="B292">
        <v>58</v>
      </c>
      <c r="C292" t="s">
        <v>19</v>
      </c>
      <c r="D292" t="s">
        <v>113</v>
      </c>
      <c r="E292" t="s">
        <v>21</v>
      </c>
      <c r="F292" s="1">
        <v>33</v>
      </c>
      <c r="G292" t="s">
        <v>112</v>
      </c>
      <c r="H292" t="s">
        <v>45</v>
      </c>
      <c r="I292" t="s">
        <v>126</v>
      </c>
      <c r="J292" t="s">
        <v>25</v>
      </c>
      <c r="K292" s="2">
        <v>3.7</v>
      </c>
      <c r="L292" t="s">
        <v>26</v>
      </c>
      <c r="M292" t="s">
        <v>34</v>
      </c>
      <c r="N292" t="s">
        <v>55</v>
      </c>
      <c r="O292" t="s">
        <v>26</v>
      </c>
      <c r="P292" t="s">
        <v>26</v>
      </c>
      <c r="Q292" s="3">
        <v>50</v>
      </c>
      <c r="R292" t="s">
        <v>46</v>
      </c>
      <c r="S292" t="s">
        <v>41</v>
      </c>
    </row>
    <row r="293" spans="1:19" x14ac:dyDescent="0.25">
      <c r="A293">
        <v>292</v>
      </c>
      <c r="B293">
        <v>57</v>
      </c>
      <c r="C293" t="s">
        <v>19</v>
      </c>
      <c r="D293" t="s">
        <v>82</v>
      </c>
      <c r="E293" t="s">
        <v>21</v>
      </c>
      <c r="F293" s="1">
        <v>26</v>
      </c>
      <c r="G293" t="s">
        <v>80</v>
      </c>
      <c r="H293" t="s">
        <v>92</v>
      </c>
      <c r="I293" t="s">
        <v>84</v>
      </c>
      <c r="J293" t="s">
        <v>58</v>
      </c>
      <c r="K293" s="2">
        <v>3.3</v>
      </c>
      <c r="L293" t="s">
        <v>26</v>
      </c>
      <c r="M293" t="s">
        <v>27</v>
      </c>
      <c r="N293" t="s">
        <v>47</v>
      </c>
      <c r="O293" t="s">
        <v>26</v>
      </c>
      <c r="P293" t="s">
        <v>26</v>
      </c>
      <c r="Q293" s="3">
        <v>40</v>
      </c>
      <c r="R293" t="s">
        <v>34</v>
      </c>
      <c r="S293" t="s">
        <v>88</v>
      </c>
    </row>
    <row r="294" spans="1:19" x14ac:dyDescent="0.25">
      <c r="A294">
        <v>293</v>
      </c>
      <c r="B294">
        <v>60</v>
      </c>
      <c r="C294" t="s">
        <v>19</v>
      </c>
      <c r="D294" t="s">
        <v>73</v>
      </c>
      <c r="E294" t="s">
        <v>43</v>
      </c>
      <c r="F294" s="1">
        <v>99</v>
      </c>
      <c r="G294" t="s">
        <v>140</v>
      </c>
      <c r="H294" t="s">
        <v>45</v>
      </c>
      <c r="I294" t="s">
        <v>96</v>
      </c>
      <c r="J294" t="s">
        <v>39</v>
      </c>
      <c r="K294" s="2">
        <v>4.7</v>
      </c>
      <c r="L294" t="s">
        <v>26</v>
      </c>
      <c r="M294" t="s">
        <v>27</v>
      </c>
      <c r="N294" t="s">
        <v>40</v>
      </c>
      <c r="O294" t="s">
        <v>26</v>
      </c>
      <c r="P294" t="s">
        <v>26</v>
      </c>
      <c r="Q294" s="3">
        <v>24</v>
      </c>
      <c r="R294" t="s">
        <v>35</v>
      </c>
      <c r="S294" t="s">
        <v>60</v>
      </c>
    </row>
    <row r="295" spans="1:19" x14ac:dyDescent="0.25">
      <c r="A295">
        <v>294</v>
      </c>
      <c r="B295">
        <v>69</v>
      </c>
      <c r="C295" t="s">
        <v>19</v>
      </c>
      <c r="D295" t="s">
        <v>68</v>
      </c>
      <c r="E295" t="s">
        <v>69</v>
      </c>
      <c r="F295" s="1">
        <v>39</v>
      </c>
      <c r="G295" t="s">
        <v>139</v>
      </c>
      <c r="H295" t="s">
        <v>45</v>
      </c>
      <c r="I295" t="s">
        <v>53</v>
      </c>
      <c r="J295" t="s">
        <v>39</v>
      </c>
      <c r="K295" s="2">
        <v>2.7</v>
      </c>
      <c r="L295" t="s">
        <v>26</v>
      </c>
      <c r="M295" t="s">
        <v>46</v>
      </c>
      <c r="N295" t="s">
        <v>28</v>
      </c>
      <c r="O295" t="s">
        <v>26</v>
      </c>
      <c r="P295" t="s">
        <v>26</v>
      </c>
      <c r="Q295" s="3">
        <v>33</v>
      </c>
      <c r="R295" t="s">
        <v>46</v>
      </c>
      <c r="S295" t="s">
        <v>50</v>
      </c>
    </row>
    <row r="296" spans="1:19" x14ac:dyDescent="0.25">
      <c r="A296">
        <v>295</v>
      </c>
      <c r="B296">
        <v>70</v>
      </c>
      <c r="C296" t="s">
        <v>19</v>
      </c>
      <c r="D296" t="s">
        <v>87</v>
      </c>
      <c r="E296" t="s">
        <v>21</v>
      </c>
      <c r="F296" s="1">
        <v>20</v>
      </c>
      <c r="G296" t="s">
        <v>127</v>
      </c>
      <c r="H296" t="s">
        <v>45</v>
      </c>
      <c r="I296" t="s">
        <v>81</v>
      </c>
      <c r="J296" t="s">
        <v>39</v>
      </c>
      <c r="K296" s="2">
        <v>4.5999999999999996</v>
      </c>
      <c r="L296" t="s">
        <v>26</v>
      </c>
      <c r="M296" t="s">
        <v>35</v>
      </c>
      <c r="N296" t="s">
        <v>76</v>
      </c>
      <c r="O296" t="s">
        <v>26</v>
      </c>
      <c r="P296" t="s">
        <v>26</v>
      </c>
      <c r="Q296" s="3">
        <v>19</v>
      </c>
      <c r="R296" t="s">
        <v>27</v>
      </c>
      <c r="S296" t="s">
        <v>97</v>
      </c>
    </row>
    <row r="297" spans="1:19" x14ac:dyDescent="0.25">
      <c r="A297">
        <v>296</v>
      </c>
      <c r="B297">
        <v>53</v>
      </c>
      <c r="C297" t="s">
        <v>19</v>
      </c>
      <c r="D297" t="s">
        <v>89</v>
      </c>
      <c r="E297" t="s">
        <v>69</v>
      </c>
      <c r="F297" s="1">
        <v>42</v>
      </c>
      <c r="G297" t="s">
        <v>66</v>
      </c>
      <c r="H297" t="s">
        <v>45</v>
      </c>
      <c r="I297" t="s">
        <v>126</v>
      </c>
      <c r="J297" t="s">
        <v>25</v>
      </c>
      <c r="K297" s="2">
        <v>2.7</v>
      </c>
      <c r="L297" t="s">
        <v>26</v>
      </c>
      <c r="M297" t="s">
        <v>29</v>
      </c>
      <c r="N297" t="s">
        <v>76</v>
      </c>
      <c r="O297" t="s">
        <v>26</v>
      </c>
      <c r="P297" t="s">
        <v>26</v>
      </c>
      <c r="Q297" s="3">
        <v>24</v>
      </c>
      <c r="R297" t="s">
        <v>27</v>
      </c>
      <c r="S297" t="s">
        <v>60</v>
      </c>
    </row>
    <row r="298" spans="1:19" x14ac:dyDescent="0.25">
      <c r="A298">
        <v>297</v>
      </c>
      <c r="B298">
        <v>25</v>
      </c>
      <c r="C298" t="s">
        <v>19</v>
      </c>
      <c r="D298" t="s">
        <v>42</v>
      </c>
      <c r="E298" t="s">
        <v>43</v>
      </c>
      <c r="F298" s="1">
        <v>74</v>
      </c>
      <c r="G298" t="s">
        <v>116</v>
      </c>
      <c r="H298" t="s">
        <v>38</v>
      </c>
      <c r="I298" t="s">
        <v>93</v>
      </c>
      <c r="J298" t="s">
        <v>39</v>
      </c>
      <c r="K298" s="2">
        <v>4.8</v>
      </c>
      <c r="L298" t="s">
        <v>26</v>
      </c>
      <c r="M298" t="s">
        <v>46</v>
      </c>
      <c r="N298" t="s">
        <v>72</v>
      </c>
      <c r="O298" t="s">
        <v>26</v>
      </c>
      <c r="P298" t="s">
        <v>26</v>
      </c>
      <c r="Q298" s="3">
        <v>19</v>
      </c>
      <c r="R298" t="s">
        <v>27</v>
      </c>
      <c r="S298" t="s">
        <v>41</v>
      </c>
    </row>
    <row r="299" spans="1:19" x14ac:dyDescent="0.25">
      <c r="A299">
        <v>298</v>
      </c>
      <c r="B299">
        <v>48</v>
      </c>
      <c r="C299" t="s">
        <v>19</v>
      </c>
      <c r="D299" t="s">
        <v>73</v>
      </c>
      <c r="E299" t="s">
        <v>43</v>
      </c>
      <c r="F299" s="1">
        <v>26</v>
      </c>
      <c r="G299" t="s">
        <v>80</v>
      </c>
      <c r="H299" t="s">
        <v>92</v>
      </c>
      <c r="I299" t="s">
        <v>75</v>
      </c>
      <c r="J299" t="s">
        <v>54</v>
      </c>
      <c r="K299" s="2">
        <v>4.4000000000000004</v>
      </c>
      <c r="L299" t="s">
        <v>26</v>
      </c>
      <c r="M299" t="s">
        <v>34</v>
      </c>
      <c r="N299" t="s">
        <v>55</v>
      </c>
      <c r="O299" t="s">
        <v>26</v>
      </c>
      <c r="P299" t="s">
        <v>26</v>
      </c>
      <c r="Q299" s="3">
        <v>4</v>
      </c>
      <c r="R299" t="s">
        <v>27</v>
      </c>
      <c r="S299" t="s">
        <v>77</v>
      </c>
    </row>
    <row r="300" spans="1:19" x14ac:dyDescent="0.25">
      <c r="A300">
        <v>299</v>
      </c>
      <c r="B300">
        <v>69</v>
      </c>
      <c r="C300" t="s">
        <v>19</v>
      </c>
      <c r="D300" t="s">
        <v>113</v>
      </c>
      <c r="E300" t="s">
        <v>21</v>
      </c>
      <c r="F300" s="1">
        <v>53</v>
      </c>
      <c r="G300" t="s">
        <v>128</v>
      </c>
      <c r="H300" t="s">
        <v>45</v>
      </c>
      <c r="I300" t="s">
        <v>93</v>
      </c>
      <c r="J300" t="s">
        <v>25</v>
      </c>
      <c r="K300" s="2">
        <v>4</v>
      </c>
      <c r="L300" t="s">
        <v>26</v>
      </c>
      <c r="M300" t="s">
        <v>35</v>
      </c>
      <c r="N300" t="s">
        <v>55</v>
      </c>
      <c r="O300" t="s">
        <v>26</v>
      </c>
      <c r="P300" t="s">
        <v>26</v>
      </c>
      <c r="Q300" s="3">
        <v>11</v>
      </c>
      <c r="R300" t="s">
        <v>29</v>
      </c>
      <c r="S300" t="s">
        <v>97</v>
      </c>
    </row>
    <row r="301" spans="1:19" x14ac:dyDescent="0.25">
      <c r="A301">
        <v>300</v>
      </c>
      <c r="B301">
        <v>25</v>
      </c>
      <c r="C301" t="s">
        <v>19</v>
      </c>
      <c r="D301" t="s">
        <v>51</v>
      </c>
      <c r="E301" t="s">
        <v>43</v>
      </c>
      <c r="F301" s="1">
        <v>80</v>
      </c>
      <c r="G301" t="s">
        <v>138</v>
      </c>
      <c r="H301" t="s">
        <v>45</v>
      </c>
      <c r="I301" t="s">
        <v>33</v>
      </c>
      <c r="J301" t="s">
        <v>54</v>
      </c>
      <c r="K301" s="2">
        <v>3.2</v>
      </c>
      <c r="L301" t="s">
        <v>26</v>
      </c>
      <c r="M301" t="s">
        <v>27</v>
      </c>
      <c r="N301" t="s">
        <v>47</v>
      </c>
      <c r="O301" t="s">
        <v>26</v>
      </c>
      <c r="P301" t="s">
        <v>26</v>
      </c>
      <c r="Q301" s="3">
        <v>28</v>
      </c>
      <c r="R301" t="s">
        <v>46</v>
      </c>
      <c r="S301" t="s">
        <v>30</v>
      </c>
    </row>
    <row r="302" spans="1:19" x14ac:dyDescent="0.25">
      <c r="A302">
        <v>301</v>
      </c>
      <c r="B302">
        <v>29</v>
      </c>
      <c r="C302" t="s">
        <v>19</v>
      </c>
      <c r="D302" t="s">
        <v>124</v>
      </c>
      <c r="E302" t="s">
        <v>69</v>
      </c>
      <c r="F302" s="1">
        <v>98</v>
      </c>
      <c r="G302" t="s">
        <v>146</v>
      </c>
      <c r="H302" t="s">
        <v>45</v>
      </c>
      <c r="I302" t="s">
        <v>86</v>
      </c>
      <c r="J302" t="s">
        <v>39</v>
      </c>
      <c r="K302" s="2">
        <v>4.4000000000000004</v>
      </c>
      <c r="L302" t="s">
        <v>26</v>
      </c>
      <c r="M302" t="s">
        <v>35</v>
      </c>
      <c r="N302" t="s">
        <v>76</v>
      </c>
      <c r="O302" t="s">
        <v>26</v>
      </c>
      <c r="P302" t="s">
        <v>26</v>
      </c>
      <c r="Q302" s="3">
        <v>24</v>
      </c>
      <c r="R302" t="s">
        <v>46</v>
      </c>
      <c r="S302" t="s">
        <v>41</v>
      </c>
    </row>
    <row r="303" spans="1:19" x14ac:dyDescent="0.25">
      <c r="A303">
        <v>302</v>
      </c>
      <c r="B303">
        <v>46</v>
      </c>
      <c r="C303" t="s">
        <v>19</v>
      </c>
      <c r="D303" t="s">
        <v>87</v>
      </c>
      <c r="E303" t="s">
        <v>21</v>
      </c>
      <c r="F303" s="1">
        <v>95</v>
      </c>
      <c r="G303" t="s">
        <v>138</v>
      </c>
      <c r="H303" t="s">
        <v>45</v>
      </c>
      <c r="I303" t="s">
        <v>96</v>
      </c>
      <c r="J303" t="s">
        <v>39</v>
      </c>
      <c r="K303" s="2">
        <v>3.8</v>
      </c>
      <c r="L303" t="s">
        <v>26</v>
      </c>
      <c r="M303" t="s">
        <v>59</v>
      </c>
      <c r="N303" t="s">
        <v>55</v>
      </c>
      <c r="O303" t="s">
        <v>26</v>
      </c>
      <c r="P303" t="s">
        <v>26</v>
      </c>
      <c r="Q303" s="3">
        <v>25</v>
      </c>
      <c r="R303" t="s">
        <v>27</v>
      </c>
      <c r="S303" t="s">
        <v>97</v>
      </c>
    </row>
    <row r="304" spans="1:19" x14ac:dyDescent="0.25">
      <c r="A304">
        <v>303</v>
      </c>
      <c r="B304">
        <v>37</v>
      </c>
      <c r="C304" t="s">
        <v>19</v>
      </c>
      <c r="D304" t="s">
        <v>31</v>
      </c>
      <c r="E304" t="s">
        <v>21</v>
      </c>
      <c r="F304" s="1">
        <v>44</v>
      </c>
      <c r="G304" t="s">
        <v>80</v>
      </c>
      <c r="H304" t="s">
        <v>23</v>
      </c>
      <c r="I304" t="s">
        <v>79</v>
      </c>
      <c r="J304" t="s">
        <v>54</v>
      </c>
      <c r="K304" s="2">
        <v>3.6</v>
      </c>
      <c r="L304" t="s">
        <v>26</v>
      </c>
      <c r="M304" t="s">
        <v>29</v>
      </c>
      <c r="N304" t="s">
        <v>28</v>
      </c>
      <c r="O304" t="s">
        <v>26</v>
      </c>
      <c r="P304" t="s">
        <v>26</v>
      </c>
      <c r="Q304" s="3">
        <v>27</v>
      </c>
      <c r="R304" t="s">
        <v>34</v>
      </c>
      <c r="S304" t="s">
        <v>97</v>
      </c>
    </row>
    <row r="305" spans="1:19" x14ac:dyDescent="0.25">
      <c r="A305">
        <v>304</v>
      </c>
      <c r="B305">
        <v>20</v>
      </c>
      <c r="C305" t="s">
        <v>19</v>
      </c>
      <c r="D305" t="s">
        <v>42</v>
      </c>
      <c r="E305" t="s">
        <v>43</v>
      </c>
      <c r="F305" s="1">
        <v>60</v>
      </c>
      <c r="G305" t="s">
        <v>48</v>
      </c>
      <c r="H305" t="s">
        <v>45</v>
      </c>
      <c r="I305" t="s">
        <v>49</v>
      </c>
      <c r="J305" t="s">
        <v>54</v>
      </c>
      <c r="K305" s="2">
        <v>3.3</v>
      </c>
      <c r="L305" t="s">
        <v>26</v>
      </c>
      <c r="M305" t="s">
        <v>35</v>
      </c>
      <c r="N305" t="s">
        <v>47</v>
      </c>
      <c r="O305" t="s">
        <v>26</v>
      </c>
      <c r="P305" t="s">
        <v>26</v>
      </c>
      <c r="Q305" s="3">
        <v>49</v>
      </c>
      <c r="R305" t="s">
        <v>29</v>
      </c>
      <c r="S305" t="s">
        <v>41</v>
      </c>
    </row>
    <row r="306" spans="1:19" x14ac:dyDescent="0.25">
      <c r="A306">
        <v>305</v>
      </c>
      <c r="B306">
        <v>40</v>
      </c>
      <c r="C306" t="s">
        <v>19</v>
      </c>
      <c r="D306" t="s">
        <v>82</v>
      </c>
      <c r="E306" t="s">
        <v>21</v>
      </c>
      <c r="F306" s="1">
        <v>84</v>
      </c>
      <c r="G306" t="s">
        <v>48</v>
      </c>
      <c r="H306" t="s">
        <v>45</v>
      </c>
      <c r="I306" t="s">
        <v>96</v>
      </c>
      <c r="J306" t="s">
        <v>25</v>
      </c>
      <c r="K306" s="2">
        <v>3.4</v>
      </c>
      <c r="L306" t="s">
        <v>26</v>
      </c>
      <c r="M306" t="s">
        <v>29</v>
      </c>
      <c r="N306" t="s">
        <v>47</v>
      </c>
      <c r="O306" t="s">
        <v>26</v>
      </c>
      <c r="P306" t="s">
        <v>26</v>
      </c>
      <c r="Q306" s="3">
        <v>45</v>
      </c>
      <c r="R306" t="s">
        <v>27</v>
      </c>
      <c r="S306" t="s">
        <v>77</v>
      </c>
    </row>
    <row r="307" spans="1:19" x14ac:dyDescent="0.25">
      <c r="A307">
        <v>306</v>
      </c>
      <c r="B307">
        <v>60</v>
      </c>
      <c r="C307" t="s">
        <v>19</v>
      </c>
      <c r="D307" t="s">
        <v>31</v>
      </c>
      <c r="E307" t="s">
        <v>21</v>
      </c>
      <c r="F307" s="1">
        <v>59</v>
      </c>
      <c r="G307" t="s">
        <v>140</v>
      </c>
      <c r="H307" t="s">
        <v>45</v>
      </c>
      <c r="I307" t="s">
        <v>86</v>
      </c>
      <c r="J307" t="s">
        <v>58</v>
      </c>
      <c r="K307" s="2">
        <v>3.5</v>
      </c>
      <c r="L307" t="s">
        <v>26</v>
      </c>
      <c r="M307" t="s">
        <v>59</v>
      </c>
      <c r="N307" t="s">
        <v>72</v>
      </c>
      <c r="O307" t="s">
        <v>26</v>
      </c>
      <c r="P307" t="s">
        <v>26</v>
      </c>
      <c r="Q307" s="3">
        <v>26</v>
      </c>
      <c r="R307" t="s">
        <v>46</v>
      </c>
      <c r="S307" t="s">
        <v>50</v>
      </c>
    </row>
    <row r="308" spans="1:19" x14ac:dyDescent="0.25">
      <c r="A308">
        <v>307</v>
      </c>
      <c r="B308">
        <v>26</v>
      </c>
      <c r="C308" t="s">
        <v>19</v>
      </c>
      <c r="D308" t="s">
        <v>102</v>
      </c>
      <c r="E308" t="s">
        <v>65</v>
      </c>
      <c r="F308" s="1">
        <v>49</v>
      </c>
      <c r="G308" t="s">
        <v>114</v>
      </c>
      <c r="H308" t="s">
        <v>38</v>
      </c>
      <c r="I308" t="s">
        <v>53</v>
      </c>
      <c r="J308" t="s">
        <v>54</v>
      </c>
      <c r="K308" s="2">
        <v>3.6</v>
      </c>
      <c r="L308" t="s">
        <v>26</v>
      </c>
      <c r="M308" t="s">
        <v>59</v>
      </c>
      <c r="N308" t="s">
        <v>28</v>
      </c>
      <c r="O308" t="s">
        <v>26</v>
      </c>
      <c r="P308" t="s">
        <v>26</v>
      </c>
      <c r="Q308" s="3">
        <v>4</v>
      </c>
      <c r="R308" t="s">
        <v>35</v>
      </c>
      <c r="S308" t="s">
        <v>50</v>
      </c>
    </row>
    <row r="309" spans="1:19" x14ac:dyDescent="0.25">
      <c r="A309">
        <v>308</v>
      </c>
      <c r="B309">
        <v>29</v>
      </c>
      <c r="C309" t="s">
        <v>19</v>
      </c>
      <c r="D309" t="s">
        <v>143</v>
      </c>
      <c r="E309" t="s">
        <v>69</v>
      </c>
      <c r="F309" s="1">
        <v>32</v>
      </c>
      <c r="G309" t="s">
        <v>103</v>
      </c>
      <c r="H309" t="s">
        <v>45</v>
      </c>
      <c r="I309" t="s">
        <v>121</v>
      </c>
      <c r="J309" t="s">
        <v>25</v>
      </c>
      <c r="K309" s="2">
        <v>3.2</v>
      </c>
      <c r="L309" t="s">
        <v>26</v>
      </c>
      <c r="M309" t="s">
        <v>35</v>
      </c>
      <c r="N309" t="s">
        <v>40</v>
      </c>
      <c r="O309" t="s">
        <v>26</v>
      </c>
      <c r="P309" t="s">
        <v>26</v>
      </c>
      <c r="Q309" s="3">
        <v>3</v>
      </c>
      <c r="R309" t="s">
        <v>27</v>
      </c>
      <c r="S309" t="s">
        <v>97</v>
      </c>
    </row>
    <row r="310" spans="1:19" x14ac:dyDescent="0.25">
      <c r="A310">
        <v>309</v>
      </c>
      <c r="B310">
        <v>66</v>
      </c>
      <c r="C310" t="s">
        <v>19</v>
      </c>
      <c r="D310" t="s">
        <v>68</v>
      </c>
      <c r="E310" t="s">
        <v>69</v>
      </c>
      <c r="F310" s="1">
        <v>29</v>
      </c>
      <c r="G310" t="s">
        <v>128</v>
      </c>
      <c r="H310" t="s">
        <v>45</v>
      </c>
      <c r="I310" t="s">
        <v>118</v>
      </c>
      <c r="J310" t="s">
        <v>58</v>
      </c>
      <c r="K310" s="2">
        <v>3.7</v>
      </c>
      <c r="L310" t="s">
        <v>26</v>
      </c>
      <c r="M310" t="s">
        <v>34</v>
      </c>
      <c r="N310" t="s">
        <v>55</v>
      </c>
      <c r="O310" t="s">
        <v>26</v>
      </c>
      <c r="P310" t="s">
        <v>26</v>
      </c>
      <c r="Q310" s="3">
        <v>45</v>
      </c>
      <c r="R310" t="s">
        <v>29</v>
      </c>
      <c r="S310" t="s">
        <v>77</v>
      </c>
    </row>
    <row r="311" spans="1:19" x14ac:dyDescent="0.25">
      <c r="A311">
        <v>310</v>
      </c>
      <c r="B311">
        <v>66</v>
      </c>
      <c r="C311" t="s">
        <v>19</v>
      </c>
      <c r="D311" t="s">
        <v>82</v>
      </c>
      <c r="E311" t="s">
        <v>21</v>
      </c>
      <c r="F311" s="1">
        <v>22</v>
      </c>
      <c r="G311" t="s">
        <v>148</v>
      </c>
      <c r="H311" t="s">
        <v>45</v>
      </c>
      <c r="I311" t="s">
        <v>134</v>
      </c>
      <c r="J311" t="s">
        <v>39</v>
      </c>
      <c r="K311" s="2">
        <v>4.5</v>
      </c>
      <c r="L311" t="s">
        <v>26</v>
      </c>
      <c r="M311" t="s">
        <v>34</v>
      </c>
      <c r="N311" t="s">
        <v>55</v>
      </c>
      <c r="O311" t="s">
        <v>26</v>
      </c>
      <c r="P311" t="s">
        <v>26</v>
      </c>
      <c r="Q311" s="3">
        <v>21</v>
      </c>
      <c r="R311" t="s">
        <v>35</v>
      </c>
      <c r="S311" t="s">
        <v>30</v>
      </c>
    </row>
    <row r="312" spans="1:19" x14ac:dyDescent="0.25">
      <c r="A312">
        <v>311</v>
      </c>
      <c r="B312">
        <v>56</v>
      </c>
      <c r="C312" t="s">
        <v>19</v>
      </c>
      <c r="D312" t="s">
        <v>95</v>
      </c>
      <c r="E312" t="s">
        <v>21</v>
      </c>
      <c r="F312" s="1">
        <v>85</v>
      </c>
      <c r="G312" t="s">
        <v>57</v>
      </c>
      <c r="H312" t="s">
        <v>45</v>
      </c>
      <c r="I312" t="s">
        <v>63</v>
      </c>
      <c r="J312" t="s">
        <v>25</v>
      </c>
      <c r="K312" s="2">
        <v>4.5999999999999996</v>
      </c>
      <c r="L312" t="s">
        <v>26</v>
      </c>
      <c r="M312" t="s">
        <v>59</v>
      </c>
      <c r="N312" t="s">
        <v>55</v>
      </c>
      <c r="O312" t="s">
        <v>26</v>
      </c>
      <c r="P312" t="s">
        <v>26</v>
      </c>
      <c r="Q312" s="3">
        <v>50</v>
      </c>
      <c r="R312" t="s">
        <v>35</v>
      </c>
      <c r="S312" t="s">
        <v>30</v>
      </c>
    </row>
    <row r="313" spans="1:19" x14ac:dyDescent="0.25">
      <c r="A313">
        <v>312</v>
      </c>
      <c r="B313">
        <v>69</v>
      </c>
      <c r="C313" t="s">
        <v>19</v>
      </c>
      <c r="D313" t="s">
        <v>36</v>
      </c>
      <c r="E313" t="s">
        <v>21</v>
      </c>
      <c r="F313" s="1">
        <v>52</v>
      </c>
      <c r="G313" t="s">
        <v>44</v>
      </c>
      <c r="H313" t="s">
        <v>23</v>
      </c>
      <c r="I313" t="s">
        <v>67</v>
      </c>
      <c r="J313" t="s">
        <v>25</v>
      </c>
      <c r="K313" s="2">
        <v>4.0999999999999996</v>
      </c>
      <c r="L313" t="s">
        <v>26</v>
      </c>
      <c r="M313" t="s">
        <v>59</v>
      </c>
      <c r="N313" t="s">
        <v>76</v>
      </c>
      <c r="O313" t="s">
        <v>26</v>
      </c>
      <c r="P313" t="s">
        <v>26</v>
      </c>
      <c r="Q313" s="3">
        <v>19</v>
      </c>
      <c r="R313" t="s">
        <v>34</v>
      </c>
      <c r="S313" t="s">
        <v>88</v>
      </c>
    </row>
    <row r="314" spans="1:19" x14ac:dyDescent="0.25">
      <c r="A314">
        <v>313</v>
      </c>
      <c r="B314">
        <v>38</v>
      </c>
      <c r="C314" t="s">
        <v>19</v>
      </c>
      <c r="D314" t="s">
        <v>95</v>
      </c>
      <c r="E314" t="s">
        <v>21</v>
      </c>
      <c r="F314" s="1">
        <v>89</v>
      </c>
      <c r="G314" t="s">
        <v>37</v>
      </c>
      <c r="H314" t="s">
        <v>23</v>
      </c>
      <c r="I314" t="s">
        <v>96</v>
      </c>
      <c r="J314" t="s">
        <v>39</v>
      </c>
      <c r="K314" s="2">
        <v>3.4</v>
      </c>
      <c r="L314" t="s">
        <v>26</v>
      </c>
      <c r="M314" t="s">
        <v>34</v>
      </c>
      <c r="N314" t="s">
        <v>47</v>
      </c>
      <c r="O314" t="s">
        <v>26</v>
      </c>
      <c r="P314" t="s">
        <v>26</v>
      </c>
      <c r="Q314" s="3">
        <v>6</v>
      </c>
      <c r="R314" t="s">
        <v>46</v>
      </c>
      <c r="S314" t="s">
        <v>50</v>
      </c>
    </row>
    <row r="315" spans="1:19" x14ac:dyDescent="0.25">
      <c r="A315">
        <v>314</v>
      </c>
      <c r="B315">
        <v>42</v>
      </c>
      <c r="C315" t="s">
        <v>19</v>
      </c>
      <c r="D315" t="s">
        <v>82</v>
      </c>
      <c r="E315" t="s">
        <v>21</v>
      </c>
      <c r="F315" s="1">
        <v>77</v>
      </c>
      <c r="G315" t="s">
        <v>129</v>
      </c>
      <c r="H315" t="s">
        <v>45</v>
      </c>
      <c r="I315" t="s">
        <v>71</v>
      </c>
      <c r="J315" t="s">
        <v>39</v>
      </c>
      <c r="K315" s="2">
        <v>3.7</v>
      </c>
      <c r="L315" t="s">
        <v>26</v>
      </c>
      <c r="M315" t="s">
        <v>46</v>
      </c>
      <c r="N315" t="s">
        <v>28</v>
      </c>
      <c r="O315" t="s">
        <v>26</v>
      </c>
      <c r="P315" t="s">
        <v>26</v>
      </c>
      <c r="Q315" s="3">
        <v>50</v>
      </c>
      <c r="R315" t="s">
        <v>27</v>
      </c>
      <c r="S315" t="s">
        <v>97</v>
      </c>
    </row>
    <row r="316" spans="1:19" x14ac:dyDescent="0.25">
      <c r="A316">
        <v>315</v>
      </c>
      <c r="B316">
        <v>30</v>
      </c>
      <c r="C316" t="s">
        <v>19</v>
      </c>
      <c r="D316" t="s">
        <v>95</v>
      </c>
      <c r="E316" t="s">
        <v>21</v>
      </c>
      <c r="F316" s="1">
        <v>24</v>
      </c>
      <c r="G316" t="s">
        <v>127</v>
      </c>
      <c r="H316" t="s">
        <v>45</v>
      </c>
      <c r="I316" t="s">
        <v>75</v>
      </c>
      <c r="J316" t="s">
        <v>54</v>
      </c>
      <c r="K316" s="2">
        <v>3.3</v>
      </c>
      <c r="L316" t="s">
        <v>26</v>
      </c>
      <c r="M316" t="s">
        <v>46</v>
      </c>
      <c r="N316" t="s">
        <v>76</v>
      </c>
      <c r="O316" t="s">
        <v>26</v>
      </c>
      <c r="P316" t="s">
        <v>26</v>
      </c>
      <c r="Q316" s="3">
        <v>17</v>
      </c>
      <c r="R316" t="s">
        <v>59</v>
      </c>
      <c r="S316" t="s">
        <v>97</v>
      </c>
    </row>
    <row r="317" spans="1:19" x14ac:dyDescent="0.25">
      <c r="A317">
        <v>316</v>
      </c>
      <c r="B317">
        <v>66</v>
      </c>
      <c r="C317" t="s">
        <v>19</v>
      </c>
      <c r="D317" t="s">
        <v>106</v>
      </c>
      <c r="E317" t="s">
        <v>69</v>
      </c>
      <c r="F317" s="1">
        <v>24</v>
      </c>
      <c r="G317" t="s">
        <v>150</v>
      </c>
      <c r="H317" t="s">
        <v>92</v>
      </c>
      <c r="I317" t="s">
        <v>121</v>
      </c>
      <c r="J317" t="s">
        <v>39</v>
      </c>
      <c r="K317" s="2">
        <v>4.5</v>
      </c>
      <c r="L317" t="s">
        <v>26</v>
      </c>
      <c r="M317" t="s">
        <v>29</v>
      </c>
      <c r="N317" t="s">
        <v>28</v>
      </c>
      <c r="O317" t="s">
        <v>26</v>
      </c>
      <c r="P317" t="s">
        <v>26</v>
      </c>
      <c r="Q317" s="3">
        <v>24</v>
      </c>
      <c r="R317" t="s">
        <v>59</v>
      </c>
      <c r="S317" t="s">
        <v>50</v>
      </c>
    </row>
    <row r="318" spans="1:19" x14ac:dyDescent="0.25">
      <c r="A318">
        <v>317</v>
      </c>
      <c r="B318">
        <v>36</v>
      </c>
      <c r="C318" t="s">
        <v>19</v>
      </c>
      <c r="D318" t="s">
        <v>68</v>
      </c>
      <c r="E318" t="s">
        <v>69</v>
      </c>
      <c r="F318" s="1">
        <v>22</v>
      </c>
      <c r="G318" t="s">
        <v>99</v>
      </c>
      <c r="H318" t="s">
        <v>45</v>
      </c>
      <c r="I318" t="s">
        <v>63</v>
      </c>
      <c r="J318" t="s">
        <v>58</v>
      </c>
      <c r="K318" s="2">
        <v>3.3</v>
      </c>
      <c r="L318" t="s">
        <v>26</v>
      </c>
      <c r="M318" t="s">
        <v>34</v>
      </c>
      <c r="N318" t="s">
        <v>40</v>
      </c>
      <c r="O318" t="s">
        <v>26</v>
      </c>
      <c r="P318" t="s">
        <v>26</v>
      </c>
      <c r="Q318" s="3">
        <v>46</v>
      </c>
      <c r="R318" t="s">
        <v>29</v>
      </c>
      <c r="S318" t="s">
        <v>88</v>
      </c>
    </row>
    <row r="319" spans="1:19" x14ac:dyDescent="0.25">
      <c r="A319">
        <v>318</v>
      </c>
      <c r="B319">
        <v>58</v>
      </c>
      <c r="C319" t="s">
        <v>19</v>
      </c>
      <c r="D319" t="s">
        <v>31</v>
      </c>
      <c r="E319" t="s">
        <v>21</v>
      </c>
      <c r="F319" s="1">
        <v>82</v>
      </c>
      <c r="G319" t="s">
        <v>66</v>
      </c>
      <c r="H319" t="s">
        <v>23</v>
      </c>
      <c r="I319" t="s">
        <v>86</v>
      </c>
      <c r="J319" t="s">
        <v>58</v>
      </c>
      <c r="K319" s="2">
        <v>4.3</v>
      </c>
      <c r="L319" t="s">
        <v>26</v>
      </c>
      <c r="M319" t="s">
        <v>34</v>
      </c>
      <c r="N319" t="s">
        <v>55</v>
      </c>
      <c r="O319" t="s">
        <v>26</v>
      </c>
      <c r="P319" t="s">
        <v>26</v>
      </c>
      <c r="Q319" s="3">
        <v>42</v>
      </c>
      <c r="R319" t="s">
        <v>35</v>
      </c>
      <c r="S319" t="s">
        <v>97</v>
      </c>
    </row>
    <row r="320" spans="1:19" x14ac:dyDescent="0.25">
      <c r="A320">
        <v>319</v>
      </c>
      <c r="B320">
        <v>45</v>
      </c>
      <c r="C320" t="s">
        <v>19</v>
      </c>
      <c r="D320" t="s">
        <v>132</v>
      </c>
      <c r="E320" t="s">
        <v>69</v>
      </c>
      <c r="F320" s="1">
        <v>67</v>
      </c>
      <c r="G320" t="s">
        <v>147</v>
      </c>
      <c r="H320" t="s">
        <v>45</v>
      </c>
      <c r="I320" t="s">
        <v>118</v>
      </c>
      <c r="J320" t="s">
        <v>25</v>
      </c>
      <c r="K320" s="2">
        <v>2.5</v>
      </c>
      <c r="L320" t="s">
        <v>26</v>
      </c>
      <c r="M320" t="s">
        <v>46</v>
      </c>
      <c r="N320" t="s">
        <v>55</v>
      </c>
      <c r="O320" t="s">
        <v>26</v>
      </c>
      <c r="P320" t="s">
        <v>26</v>
      </c>
      <c r="Q320" s="3">
        <v>10</v>
      </c>
      <c r="R320" t="s">
        <v>35</v>
      </c>
      <c r="S320" t="s">
        <v>50</v>
      </c>
    </row>
    <row r="321" spans="1:19" x14ac:dyDescent="0.25">
      <c r="A321">
        <v>320</v>
      </c>
      <c r="B321">
        <v>47</v>
      </c>
      <c r="C321" t="s">
        <v>19</v>
      </c>
      <c r="D321" t="s">
        <v>61</v>
      </c>
      <c r="E321" t="s">
        <v>21</v>
      </c>
      <c r="F321" s="1">
        <v>74</v>
      </c>
      <c r="G321" t="s">
        <v>32</v>
      </c>
      <c r="H321" t="s">
        <v>92</v>
      </c>
      <c r="I321" t="s">
        <v>53</v>
      </c>
      <c r="J321" t="s">
        <v>39</v>
      </c>
      <c r="K321" s="2">
        <v>2.6</v>
      </c>
      <c r="L321" t="s">
        <v>26</v>
      </c>
      <c r="M321" t="s">
        <v>29</v>
      </c>
      <c r="N321" t="s">
        <v>55</v>
      </c>
      <c r="O321" t="s">
        <v>26</v>
      </c>
      <c r="P321" t="s">
        <v>26</v>
      </c>
      <c r="Q321" s="3">
        <v>1</v>
      </c>
      <c r="R321" t="s">
        <v>35</v>
      </c>
      <c r="S321" t="s">
        <v>97</v>
      </c>
    </row>
    <row r="322" spans="1:19" x14ac:dyDescent="0.25">
      <c r="A322">
        <v>321</v>
      </c>
      <c r="B322">
        <v>66</v>
      </c>
      <c r="C322" t="s">
        <v>19</v>
      </c>
      <c r="D322" t="s">
        <v>106</v>
      </c>
      <c r="E322" t="s">
        <v>69</v>
      </c>
      <c r="F322" s="1">
        <v>72</v>
      </c>
      <c r="G322" t="s">
        <v>111</v>
      </c>
      <c r="H322" t="s">
        <v>23</v>
      </c>
      <c r="I322" t="s">
        <v>53</v>
      </c>
      <c r="J322" t="s">
        <v>54</v>
      </c>
      <c r="K322" s="2">
        <v>4.9000000000000004</v>
      </c>
      <c r="L322" t="s">
        <v>26</v>
      </c>
      <c r="M322" t="s">
        <v>46</v>
      </c>
      <c r="N322" t="s">
        <v>55</v>
      </c>
      <c r="O322" t="s">
        <v>26</v>
      </c>
      <c r="P322" t="s">
        <v>26</v>
      </c>
      <c r="Q322" s="3">
        <v>28</v>
      </c>
      <c r="R322" t="s">
        <v>59</v>
      </c>
      <c r="S322" t="s">
        <v>60</v>
      </c>
    </row>
    <row r="323" spans="1:19" x14ac:dyDescent="0.25">
      <c r="A323">
        <v>322</v>
      </c>
      <c r="B323">
        <v>41</v>
      </c>
      <c r="C323" t="s">
        <v>19</v>
      </c>
      <c r="D323" t="s">
        <v>51</v>
      </c>
      <c r="E323" t="s">
        <v>43</v>
      </c>
      <c r="F323" s="1">
        <v>36</v>
      </c>
      <c r="G323" t="s">
        <v>129</v>
      </c>
      <c r="H323" t="s">
        <v>23</v>
      </c>
      <c r="I323" t="s">
        <v>121</v>
      </c>
      <c r="J323" t="s">
        <v>54</v>
      </c>
      <c r="K323" s="2">
        <v>4.7</v>
      </c>
      <c r="L323" t="s">
        <v>26</v>
      </c>
      <c r="M323" t="s">
        <v>27</v>
      </c>
      <c r="N323" t="s">
        <v>40</v>
      </c>
      <c r="O323" t="s">
        <v>26</v>
      </c>
      <c r="P323" t="s">
        <v>26</v>
      </c>
      <c r="Q323" s="3">
        <v>48</v>
      </c>
      <c r="R323" t="s">
        <v>59</v>
      </c>
      <c r="S323" t="s">
        <v>60</v>
      </c>
    </row>
    <row r="324" spans="1:19" x14ac:dyDescent="0.25">
      <c r="A324">
        <v>323</v>
      </c>
      <c r="B324">
        <v>41</v>
      </c>
      <c r="C324" t="s">
        <v>19</v>
      </c>
      <c r="D324" t="s">
        <v>133</v>
      </c>
      <c r="E324" t="s">
        <v>69</v>
      </c>
      <c r="F324" s="1">
        <v>95</v>
      </c>
      <c r="G324" t="s">
        <v>122</v>
      </c>
      <c r="H324" t="s">
        <v>38</v>
      </c>
      <c r="I324" t="s">
        <v>109</v>
      </c>
      <c r="J324" t="s">
        <v>25</v>
      </c>
      <c r="K324" s="2">
        <v>3</v>
      </c>
      <c r="L324" t="s">
        <v>26</v>
      </c>
      <c r="M324" t="s">
        <v>27</v>
      </c>
      <c r="N324" t="s">
        <v>55</v>
      </c>
      <c r="O324" t="s">
        <v>26</v>
      </c>
      <c r="P324" t="s">
        <v>26</v>
      </c>
      <c r="Q324" s="3">
        <v>47</v>
      </c>
      <c r="R324" t="s">
        <v>27</v>
      </c>
      <c r="S324" t="s">
        <v>88</v>
      </c>
    </row>
    <row r="325" spans="1:19" x14ac:dyDescent="0.25">
      <c r="A325">
        <v>324</v>
      </c>
      <c r="B325">
        <v>66</v>
      </c>
      <c r="C325" t="s">
        <v>19</v>
      </c>
      <c r="D325" t="s">
        <v>104</v>
      </c>
      <c r="E325" t="s">
        <v>21</v>
      </c>
      <c r="F325" s="1">
        <v>78</v>
      </c>
      <c r="G325" t="s">
        <v>122</v>
      </c>
      <c r="H325" t="s">
        <v>45</v>
      </c>
      <c r="I325" t="s">
        <v>121</v>
      </c>
      <c r="J325" t="s">
        <v>25</v>
      </c>
      <c r="K325" s="2">
        <v>3.5</v>
      </c>
      <c r="L325" t="s">
        <v>26</v>
      </c>
      <c r="M325" t="s">
        <v>29</v>
      </c>
      <c r="N325" t="s">
        <v>47</v>
      </c>
      <c r="O325" t="s">
        <v>26</v>
      </c>
      <c r="P325" t="s">
        <v>26</v>
      </c>
      <c r="Q325" s="3">
        <v>29</v>
      </c>
      <c r="R325" t="s">
        <v>46</v>
      </c>
      <c r="S325" t="s">
        <v>77</v>
      </c>
    </row>
    <row r="326" spans="1:19" x14ac:dyDescent="0.25">
      <c r="A326">
        <v>325</v>
      </c>
      <c r="B326">
        <v>37</v>
      </c>
      <c r="C326" t="s">
        <v>19</v>
      </c>
      <c r="D326" t="s">
        <v>56</v>
      </c>
      <c r="E326" t="s">
        <v>21</v>
      </c>
      <c r="F326" s="1">
        <v>82</v>
      </c>
      <c r="G326" t="s">
        <v>52</v>
      </c>
      <c r="H326" t="s">
        <v>45</v>
      </c>
      <c r="I326" t="s">
        <v>79</v>
      </c>
      <c r="J326" t="s">
        <v>54</v>
      </c>
      <c r="K326" s="2">
        <v>4.8</v>
      </c>
      <c r="L326" t="s">
        <v>26</v>
      </c>
      <c r="M326" t="s">
        <v>27</v>
      </c>
      <c r="N326" t="s">
        <v>55</v>
      </c>
      <c r="O326" t="s">
        <v>26</v>
      </c>
      <c r="P326" t="s">
        <v>26</v>
      </c>
      <c r="Q326" s="3">
        <v>37</v>
      </c>
      <c r="R326" t="s">
        <v>29</v>
      </c>
      <c r="S326" t="s">
        <v>60</v>
      </c>
    </row>
    <row r="327" spans="1:19" x14ac:dyDescent="0.25">
      <c r="A327">
        <v>326</v>
      </c>
      <c r="B327">
        <v>70</v>
      </c>
      <c r="C327" t="s">
        <v>19</v>
      </c>
      <c r="D327" t="s">
        <v>95</v>
      </c>
      <c r="E327" t="s">
        <v>21</v>
      </c>
      <c r="F327" s="1">
        <v>70</v>
      </c>
      <c r="G327" t="s">
        <v>129</v>
      </c>
      <c r="H327" t="s">
        <v>45</v>
      </c>
      <c r="I327" t="s">
        <v>63</v>
      </c>
      <c r="J327" t="s">
        <v>25</v>
      </c>
      <c r="K327" s="2">
        <v>4.3</v>
      </c>
      <c r="L327" t="s">
        <v>26</v>
      </c>
      <c r="M327" t="s">
        <v>59</v>
      </c>
      <c r="N327" t="s">
        <v>40</v>
      </c>
      <c r="O327" t="s">
        <v>26</v>
      </c>
      <c r="P327" t="s">
        <v>26</v>
      </c>
      <c r="Q327" s="3">
        <v>38</v>
      </c>
      <c r="R327" t="s">
        <v>59</v>
      </c>
      <c r="S327" t="s">
        <v>50</v>
      </c>
    </row>
    <row r="328" spans="1:19" x14ac:dyDescent="0.25">
      <c r="A328">
        <v>327</v>
      </c>
      <c r="B328">
        <v>62</v>
      </c>
      <c r="C328" t="s">
        <v>19</v>
      </c>
      <c r="D328" t="s">
        <v>119</v>
      </c>
      <c r="E328" t="s">
        <v>69</v>
      </c>
      <c r="F328" s="1">
        <v>41</v>
      </c>
      <c r="G328" t="s">
        <v>127</v>
      </c>
      <c r="H328" t="s">
        <v>45</v>
      </c>
      <c r="I328" t="s">
        <v>53</v>
      </c>
      <c r="J328" t="s">
        <v>58</v>
      </c>
      <c r="K328" s="2">
        <v>3.2</v>
      </c>
      <c r="L328" t="s">
        <v>26</v>
      </c>
      <c r="M328" t="s">
        <v>35</v>
      </c>
      <c r="N328" t="s">
        <v>76</v>
      </c>
      <c r="O328" t="s">
        <v>26</v>
      </c>
      <c r="P328" t="s">
        <v>26</v>
      </c>
      <c r="Q328" s="3">
        <v>48</v>
      </c>
      <c r="R328" t="s">
        <v>34</v>
      </c>
      <c r="S328" t="s">
        <v>41</v>
      </c>
    </row>
    <row r="329" spans="1:19" x14ac:dyDescent="0.25">
      <c r="A329">
        <v>328</v>
      </c>
      <c r="B329">
        <v>61</v>
      </c>
      <c r="C329" t="s">
        <v>19</v>
      </c>
      <c r="D329" t="s">
        <v>64</v>
      </c>
      <c r="E329" t="s">
        <v>65</v>
      </c>
      <c r="F329" s="1">
        <v>42</v>
      </c>
      <c r="G329" t="s">
        <v>146</v>
      </c>
      <c r="H329" t="s">
        <v>45</v>
      </c>
      <c r="I329" t="s">
        <v>86</v>
      </c>
      <c r="J329" t="s">
        <v>54</v>
      </c>
      <c r="K329" s="2">
        <v>3.1</v>
      </c>
      <c r="L329" t="s">
        <v>26</v>
      </c>
      <c r="M329" t="s">
        <v>46</v>
      </c>
      <c r="N329" t="s">
        <v>40</v>
      </c>
      <c r="O329" t="s">
        <v>26</v>
      </c>
      <c r="P329" t="s">
        <v>26</v>
      </c>
      <c r="Q329" s="3">
        <v>36</v>
      </c>
      <c r="R329" t="s">
        <v>46</v>
      </c>
      <c r="S329" t="s">
        <v>41</v>
      </c>
    </row>
    <row r="330" spans="1:19" x14ac:dyDescent="0.25">
      <c r="A330">
        <v>329</v>
      </c>
      <c r="B330">
        <v>48</v>
      </c>
      <c r="C330" t="s">
        <v>19</v>
      </c>
      <c r="D330" t="s">
        <v>64</v>
      </c>
      <c r="E330" t="s">
        <v>65</v>
      </c>
      <c r="F330" s="1">
        <v>50</v>
      </c>
      <c r="G330" t="s">
        <v>103</v>
      </c>
      <c r="H330" t="s">
        <v>45</v>
      </c>
      <c r="I330" t="s">
        <v>134</v>
      </c>
      <c r="J330" t="s">
        <v>58</v>
      </c>
      <c r="K330" s="2">
        <v>2.8</v>
      </c>
      <c r="L330" t="s">
        <v>26</v>
      </c>
      <c r="M330" t="s">
        <v>59</v>
      </c>
      <c r="N330" t="s">
        <v>40</v>
      </c>
      <c r="O330" t="s">
        <v>26</v>
      </c>
      <c r="P330" t="s">
        <v>26</v>
      </c>
      <c r="Q330" s="3">
        <v>9</v>
      </c>
      <c r="R330" t="s">
        <v>27</v>
      </c>
      <c r="S330" t="s">
        <v>41</v>
      </c>
    </row>
    <row r="331" spans="1:19" x14ac:dyDescent="0.25">
      <c r="A331">
        <v>330</v>
      </c>
      <c r="B331">
        <v>70</v>
      </c>
      <c r="C331" t="s">
        <v>19</v>
      </c>
      <c r="D331" t="s">
        <v>125</v>
      </c>
      <c r="E331" t="s">
        <v>21</v>
      </c>
      <c r="F331" s="1">
        <v>31</v>
      </c>
      <c r="G331" t="s">
        <v>107</v>
      </c>
      <c r="H331" t="s">
        <v>38</v>
      </c>
      <c r="I331" t="s">
        <v>53</v>
      </c>
      <c r="J331" t="s">
        <v>54</v>
      </c>
      <c r="K331" s="2">
        <v>2.9</v>
      </c>
      <c r="L331" t="s">
        <v>26</v>
      </c>
      <c r="M331" t="s">
        <v>59</v>
      </c>
      <c r="N331" t="s">
        <v>72</v>
      </c>
      <c r="O331" t="s">
        <v>26</v>
      </c>
      <c r="P331" t="s">
        <v>26</v>
      </c>
      <c r="Q331" s="3">
        <v>34</v>
      </c>
      <c r="R331" t="s">
        <v>34</v>
      </c>
      <c r="S331" t="s">
        <v>88</v>
      </c>
    </row>
    <row r="332" spans="1:19" x14ac:dyDescent="0.25">
      <c r="A332">
        <v>331</v>
      </c>
      <c r="B332">
        <v>46</v>
      </c>
      <c r="C332" t="s">
        <v>19</v>
      </c>
      <c r="D332" t="s">
        <v>31</v>
      </c>
      <c r="E332" t="s">
        <v>21</v>
      </c>
      <c r="F332" s="1">
        <v>51</v>
      </c>
      <c r="G332" t="s">
        <v>114</v>
      </c>
      <c r="H332" t="s">
        <v>45</v>
      </c>
      <c r="I332" t="s">
        <v>118</v>
      </c>
      <c r="J332" t="s">
        <v>25</v>
      </c>
      <c r="K332" s="2">
        <v>3.7</v>
      </c>
      <c r="L332" t="s">
        <v>26</v>
      </c>
      <c r="M332" t="s">
        <v>34</v>
      </c>
      <c r="N332" t="s">
        <v>28</v>
      </c>
      <c r="O332" t="s">
        <v>26</v>
      </c>
      <c r="P332" t="s">
        <v>26</v>
      </c>
      <c r="Q332" s="3">
        <v>43</v>
      </c>
      <c r="R332" t="s">
        <v>29</v>
      </c>
      <c r="S332" t="s">
        <v>77</v>
      </c>
    </row>
    <row r="333" spans="1:19" x14ac:dyDescent="0.25">
      <c r="A333">
        <v>332</v>
      </c>
      <c r="B333">
        <v>31</v>
      </c>
      <c r="C333" t="s">
        <v>19</v>
      </c>
      <c r="D333" t="s">
        <v>56</v>
      </c>
      <c r="E333" t="s">
        <v>21</v>
      </c>
      <c r="F333" s="1">
        <v>98</v>
      </c>
      <c r="G333" t="s">
        <v>103</v>
      </c>
      <c r="H333" t="s">
        <v>23</v>
      </c>
      <c r="I333" t="s">
        <v>118</v>
      </c>
      <c r="J333" t="s">
        <v>58</v>
      </c>
      <c r="K333" s="2">
        <v>3.3</v>
      </c>
      <c r="L333" t="s">
        <v>26</v>
      </c>
      <c r="M333" t="s">
        <v>27</v>
      </c>
      <c r="N333" t="s">
        <v>76</v>
      </c>
      <c r="O333" t="s">
        <v>26</v>
      </c>
      <c r="P333" t="s">
        <v>26</v>
      </c>
      <c r="Q333" s="3">
        <v>46</v>
      </c>
      <c r="R333" t="s">
        <v>46</v>
      </c>
      <c r="S333" t="s">
        <v>60</v>
      </c>
    </row>
    <row r="334" spans="1:19" x14ac:dyDescent="0.25">
      <c r="A334">
        <v>333</v>
      </c>
      <c r="B334">
        <v>19</v>
      </c>
      <c r="C334" t="s">
        <v>19</v>
      </c>
      <c r="D334" t="s">
        <v>56</v>
      </c>
      <c r="E334" t="s">
        <v>21</v>
      </c>
      <c r="F334" s="1">
        <v>86</v>
      </c>
      <c r="G334" t="s">
        <v>85</v>
      </c>
      <c r="H334" t="s">
        <v>45</v>
      </c>
      <c r="I334" t="s">
        <v>33</v>
      </c>
      <c r="J334" t="s">
        <v>25</v>
      </c>
      <c r="K334" s="2">
        <v>2.8</v>
      </c>
      <c r="L334" t="s">
        <v>26</v>
      </c>
      <c r="M334" t="s">
        <v>35</v>
      </c>
      <c r="N334" t="s">
        <v>72</v>
      </c>
      <c r="O334" t="s">
        <v>26</v>
      </c>
      <c r="P334" t="s">
        <v>26</v>
      </c>
      <c r="Q334" s="3">
        <v>5</v>
      </c>
      <c r="R334" t="s">
        <v>27</v>
      </c>
      <c r="S334" t="s">
        <v>88</v>
      </c>
    </row>
    <row r="335" spans="1:19" x14ac:dyDescent="0.25">
      <c r="A335">
        <v>334</v>
      </c>
      <c r="B335">
        <v>39</v>
      </c>
      <c r="C335" t="s">
        <v>19</v>
      </c>
      <c r="D335" t="s">
        <v>31</v>
      </c>
      <c r="E335" t="s">
        <v>21</v>
      </c>
      <c r="F335" s="1">
        <v>64</v>
      </c>
      <c r="G335" t="s">
        <v>120</v>
      </c>
      <c r="H335" t="s">
        <v>45</v>
      </c>
      <c r="I335" t="s">
        <v>86</v>
      </c>
      <c r="J335" t="s">
        <v>25</v>
      </c>
      <c r="K335" s="2">
        <v>4.5</v>
      </c>
      <c r="L335" t="s">
        <v>26</v>
      </c>
      <c r="M335" t="s">
        <v>35</v>
      </c>
      <c r="N335" t="s">
        <v>55</v>
      </c>
      <c r="O335" t="s">
        <v>26</v>
      </c>
      <c r="P335" t="s">
        <v>26</v>
      </c>
      <c r="Q335" s="3">
        <v>15</v>
      </c>
      <c r="R335" t="s">
        <v>34</v>
      </c>
      <c r="S335" t="s">
        <v>77</v>
      </c>
    </row>
    <row r="336" spans="1:19" x14ac:dyDescent="0.25">
      <c r="A336">
        <v>335</v>
      </c>
      <c r="B336">
        <v>41</v>
      </c>
      <c r="C336" t="s">
        <v>19</v>
      </c>
      <c r="D336" t="s">
        <v>20</v>
      </c>
      <c r="E336" t="s">
        <v>21</v>
      </c>
      <c r="F336" s="1">
        <v>46</v>
      </c>
      <c r="G336" t="s">
        <v>111</v>
      </c>
      <c r="H336" t="s">
        <v>45</v>
      </c>
      <c r="I336" t="s">
        <v>93</v>
      </c>
      <c r="J336" t="s">
        <v>58</v>
      </c>
      <c r="K336" s="2">
        <v>2.6</v>
      </c>
      <c r="L336" t="s">
        <v>26</v>
      </c>
      <c r="M336" t="s">
        <v>46</v>
      </c>
      <c r="N336" t="s">
        <v>47</v>
      </c>
      <c r="O336" t="s">
        <v>26</v>
      </c>
      <c r="P336" t="s">
        <v>26</v>
      </c>
      <c r="Q336" s="3">
        <v>30</v>
      </c>
      <c r="R336" t="s">
        <v>27</v>
      </c>
      <c r="S336" t="s">
        <v>50</v>
      </c>
    </row>
    <row r="337" spans="1:19" x14ac:dyDescent="0.25">
      <c r="A337">
        <v>336</v>
      </c>
      <c r="B337">
        <v>20</v>
      </c>
      <c r="C337" t="s">
        <v>19</v>
      </c>
      <c r="D337" t="s">
        <v>31</v>
      </c>
      <c r="E337" t="s">
        <v>21</v>
      </c>
      <c r="F337" s="1">
        <v>85</v>
      </c>
      <c r="G337" t="s">
        <v>48</v>
      </c>
      <c r="H337" t="s">
        <v>23</v>
      </c>
      <c r="I337" t="s">
        <v>33</v>
      </c>
      <c r="J337" t="s">
        <v>39</v>
      </c>
      <c r="K337" s="2">
        <v>3.7</v>
      </c>
      <c r="L337" t="s">
        <v>26</v>
      </c>
      <c r="M337" t="s">
        <v>35</v>
      </c>
      <c r="N337" t="s">
        <v>55</v>
      </c>
      <c r="O337" t="s">
        <v>26</v>
      </c>
      <c r="P337" t="s">
        <v>26</v>
      </c>
      <c r="Q337" s="3">
        <v>44</v>
      </c>
      <c r="R337" t="s">
        <v>29</v>
      </c>
      <c r="S337" t="s">
        <v>97</v>
      </c>
    </row>
    <row r="338" spans="1:19" x14ac:dyDescent="0.25">
      <c r="A338">
        <v>337</v>
      </c>
      <c r="B338">
        <v>36</v>
      </c>
      <c r="C338" t="s">
        <v>19</v>
      </c>
      <c r="D338" t="s">
        <v>124</v>
      </c>
      <c r="E338" t="s">
        <v>69</v>
      </c>
      <c r="F338" s="1">
        <v>81</v>
      </c>
      <c r="G338" t="s">
        <v>44</v>
      </c>
      <c r="H338" t="s">
        <v>38</v>
      </c>
      <c r="I338" t="s">
        <v>121</v>
      </c>
      <c r="J338" t="s">
        <v>58</v>
      </c>
      <c r="K338" s="2">
        <v>4.4000000000000004</v>
      </c>
      <c r="L338" t="s">
        <v>26</v>
      </c>
      <c r="M338" t="s">
        <v>59</v>
      </c>
      <c r="N338" t="s">
        <v>28</v>
      </c>
      <c r="O338" t="s">
        <v>26</v>
      </c>
      <c r="P338" t="s">
        <v>26</v>
      </c>
      <c r="Q338" s="3">
        <v>16</v>
      </c>
      <c r="R338" t="s">
        <v>46</v>
      </c>
      <c r="S338" t="s">
        <v>50</v>
      </c>
    </row>
    <row r="339" spans="1:19" x14ac:dyDescent="0.25">
      <c r="A339">
        <v>338</v>
      </c>
      <c r="B339">
        <v>32</v>
      </c>
      <c r="C339" t="s">
        <v>19</v>
      </c>
      <c r="D339" t="s">
        <v>31</v>
      </c>
      <c r="E339" t="s">
        <v>21</v>
      </c>
      <c r="F339" s="1">
        <v>59</v>
      </c>
      <c r="G339" t="s">
        <v>130</v>
      </c>
      <c r="H339" t="s">
        <v>45</v>
      </c>
      <c r="I339" t="s">
        <v>109</v>
      </c>
      <c r="J339" t="s">
        <v>25</v>
      </c>
      <c r="K339" s="2">
        <v>4.3</v>
      </c>
      <c r="L339" t="s">
        <v>26</v>
      </c>
      <c r="M339" t="s">
        <v>35</v>
      </c>
      <c r="N339" t="s">
        <v>72</v>
      </c>
      <c r="O339" t="s">
        <v>26</v>
      </c>
      <c r="P339" t="s">
        <v>26</v>
      </c>
      <c r="Q339" s="3">
        <v>16</v>
      </c>
      <c r="R339" t="s">
        <v>34</v>
      </c>
      <c r="S339" t="s">
        <v>50</v>
      </c>
    </row>
    <row r="340" spans="1:19" x14ac:dyDescent="0.25">
      <c r="A340">
        <v>339</v>
      </c>
      <c r="B340">
        <v>69</v>
      </c>
      <c r="C340" t="s">
        <v>19</v>
      </c>
      <c r="D340" t="s">
        <v>104</v>
      </c>
      <c r="E340" t="s">
        <v>21</v>
      </c>
      <c r="F340" s="1">
        <v>79</v>
      </c>
      <c r="G340" t="s">
        <v>37</v>
      </c>
      <c r="H340" t="s">
        <v>45</v>
      </c>
      <c r="I340" t="s">
        <v>67</v>
      </c>
      <c r="J340" t="s">
        <v>25</v>
      </c>
      <c r="K340" s="2">
        <v>3.5</v>
      </c>
      <c r="L340" t="s">
        <v>26</v>
      </c>
      <c r="M340" t="s">
        <v>29</v>
      </c>
      <c r="N340" t="s">
        <v>28</v>
      </c>
      <c r="O340" t="s">
        <v>26</v>
      </c>
      <c r="P340" t="s">
        <v>26</v>
      </c>
      <c r="Q340" s="3">
        <v>16</v>
      </c>
      <c r="R340" t="s">
        <v>35</v>
      </c>
      <c r="S340" t="s">
        <v>41</v>
      </c>
    </row>
    <row r="341" spans="1:19" x14ac:dyDescent="0.25">
      <c r="A341">
        <v>340</v>
      </c>
      <c r="B341">
        <v>40</v>
      </c>
      <c r="C341" t="s">
        <v>19</v>
      </c>
      <c r="D341" t="s">
        <v>61</v>
      </c>
      <c r="E341" t="s">
        <v>21</v>
      </c>
      <c r="F341" s="1">
        <v>33</v>
      </c>
      <c r="G341" t="s">
        <v>138</v>
      </c>
      <c r="H341" t="s">
        <v>45</v>
      </c>
      <c r="I341" t="s">
        <v>86</v>
      </c>
      <c r="J341" t="s">
        <v>39</v>
      </c>
      <c r="K341" s="2">
        <v>3.8</v>
      </c>
      <c r="L341" t="s">
        <v>26</v>
      </c>
      <c r="M341" t="s">
        <v>27</v>
      </c>
      <c r="N341" t="s">
        <v>72</v>
      </c>
      <c r="O341" t="s">
        <v>26</v>
      </c>
      <c r="P341" t="s">
        <v>26</v>
      </c>
      <c r="Q341" s="3">
        <v>21</v>
      </c>
      <c r="R341" t="s">
        <v>27</v>
      </c>
      <c r="S341" t="s">
        <v>97</v>
      </c>
    </row>
    <row r="342" spans="1:19" x14ac:dyDescent="0.25">
      <c r="A342">
        <v>341</v>
      </c>
      <c r="B342">
        <v>40</v>
      </c>
      <c r="C342" t="s">
        <v>19</v>
      </c>
      <c r="D342" t="s">
        <v>61</v>
      </c>
      <c r="E342" t="s">
        <v>21</v>
      </c>
      <c r="F342" s="1">
        <v>47</v>
      </c>
      <c r="G342" t="s">
        <v>127</v>
      </c>
      <c r="H342" t="s">
        <v>23</v>
      </c>
      <c r="I342" t="s">
        <v>144</v>
      </c>
      <c r="J342" t="s">
        <v>54</v>
      </c>
      <c r="K342" s="2">
        <v>3.5</v>
      </c>
      <c r="L342" t="s">
        <v>26</v>
      </c>
      <c r="M342" t="s">
        <v>35</v>
      </c>
      <c r="N342" t="s">
        <v>28</v>
      </c>
      <c r="O342" t="s">
        <v>26</v>
      </c>
      <c r="P342" t="s">
        <v>26</v>
      </c>
      <c r="Q342" s="3">
        <v>39</v>
      </c>
      <c r="R342" t="s">
        <v>29</v>
      </c>
      <c r="S342" t="s">
        <v>97</v>
      </c>
    </row>
    <row r="343" spans="1:19" x14ac:dyDescent="0.25">
      <c r="A343">
        <v>342</v>
      </c>
      <c r="B343">
        <v>20</v>
      </c>
      <c r="C343" t="s">
        <v>19</v>
      </c>
      <c r="D343" t="s">
        <v>124</v>
      </c>
      <c r="E343" t="s">
        <v>69</v>
      </c>
      <c r="F343" s="1">
        <v>20</v>
      </c>
      <c r="G343" t="s">
        <v>140</v>
      </c>
      <c r="H343" t="s">
        <v>38</v>
      </c>
      <c r="I343" t="s">
        <v>144</v>
      </c>
      <c r="J343" t="s">
        <v>54</v>
      </c>
      <c r="K343" s="2">
        <v>4.5999999999999996</v>
      </c>
      <c r="L343" t="s">
        <v>26</v>
      </c>
      <c r="M343" t="s">
        <v>27</v>
      </c>
      <c r="N343" t="s">
        <v>76</v>
      </c>
      <c r="O343" t="s">
        <v>26</v>
      </c>
      <c r="P343" t="s">
        <v>26</v>
      </c>
      <c r="Q343" s="3">
        <v>40</v>
      </c>
      <c r="R343" t="s">
        <v>59</v>
      </c>
      <c r="S343" t="s">
        <v>77</v>
      </c>
    </row>
    <row r="344" spans="1:19" x14ac:dyDescent="0.25">
      <c r="A344">
        <v>343</v>
      </c>
      <c r="B344">
        <v>64</v>
      </c>
      <c r="C344" t="s">
        <v>19</v>
      </c>
      <c r="D344" t="s">
        <v>64</v>
      </c>
      <c r="E344" t="s">
        <v>65</v>
      </c>
      <c r="F344" s="1">
        <v>36</v>
      </c>
      <c r="G344" t="s">
        <v>22</v>
      </c>
      <c r="H344" t="s">
        <v>45</v>
      </c>
      <c r="I344" t="s">
        <v>79</v>
      </c>
      <c r="J344" t="s">
        <v>39</v>
      </c>
      <c r="K344" s="2">
        <v>2.6</v>
      </c>
      <c r="L344" t="s">
        <v>26</v>
      </c>
      <c r="M344" t="s">
        <v>34</v>
      </c>
      <c r="N344" t="s">
        <v>47</v>
      </c>
      <c r="O344" t="s">
        <v>26</v>
      </c>
      <c r="P344" t="s">
        <v>26</v>
      </c>
      <c r="Q344" s="3">
        <v>48</v>
      </c>
      <c r="R344" t="s">
        <v>27</v>
      </c>
      <c r="S344" t="s">
        <v>97</v>
      </c>
    </row>
    <row r="345" spans="1:19" x14ac:dyDescent="0.25">
      <c r="A345">
        <v>344</v>
      </c>
      <c r="B345">
        <v>27</v>
      </c>
      <c r="C345" t="s">
        <v>19</v>
      </c>
      <c r="D345" t="s">
        <v>42</v>
      </c>
      <c r="E345" t="s">
        <v>43</v>
      </c>
      <c r="F345" s="1">
        <v>39</v>
      </c>
      <c r="G345" t="s">
        <v>145</v>
      </c>
      <c r="H345" t="s">
        <v>45</v>
      </c>
      <c r="I345" t="s">
        <v>75</v>
      </c>
      <c r="J345" t="s">
        <v>54</v>
      </c>
      <c r="K345" s="2">
        <v>4.4000000000000004</v>
      </c>
      <c r="L345" t="s">
        <v>26</v>
      </c>
      <c r="M345" t="s">
        <v>35</v>
      </c>
      <c r="N345" t="s">
        <v>47</v>
      </c>
      <c r="O345" t="s">
        <v>26</v>
      </c>
      <c r="P345" t="s">
        <v>26</v>
      </c>
      <c r="Q345" s="3">
        <v>26</v>
      </c>
      <c r="R345" t="s">
        <v>29</v>
      </c>
      <c r="S345" t="s">
        <v>88</v>
      </c>
    </row>
    <row r="346" spans="1:19" x14ac:dyDescent="0.25">
      <c r="A346">
        <v>345</v>
      </c>
      <c r="B346">
        <v>24</v>
      </c>
      <c r="C346" t="s">
        <v>19</v>
      </c>
      <c r="D346" t="s">
        <v>87</v>
      </c>
      <c r="E346" t="s">
        <v>21</v>
      </c>
      <c r="F346" s="1">
        <v>71</v>
      </c>
      <c r="G346" t="s">
        <v>141</v>
      </c>
      <c r="H346" t="s">
        <v>45</v>
      </c>
      <c r="I346" t="s">
        <v>63</v>
      </c>
      <c r="J346" t="s">
        <v>25</v>
      </c>
      <c r="K346" s="2">
        <v>4</v>
      </c>
      <c r="L346" t="s">
        <v>26</v>
      </c>
      <c r="M346" t="s">
        <v>46</v>
      </c>
      <c r="N346" t="s">
        <v>55</v>
      </c>
      <c r="O346" t="s">
        <v>26</v>
      </c>
      <c r="P346" t="s">
        <v>26</v>
      </c>
      <c r="Q346" s="3">
        <v>46</v>
      </c>
      <c r="R346" t="s">
        <v>59</v>
      </c>
      <c r="S346" t="s">
        <v>88</v>
      </c>
    </row>
    <row r="347" spans="1:19" x14ac:dyDescent="0.25">
      <c r="A347">
        <v>346</v>
      </c>
      <c r="B347">
        <v>48</v>
      </c>
      <c r="C347" t="s">
        <v>19</v>
      </c>
      <c r="D347" t="s">
        <v>73</v>
      </c>
      <c r="E347" t="s">
        <v>43</v>
      </c>
      <c r="F347" s="1">
        <v>59</v>
      </c>
      <c r="G347" t="s">
        <v>52</v>
      </c>
      <c r="H347" t="s">
        <v>38</v>
      </c>
      <c r="I347" t="s">
        <v>79</v>
      </c>
      <c r="J347" t="s">
        <v>25</v>
      </c>
      <c r="K347" s="2">
        <v>4.4000000000000004</v>
      </c>
      <c r="L347" t="s">
        <v>26</v>
      </c>
      <c r="M347" t="s">
        <v>35</v>
      </c>
      <c r="N347" t="s">
        <v>47</v>
      </c>
      <c r="O347" t="s">
        <v>26</v>
      </c>
      <c r="P347" t="s">
        <v>26</v>
      </c>
      <c r="Q347" s="3">
        <v>27</v>
      </c>
      <c r="R347" t="s">
        <v>34</v>
      </c>
      <c r="S347" t="s">
        <v>50</v>
      </c>
    </row>
    <row r="348" spans="1:19" x14ac:dyDescent="0.25">
      <c r="A348">
        <v>347</v>
      </c>
      <c r="B348">
        <v>49</v>
      </c>
      <c r="C348" t="s">
        <v>19</v>
      </c>
      <c r="D348" t="s">
        <v>36</v>
      </c>
      <c r="E348" t="s">
        <v>21</v>
      </c>
      <c r="F348" s="1">
        <v>50</v>
      </c>
      <c r="G348" t="s">
        <v>130</v>
      </c>
      <c r="H348" t="s">
        <v>23</v>
      </c>
      <c r="I348" t="s">
        <v>84</v>
      </c>
      <c r="J348" t="s">
        <v>39</v>
      </c>
      <c r="K348" s="2">
        <v>4.7</v>
      </c>
      <c r="L348" t="s">
        <v>26</v>
      </c>
      <c r="M348" t="s">
        <v>27</v>
      </c>
      <c r="N348" t="s">
        <v>47</v>
      </c>
      <c r="O348" t="s">
        <v>26</v>
      </c>
      <c r="P348" t="s">
        <v>26</v>
      </c>
      <c r="Q348" s="3">
        <v>5</v>
      </c>
      <c r="R348" t="s">
        <v>35</v>
      </c>
      <c r="S348" t="s">
        <v>41</v>
      </c>
    </row>
    <row r="349" spans="1:19" x14ac:dyDescent="0.25">
      <c r="A349">
        <v>348</v>
      </c>
      <c r="B349">
        <v>36</v>
      </c>
      <c r="C349" t="s">
        <v>19</v>
      </c>
      <c r="D349" t="s">
        <v>42</v>
      </c>
      <c r="E349" t="s">
        <v>43</v>
      </c>
      <c r="F349" s="1">
        <v>41</v>
      </c>
      <c r="G349" t="s">
        <v>48</v>
      </c>
      <c r="H349" t="s">
        <v>23</v>
      </c>
      <c r="I349" t="s">
        <v>108</v>
      </c>
      <c r="J349" t="s">
        <v>58</v>
      </c>
      <c r="K349" s="2">
        <v>3.9</v>
      </c>
      <c r="L349" t="s">
        <v>26</v>
      </c>
      <c r="M349" t="s">
        <v>27</v>
      </c>
      <c r="N349" t="s">
        <v>76</v>
      </c>
      <c r="O349" t="s">
        <v>26</v>
      </c>
      <c r="P349" t="s">
        <v>26</v>
      </c>
      <c r="Q349" s="3">
        <v>43</v>
      </c>
      <c r="R349" t="s">
        <v>46</v>
      </c>
      <c r="S349" t="s">
        <v>30</v>
      </c>
    </row>
    <row r="350" spans="1:19" x14ac:dyDescent="0.25">
      <c r="A350">
        <v>349</v>
      </c>
      <c r="B350">
        <v>56</v>
      </c>
      <c r="C350" t="s">
        <v>19</v>
      </c>
      <c r="D350" t="s">
        <v>20</v>
      </c>
      <c r="E350" t="s">
        <v>21</v>
      </c>
      <c r="F350" s="1">
        <v>59</v>
      </c>
      <c r="G350" t="s">
        <v>131</v>
      </c>
      <c r="H350" t="s">
        <v>45</v>
      </c>
      <c r="I350" t="s">
        <v>118</v>
      </c>
      <c r="J350" t="s">
        <v>58</v>
      </c>
      <c r="K350" s="2">
        <v>2.7</v>
      </c>
      <c r="L350" t="s">
        <v>26</v>
      </c>
      <c r="M350" t="s">
        <v>34</v>
      </c>
      <c r="N350" t="s">
        <v>40</v>
      </c>
      <c r="O350" t="s">
        <v>26</v>
      </c>
      <c r="P350" t="s">
        <v>26</v>
      </c>
      <c r="Q350" s="3">
        <v>17</v>
      </c>
      <c r="R350" t="s">
        <v>46</v>
      </c>
      <c r="S350" t="s">
        <v>30</v>
      </c>
    </row>
    <row r="351" spans="1:19" x14ac:dyDescent="0.25">
      <c r="A351">
        <v>350</v>
      </c>
      <c r="B351">
        <v>37</v>
      </c>
      <c r="C351" t="s">
        <v>19</v>
      </c>
      <c r="D351" t="s">
        <v>124</v>
      </c>
      <c r="E351" t="s">
        <v>69</v>
      </c>
      <c r="F351" s="1">
        <v>87</v>
      </c>
      <c r="G351" t="s">
        <v>117</v>
      </c>
      <c r="H351" t="s">
        <v>45</v>
      </c>
      <c r="I351" t="s">
        <v>96</v>
      </c>
      <c r="J351" t="s">
        <v>25</v>
      </c>
      <c r="K351" s="2">
        <v>3.7</v>
      </c>
      <c r="L351" t="s">
        <v>26</v>
      </c>
      <c r="M351" t="s">
        <v>35</v>
      </c>
      <c r="N351" t="s">
        <v>72</v>
      </c>
      <c r="O351" t="s">
        <v>26</v>
      </c>
      <c r="P351" t="s">
        <v>26</v>
      </c>
      <c r="Q351" s="3">
        <v>3</v>
      </c>
      <c r="R351" t="s">
        <v>34</v>
      </c>
      <c r="S351" t="s">
        <v>77</v>
      </c>
    </row>
    <row r="352" spans="1:19" x14ac:dyDescent="0.25">
      <c r="A352">
        <v>351</v>
      </c>
      <c r="B352">
        <v>42</v>
      </c>
      <c r="C352" t="s">
        <v>19</v>
      </c>
      <c r="D352" t="s">
        <v>31</v>
      </c>
      <c r="E352" t="s">
        <v>21</v>
      </c>
      <c r="F352" s="1">
        <v>68</v>
      </c>
      <c r="G352" t="s">
        <v>22</v>
      </c>
      <c r="H352" t="s">
        <v>45</v>
      </c>
      <c r="I352" t="s">
        <v>84</v>
      </c>
      <c r="J352" t="s">
        <v>39</v>
      </c>
      <c r="K352" s="2">
        <v>2.6</v>
      </c>
      <c r="L352" t="s">
        <v>26</v>
      </c>
      <c r="M352" t="s">
        <v>29</v>
      </c>
      <c r="N352" t="s">
        <v>72</v>
      </c>
      <c r="O352" t="s">
        <v>26</v>
      </c>
      <c r="P352" t="s">
        <v>26</v>
      </c>
      <c r="Q352" s="3">
        <v>47</v>
      </c>
      <c r="R352" t="s">
        <v>34</v>
      </c>
      <c r="S352" t="s">
        <v>30</v>
      </c>
    </row>
    <row r="353" spans="1:19" x14ac:dyDescent="0.25">
      <c r="A353">
        <v>352</v>
      </c>
      <c r="B353">
        <v>28</v>
      </c>
      <c r="C353" t="s">
        <v>19</v>
      </c>
      <c r="D353" t="s">
        <v>87</v>
      </c>
      <c r="E353" t="s">
        <v>21</v>
      </c>
      <c r="F353" s="1">
        <v>90</v>
      </c>
      <c r="G353" t="s">
        <v>85</v>
      </c>
      <c r="H353" t="s">
        <v>45</v>
      </c>
      <c r="I353" t="s">
        <v>86</v>
      </c>
      <c r="J353" t="s">
        <v>25</v>
      </c>
      <c r="K353" s="2">
        <v>3.9</v>
      </c>
      <c r="L353" t="s">
        <v>26</v>
      </c>
      <c r="M353" t="s">
        <v>35</v>
      </c>
      <c r="N353" t="s">
        <v>55</v>
      </c>
      <c r="O353" t="s">
        <v>26</v>
      </c>
      <c r="P353" t="s">
        <v>26</v>
      </c>
      <c r="Q353" s="3">
        <v>24</v>
      </c>
      <c r="R353" t="s">
        <v>59</v>
      </c>
      <c r="S353" t="s">
        <v>77</v>
      </c>
    </row>
    <row r="354" spans="1:19" x14ac:dyDescent="0.25">
      <c r="A354">
        <v>353</v>
      </c>
      <c r="B354">
        <v>27</v>
      </c>
      <c r="C354" t="s">
        <v>19</v>
      </c>
      <c r="D354" t="s">
        <v>36</v>
      </c>
      <c r="E354" t="s">
        <v>21</v>
      </c>
      <c r="F354" s="1">
        <v>71</v>
      </c>
      <c r="G354" t="s">
        <v>105</v>
      </c>
      <c r="H354" t="s">
        <v>92</v>
      </c>
      <c r="I354" t="s">
        <v>134</v>
      </c>
      <c r="J354" t="s">
        <v>58</v>
      </c>
      <c r="K354" s="2">
        <v>4.9000000000000004</v>
      </c>
      <c r="L354" t="s">
        <v>26</v>
      </c>
      <c r="M354" t="s">
        <v>29</v>
      </c>
      <c r="N354" t="s">
        <v>47</v>
      </c>
      <c r="O354" t="s">
        <v>26</v>
      </c>
      <c r="P354" t="s">
        <v>26</v>
      </c>
      <c r="Q354" s="3">
        <v>12</v>
      </c>
      <c r="R354" t="s">
        <v>35</v>
      </c>
      <c r="S354" t="s">
        <v>97</v>
      </c>
    </row>
    <row r="355" spans="1:19" x14ac:dyDescent="0.25">
      <c r="A355">
        <v>354</v>
      </c>
      <c r="B355">
        <v>63</v>
      </c>
      <c r="C355" t="s">
        <v>19</v>
      </c>
      <c r="D355" t="s">
        <v>51</v>
      </c>
      <c r="E355" t="s">
        <v>43</v>
      </c>
      <c r="F355" s="1">
        <v>64</v>
      </c>
      <c r="G355" t="s">
        <v>70</v>
      </c>
      <c r="H355" t="s">
        <v>23</v>
      </c>
      <c r="I355" t="s">
        <v>134</v>
      </c>
      <c r="J355" t="s">
        <v>58</v>
      </c>
      <c r="K355" s="2">
        <v>4.0999999999999996</v>
      </c>
      <c r="L355" t="s">
        <v>26</v>
      </c>
      <c r="M355" t="s">
        <v>27</v>
      </c>
      <c r="N355" t="s">
        <v>76</v>
      </c>
      <c r="O355" t="s">
        <v>26</v>
      </c>
      <c r="P355" t="s">
        <v>26</v>
      </c>
      <c r="Q355" s="3">
        <v>35</v>
      </c>
      <c r="R355" t="s">
        <v>59</v>
      </c>
      <c r="S355" t="s">
        <v>88</v>
      </c>
    </row>
    <row r="356" spans="1:19" x14ac:dyDescent="0.25">
      <c r="A356">
        <v>355</v>
      </c>
      <c r="B356">
        <v>58</v>
      </c>
      <c r="C356" t="s">
        <v>19</v>
      </c>
      <c r="D356" t="s">
        <v>106</v>
      </c>
      <c r="E356" t="s">
        <v>69</v>
      </c>
      <c r="F356" s="1">
        <v>76</v>
      </c>
      <c r="G356" t="s">
        <v>138</v>
      </c>
      <c r="H356" t="s">
        <v>38</v>
      </c>
      <c r="I356" t="s">
        <v>79</v>
      </c>
      <c r="J356" t="s">
        <v>58</v>
      </c>
      <c r="K356" s="2">
        <v>3</v>
      </c>
      <c r="L356" t="s">
        <v>26</v>
      </c>
      <c r="M356" t="s">
        <v>46</v>
      </c>
      <c r="N356" t="s">
        <v>40</v>
      </c>
      <c r="O356" t="s">
        <v>26</v>
      </c>
      <c r="P356" t="s">
        <v>26</v>
      </c>
      <c r="Q356" s="3">
        <v>42</v>
      </c>
      <c r="R356" t="s">
        <v>29</v>
      </c>
      <c r="S356" t="s">
        <v>41</v>
      </c>
    </row>
    <row r="357" spans="1:19" x14ac:dyDescent="0.25">
      <c r="A357">
        <v>356</v>
      </c>
      <c r="B357">
        <v>37</v>
      </c>
      <c r="C357" t="s">
        <v>19</v>
      </c>
      <c r="D357" t="s">
        <v>106</v>
      </c>
      <c r="E357" t="s">
        <v>69</v>
      </c>
      <c r="F357" s="1">
        <v>42</v>
      </c>
      <c r="G357" t="s">
        <v>48</v>
      </c>
      <c r="H357" t="s">
        <v>92</v>
      </c>
      <c r="I357" t="s">
        <v>136</v>
      </c>
      <c r="J357" t="s">
        <v>58</v>
      </c>
      <c r="K357" s="2">
        <v>4.0999999999999996</v>
      </c>
      <c r="L357" t="s">
        <v>26</v>
      </c>
      <c r="M357" t="s">
        <v>27</v>
      </c>
      <c r="N357" t="s">
        <v>72</v>
      </c>
      <c r="O357" t="s">
        <v>26</v>
      </c>
      <c r="P357" t="s">
        <v>26</v>
      </c>
      <c r="Q357" s="3">
        <v>1</v>
      </c>
      <c r="R357" t="s">
        <v>46</v>
      </c>
      <c r="S357" t="s">
        <v>97</v>
      </c>
    </row>
    <row r="358" spans="1:19" x14ac:dyDescent="0.25">
      <c r="A358">
        <v>357</v>
      </c>
      <c r="B358">
        <v>56</v>
      </c>
      <c r="C358" t="s">
        <v>19</v>
      </c>
      <c r="D358" t="s">
        <v>95</v>
      </c>
      <c r="E358" t="s">
        <v>21</v>
      </c>
      <c r="F358" s="1">
        <v>80</v>
      </c>
      <c r="G358" t="s">
        <v>107</v>
      </c>
      <c r="H358" t="s">
        <v>23</v>
      </c>
      <c r="I358" t="s">
        <v>94</v>
      </c>
      <c r="J358" t="s">
        <v>39</v>
      </c>
      <c r="K358" s="2">
        <v>3.8</v>
      </c>
      <c r="L358" t="s">
        <v>26</v>
      </c>
      <c r="M358" t="s">
        <v>59</v>
      </c>
      <c r="N358" t="s">
        <v>55</v>
      </c>
      <c r="O358" t="s">
        <v>26</v>
      </c>
      <c r="P358" t="s">
        <v>26</v>
      </c>
      <c r="Q358" s="3">
        <v>27</v>
      </c>
      <c r="R358" t="s">
        <v>35</v>
      </c>
      <c r="S358" t="s">
        <v>41</v>
      </c>
    </row>
    <row r="359" spans="1:19" x14ac:dyDescent="0.25">
      <c r="A359">
        <v>358</v>
      </c>
      <c r="B359">
        <v>18</v>
      </c>
      <c r="C359" t="s">
        <v>19</v>
      </c>
      <c r="D359" t="s">
        <v>133</v>
      </c>
      <c r="E359" t="s">
        <v>69</v>
      </c>
      <c r="F359" s="1">
        <v>56</v>
      </c>
      <c r="G359" t="s">
        <v>74</v>
      </c>
      <c r="H359" t="s">
        <v>45</v>
      </c>
      <c r="I359" t="s">
        <v>79</v>
      </c>
      <c r="J359" t="s">
        <v>39</v>
      </c>
      <c r="K359" s="2">
        <v>4</v>
      </c>
      <c r="L359" t="s">
        <v>26</v>
      </c>
      <c r="M359" t="s">
        <v>34</v>
      </c>
      <c r="N359" t="s">
        <v>55</v>
      </c>
      <c r="O359" t="s">
        <v>26</v>
      </c>
      <c r="P359" t="s">
        <v>26</v>
      </c>
      <c r="Q359" s="3">
        <v>16</v>
      </c>
      <c r="R359" t="s">
        <v>27</v>
      </c>
      <c r="S359" t="s">
        <v>77</v>
      </c>
    </row>
    <row r="360" spans="1:19" x14ac:dyDescent="0.25">
      <c r="A360">
        <v>359</v>
      </c>
      <c r="B360">
        <v>48</v>
      </c>
      <c r="C360" t="s">
        <v>19</v>
      </c>
      <c r="D360" t="s">
        <v>124</v>
      </c>
      <c r="E360" t="s">
        <v>69</v>
      </c>
      <c r="F360" s="1">
        <v>25</v>
      </c>
      <c r="G360" t="s">
        <v>148</v>
      </c>
      <c r="H360" t="s">
        <v>92</v>
      </c>
      <c r="I360" t="s">
        <v>136</v>
      </c>
      <c r="J360" t="s">
        <v>54</v>
      </c>
      <c r="K360" s="2">
        <v>3.6</v>
      </c>
      <c r="L360" t="s">
        <v>26</v>
      </c>
      <c r="M360" t="s">
        <v>59</v>
      </c>
      <c r="N360" t="s">
        <v>28</v>
      </c>
      <c r="O360" t="s">
        <v>26</v>
      </c>
      <c r="P360" t="s">
        <v>26</v>
      </c>
      <c r="Q360" s="3">
        <v>36</v>
      </c>
      <c r="R360" t="s">
        <v>27</v>
      </c>
      <c r="S360" t="s">
        <v>97</v>
      </c>
    </row>
    <row r="361" spans="1:19" x14ac:dyDescent="0.25">
      <c r="A361">
        <v>360</v>
      </c>
      <c r="B361">
        <v>31</v>
      </c>
      <c r="C361" t="s">
        <v>19</v>
      </c>
      <c r="D361" t="s">
        <v>51</v>
      </c>
      <c r="E361" t="s">
        <v>43</v>
      </c>
      <c r="F361" s="1">
        <v>74</v>
      </c>
      <c r="G361" t="s">
        <v>142</v>
      </c>
      <c r="H361" t="s">
        <v>45</v>
      </c>
      <c r="I361" t="s">
        <v>79</v>
      </c>
      <c r="J361" t="s">
        <v>25</v>
      </c>
      <c r="K361" s="2">
        <v>3</v>
      </c>
      <c r="L361" t="s">
        <v>26</v>
      </c>
      <c r="M361" t="s">
        <v>59</v>
      </c>
      <c r="N361" t="s">
        <v>76</v>
      </c>
      <c r="O361" t="s">
        <v>26</v>
      </c>
      <c r="P361" t="s">
        <v>26</v>
      </c>
      <c r="Q361" s="3">
        <v>30</v>
      </c>
      <c r="R361" t="s">
        <v>27</v>
      </c>
      <c r="S361" t="s">
        <v>97</v>
      </c>
    </row>
    <row r="362" spans="1:19" x14ac:dyDescent="0.25">
      <c r="A362">
        <v>361</v>
      </c>
      <c r="B362">
        <v>51</v>
      </c>
      <c r="C362" t="s">
        <v>19</v>
      </c>
      <c r="D362" t="s">
        <v>95</v>
      </c>
      <c r="E362" t="s">
        <v>21</v>
      </c>
      <c r="F362" s="1">
        <v>30</v>
      </c>
      <c r="G362" t="s">
        <v>44</v>
      </c>
      <c r="H362" t="s">
        <v>45</v>
      </c>
      <c r="I362" t="s">
        <v>86</v>
      </c>
      <c r="J362" t="s">
        <v>54</v>
      </c>
      <c r="K362" s="2">
        <v>3</v>
      </c>
      <c r="L362" t="s">
        <v>26</v>
      </c>
      <c r="M362" t="s">
        <v>34</v>
      </c>
      <c r="N362" t="s">
        <v>55</v>
      </c>
      <c r="O362" t="s">
        <v>26</v>
      </c>
      <c r="P362" t="s">
        <v>26</v>
      </c>
      <c r="Q362" s="3">
        <v>18</v>
      </c>
      <c r="R362" t="s">
        <v>59</v>
      </c>
      <c r="S362" t="s">
        <v>30</v>
      </c>
    </row>
    <row r="363" spans="1:19" x14ac:dyDescent="0.25">
      <c r="A363">
        <v>362</v>
      </c>
      <c r="B363">
        <v>65</v>
      </c>
      <c r="C363" t="s">
        <v>19</v>
      </c>
      <c r="D363" t="s">
        <v>113</v>
      </c>
      <c r="E363" t="s">
        <v>21</v>
      </c>
      <c r="F363" s="1">
        <v>96</v>
      </c>
      <c r="G363" t="s">
        <v>107</v>
      </c>
      <c r="H363" t="s">
        <v>45</v>
      </c>
      <c r="I363" t="s">
        <v>53</v>
      </c>
      <c r="J363" t="s">
        <v>39</v>
      </c>
      <c r="K363" s="2">
        <v>2.6</v>
      </c>
      <c r="L363" t="s">
        <v>26</v>
      </c>
      <c r="M363" t="s">
        <v>34</v>
      </c>
      <c r="N363" t="s">
        <v>40</v>
      </c>
      <c r="O363" t="s">
        <v>26</v>
      </c>
      <c r="P363" t="s">
        <v>26</v>
      </c>
      <c r="Q363" s="3">
        <v>45</v>
      </c>
      <c r="R363" t="s">
        <v>35</v>
      </c>
      <c r="S363" t="s">
        <v>50</v>
      </c>
    </row>
    <row r="364" spans="1:19" x14ac:dyDescent="0.25">
      <c r="A364">
        <v>363</v>
      </c>
      <c r="B364">
        <v>53</v>
      </c>
      <c r="C364" t="s">
        <v>19</v>
      </c>
      <c r="D364" t="s">
        <v>51</v>
      </c>
      <c r="E364" t="s">
        <v>43</v>
      </c>
      <c r="F364" s="1">
        <v>64</v>
      </c>
      <c r="G364" t="s">
        <v>105</v>
      </c>
      <c r="H364" t="s">
        <v>45</v>
      </c>
      <c r="I364" t="s">
        <v>63</v>
      </c>
      <c r="J364" t="s">
        <v>58</v>
      </c>
      <c r="K364" s="2">
        <v>3.4</v>
      </c>
      <c r="L364" t="s">
        <v>26</v>
      </c>
      <c r="M364" t="s">
        <v>35</v>
      </c>
      <c r="N364" t="s">
        <v>40</v>
      </c>
      <c r="O364" t="s">
        <v>26</v>
      </c>
      <c r="P364" t="s">
        <v>26</v>
      </c>
      <c r="Q364" s="3">
        <v>1</v>
      </c>
      <c r="R364" t="s">
        <v>29</v>
      </c>
      <c r="S364" t="s">
        <v>30</v>
      </c>
    </row>
    <row r="365" spans="1:19" x14ac:dyDescent="0.25">
      <c r="A365">
        <v>364</v>
      </c>
      <c r="B365">
        <v>55</v>
      </c>
      <c r="C365" t="s">
        <v>19</v>
      </c>
      <c r="D365" t="s">
        <v>61</v>
      </c>
      <c r="E365" t="s">
        <v>21</v>
      </c>
      <c r="F365" s="1">
        <v>88</v>
      </c>
      <c r="G365" t="s">
        <v>103</v>
      </c>
      <c r="H365" t="s">
        <v>23</v>
      </c>
      <c r="I365" t="s">
        <v>134</v>
      </c>
      <c r="J365" t="s">
        <v>25</v>
      </c>
      <c r="K365" s="2">
        <v>3.1</v>
      </c>
      <c r="L365" t="s">
        <v>26</v>
      </c>
      <c r="M365" t="s">
        <v>35</v>
      </c>
      <c r="N365" t="s">
        <v>40</v>
      </c>
      <c r="O365" t="s">
        <v>26</v>
      </c>
      <c r="P365" t="s">
        <v>26</v>
      </c>
      <c r="Q365" s="3">
        <v>42</v>
      </c>
      <c r="R365" t="s">
        <v>34</v>
      </c>
      <c r="S365" t="s">
        <v>30</v>
      </c>
    </row>
    <row r="366" spans="1:19" x14ac:dyDescent="0.25">
      <c r="A366">
        <v>365</v>
      </c>
      <c r="B366">
        <v>62</v>
      </c>
      <c r="C366" t="s">
        <v>19</v>
      </c>
      <c r="D366" t="s">
        <v>73</v>
      </c>
      <c r="E366" t="s">
        <v>43</v>
      </c>
      <c r="F366" s="1">
        <v>88</v>
      </c>
      <c r="G366" t="s">
        <v>114</v>
      </c>
      <c r="H366" t="s">
        <v>23</v>
      </c>
      <c r="I366" t="s">
        <v>63</v>
      </c>
      <c r="J366" t="s">
        <v>54</v>
      </c>
      <c r="K366" s="2">
        <v>3</v>
      </c>
      <c r="L366" t="s">
        <v>26</v>
      </c>
      <c r="M366" t="s">
        <v>59</v>
      </c>
      <c r="N366" t="s">
        <v>40</v>
      </c>
      <c r="O366" t="s">
        <v>26</v>
      </c>
      <c r="P366" t="s">
        <v>26</v>
      </c>
      <c r="Q366" s="3">
        <v>7</v>
      </c>
      <c r="R366" t="s">
        <v>29</v>
      </c>
      <c r="S366" t="s">
        <v>97</v>
      </c>
    </row>
    <row r="367" spans="1:19" x14ac:dyDescent="0.25">
      <c r="A367">
        <v>366</v>
      </c>
      <c r="B367">
        <v>55</v>
      </c>
      <c r="C367" t="s">
        <v>19</v>
      </c>
      <c r="D367" t="s">
        <v>143</v>
      </c>
      <c r="E367" t="s">
        <v>69</v>
      </c>
      <c r="F367" s="1">
        <v>88</v>
      </c>
      <c r="G367" t="s">
        <v>66</v>
      </c>
      <c r="H367" t="s">
        <v>92</v>
      </c>
      <c r="I367" t="s">
        <v>24</v>
      </c>
      <c r="J367" t="s">
        <v>54</v>
      </c>
      <c r="K367" s="2">
        <v>3.7</v>
      </c>
      <c r="L367" t="s">
        <v>26</v>
      </c>
      <c r="M367" t="s">
        <v>46</v>
      </c>
      <c r="N367" t="s">
        <v>55</v>
      </c>
      <c r="O367" t="s">
        <v>26</v>
      </c>
      <c r="P367" t="s">
        <v>26</v>
      </c>
      <c r="Q367" s="3">
        <v>50</v>
      </c>
      <c r="R367" t="s">
        <v>46</v>
      </c>
      <c r="S367" t="s">
        <v>60</v>
      </c>
    </row>
    <row r="368" spans="1:19" x14ac:dyDescent="0.25">
      <c r="A368">
        <v>367</v>
      </c>
      <c r="B368">
        <v>64</v>
      </c>
      <c r="C368" t="s">
        <v>19</v>
      </c>
      <c r="D368" t="s">
        <v>125</v>
      </c>
      <c r="E368" t="s">
        <v>21</v>
      </c>
      <c r="F368" s="1">
        <v>36</v>
      </c>
      <c r="G368" t="s">
        <v>145</v>
      </c>
      <c r="H368" t="s">
        <v>45</v>
      </c>
      <c r="I368" t="s">
        <v>49</v>
      </c>
      <c r="J368" t="s">
        <v>39</v>
      </c>
      <c r="K368" s="2">
        <v>3.5</v>
      </c>
      <c r="L368" t="s">
        <v>26</v>
      </c>
      <c r="M368" t="s">
        <v>34</v>
      </c>
      <c r="N368" t="s">
        <v>76</v>
      </c>
      <c r="O368" t="s">
        <v>26</v>
      </c>
      <c r="P368" t="s">
        <v>26</v>
      </c>
      <c r="Q368" s="3">
        <v>37</v>
      </c>
      <c r="R368" t="s">
        <v>29</v>
      </c>
      <c r="S368" t="s">
        <v>30</v>
      </c>
    </row>
    <row r="369" spans="1:19" x14ac:dyDescent="0.25">
      <c r="A369">
        <v>368</v>
      </c>
      <c r="B369">
        <v>52</v>
      </c>
      <c r="C369" t="s">
        <v>19</v>
      </c>
      <c r="D369" t="s">
        <v>82</v>
      </c>
      <c r="E369" t="s">
        <v>21</v>
      </c>
      <c r="F369" s="1">
        <v>40</v>
      </c>
      <c r="G369" t="s">
        <v>122</v>
      </c>
      <c r="H369" t="s">
        <v>92</v>
      </c>
      <c r="I369" t="s">
        <v>109</v>
      </c>
      <c r="J369" t="s">
        <v>39</v>
      </c>
      <c r="K369" s="2">
        <v>2.8</v>
      </c>
      <c r="L369" t="s">
        <v>26</v>
      </c>
      <c r="M369" t="s">
        <v>27</v>
      </c>
      <c r="N369" t="s">
        <v>76</v>
      </c>
      <c r="O369" t="s">
        <v>26</v>
      </c>
      <c r="P369" t="s">
        <v>26</v>
      </c>
      <c r="Q369" s="3">
        <v>18</v>
      </c>
      <c r="R369" t="s">
        <v>34</v>
      </c>
      <c r="S369" t="s">
        <v>88</v>
      </c>
    </row>
    <row r="370" spans="1:19" x14ac:dyDescent="0.25">
      <c r="A370">
        <v>369</v>
      </c>
      <c r="B370">
        <v>24</v>
      </c>
      <c r="C370" t="s">
        <v>19</v>
      </c>
      <c r="D370" t="s">
        <v>68</v>
      </c>
      <c r="E370" t="s">
        <v>69</v>
      </c>
      <c r="F370" s="1">
        <v>39</v>
      </c>
      <c r="G370" t="s">
        <v>101</v>
      </c>
      <c r="H370" t="s">
        <v>45</v>
      </c>
      <c r="I370" t="s">
        <v>63</v>
      </c>
      <c r="J370" t="s">
        <v>39</v>
      </c>
      <c r="K370" s="2">
        <v>4.5</v>
      </c>
      <c r="L370" t="s">
        <v>26</v>
      </c>
      <c r="M370" t="s">
        <v>29</v>
      </c>
      <c r="N370" t="s">
        <v>55</v>
      </c>
      <c r="O370" t="s">
        <v>26</v>
      </c>
      <c r="P370" t="s">
        <v>26</v>
      </c>
      <c r="Q370" s="3">
        <v>29</v>
      </c>
      <c r="R370" t="s">
        <v>35</v>
      </c>
      <c r="S370" t="s">
        <v>88</v>
      </c>
    </row>
    <row r="371" spans="1:19" x14ac:dyDescent="0.25">
      <c r="A371">
        <v>370</v>
      </c>
      <c r="B371">
        <v>38</v>
      </c>
      <c r="C371" t="s">
        <v>19</v>
      </c>
      <c r="D371" t="s">
        <v>133</v>
      </c>
      <c r="E371" t="s">
        <v>69</v>
      </c>
      <c r="F371" s="1">
        <v>40</v>
      </c>
      <c r="G371" t="s">
        <v>150</v>
      </c>
      <c r="H371" t="s">
        <v>45</v>
      </c>
      <c r="I371" t="s">
        <v>67</v>
      </c>
      <c r="J371" t="s">
        <v>54</v>
      </c>
      <c r="K371" s="2">
        <v>3.3</v>
      </c>
      <c r="L371" t="s">
        <v>26</v>
      </c>
      <c r="M371" t="s">
        <v>35</v>
      </c>
      <c r="N371" t="s">
        <v>76</v>
      </c>
      <c r="O371" t="s">
        <v>26</v>
      </c>
      <c r="P371" t="s">
        <v>26</v>
      </c>
      <c r="Q371" s="3">
        <v>45</v>
      </c>
      <c r="R371" t="s">
        <v>46</v>
      </c>
      <c r="S371" t="s">
        <v>60</v>
      </c>
    </row>
    <row r="372" spans="1:19" x14ac:dyDescent="0.25">
      <c r="A372">
        <v>371</v>
      </c>
      <c r="B372">
        <v>59</v>
      </c>
      <c r="C372" t="s">
        <v>19</v>
      </c>
      <c r="D372" t="s">
        <v>119</v>
      </c>
      <c r="E372" t="s">
        <v>69</v>
      </c>
      <c r="F372" s="1">
        <v>34</v>
      </c>
      <c r="G372" t="s">
        <v>48</v>
      </c>
      <c r="H372" t="s">
        <v>45</v>
      </c>
      <c r="I372" t="s">
        <v>79</v>
      </c>
      <c r="J372" t="s">
        <v>25</v>
      </c>
      <c r="K372" s="2">
        <v>3.4</v>
      </c>
      <c r="L372" t="s">
        <v>26</v>
      </c>
      <c r="M372" t="s">
        <v>27</v>
      </c>
      <c r="N372" t="s">
        <v>28</v>
      </c>
      <c r="O372" t="s">
        <v>26</v>
      </c>
      <c r="P372" t="s">
        <v>26</v>
      </c>
      <c r="Q372" s="3">
        <v>13</v>
      </c>
      <c r="R372" t="s">
        <v>46</v>
      </c>
      <c r="S372" t="s">
        <v>41</v>
      </c>
    </row>
    <row r="373" spans="1:19" x14ac:dyDescent="0.25">
      <c r="A373">
        <v>372</v>
      </c>
      <c r="B373">
        <v>27</v>
      </c>
      <c r="C373" t="s">
        <v>19</v>
      </c>
      <c r="D373" t="s">
        <v>51</v>
      </c>
      <c r="E373" t="s">
        <v>43</v>
      </c>
      <c r="F373" s="1">
        <v>83</v>
      </c>
      <c r="G373" t="s">
        <v>98</v>
      </c>
      <c r="H373" t="s">
        <v>38</v>
      </c>
      <c r="I373" t="s">
        <v>71</v>
      </c>
      <c r="J373" t="s">
        <v>25</v>
      </c>
      <c r="K373" s="2">
        <v>3.2</v>
      </c>
      <c r="L373" t="s">
        <v>26</v>
      </c>
      <c r="M373" t="s">
        <v>34</v>
      </c>
      <c r="N373" t="s">
        <v>72</v>
      </c>
      <c r="O373" t="s">
        <v>26</v>
      </c>
      <c r="P373" t="s">
        <v>26</v>
      </c>
      <c r="Q373" s="3">
        <v>47</v>
      </c>
      <c r="R373" t="s">
        <v>46</v>
      </c>
      <c r="S373" t="s">
        <v>88</v>
      </c>
    </row>
    <row r="374" spans="1:19" x14ac:dyDescent="0.25">
      <c r="A374">
        <v>373</v>
      </c>
      <c r="B374">
        <v>24</v>
      </c>
      <c r="C374" t="s">
        <v>19</v>
      </c>
      <c r="D374" t="s">
        <v>31</v>
      </c>
      <c r="E374" t="s">
        <v>21</v>
      </c>
      <c r="F374" s="1">
        <v>85</v>
      </c>
      <c r="G374" t="s">
        <v>138</v>
      </c>
      <c r="H374" t="s">
        <v>23</v>
      </c>
      <c r="I374" t="s">
        <v>121</v>
      </c>
      <c r="J374" t="s">
        <v>54</v>
      </c>
      <c r="K374" s="2">
        <v>3.7</v>
      </c>
      <c r="L374" t="s">
        <v>26</v>
      </c>
      <c r="M374" t="s">
        <v>27</v>
      </c>
      <c r="N374" t="s">
        <v>55</v>
      </c>
      <c r="O374" t="s">
        <v>26</v>
      </c>
      <c r="P374" t="s">
        <v>26</v>
      </c>
      <c r="Q374" s="3">
        <v>7</v>
      </c>
      <c r="R374" t="s">
        <v>59</v>
      </c>
      <c r="S374" t="s">
        <v>41</v>
      </c>
    </row>
    <row r="375" spans="1:19" x14ac:dyDescent="0.25">
      <c r="A375">
        <v>374</v>
      </c>
      <c r="B375">
        <v>23</v>
      </c>
      <c r="C375" t="s">
        <v>19</v>
      </c>
      <c r="D375" t="s">
        <v>64</v>
      </c>
      <c r="E375" t="s">
        <v>65</v>
      </c>
      <c r="F375" s="1">
        <v>27</v>
      </c>
      <c r="G375" t="s">
        <v>114</v>
      </c>
      <c r="H375" t="s">
        <v>23</v>
      </c>
      <c r="I375" t="s">
        <v>53</v>
      </c>
      <c r="J375" t="s">
        <v>54</v>
      </c>
      <c r="K375" s="2">
        <v>4.5999999999999996</v>
      </c>
      <c r="L375" t="s">
        <v>26</v>
      </c>
      <c r="M375" t="s">
        <v>34</v>
      </c>
      <c r="N375" t="s">
        <v>28</v>
      </c>
      <c r="O375" t="s">
        <v>26</v>
      </c>
      <c r="P375" t="s">
        <v>26</v>
      </c>
      <c r="Q375" s="3">
        <v>11</v>
      </c>
      <c r="R375" t="s">
        <v>29</v>
      </c>
      <c r="S375" t="s">
        <v>77</v>
      </c>
    </row>
    <row r="376" spans="1:19" x14ac:dyDescent="0.25">
      <c r="A376">
        <v>375</v>
      </c>
      <c r="B376">
        <v>69</v>
      </c>
      <c r="C376" t="s">
        <v>19</v>
      </c>
      <c r="D376" t="s">
        <v>106</v>
      </c>
      <c r="E376" t="s">
        <v>69</v>
      </c>
      <c r="F376" s="1">
        <v>78</v>
      </c>
      <c r="G376" t="s">
        <v>123</v>
      </c>
      <c r="H376" t="s">
        <v>38</v>
      </c>
      <c r="I376" t="s">
        <v>75</v>
      </c>
      <c r="J376" t="s">
        <v>39</v>
      </c>
      <c r="K376" s="2">
        <v>5</v>
      </c>
      <c r="L376" t="s">
        <v>26</v>
      </c>
      <c r="M376" t="s">
        <v>34</v>
      </c>
      <c r="N376" t="s">
        <v>76</v>
      </c>
      <c r="O376" t="s">
        <v>26</v>
      </c>
      <c r="P376" t="s">
        <v>26</v>
      </c>
      <c r="Q376" s="3">
        <v>39</v>
      </c>
      <c r="R376" t="s">
        <v>34</v>
      </c>
      <c r="S376" t="s">
        <v>88</v>
      </c>
    </row>
    <row r="377" spans="1:19" x14ac:dyDescent="0.25">
      <c r="A377">
        <v>376</v>
      </c>
      <c r="B377">
        <v>59</v>
      </c>
      <c r="C377" t="s">
        <v>19</v>
      </c>
      <c r="D377" t="s">
        <v>89</v>
      </c>
      <c r="E377" t="s">
        <v>69</v>
      </c>
      <c r="F377" s="1">
        <v>32</v>
      </c>
      <c r="G377" t="s">
        <v>101</v>
      </c>
      <c r="H377" t="s">
        <v>45</v>
      </c>
      <c r="I377" t="s">
        <v>79</v>
      </c>
      <c r="J377" t="s">
        <v>54</v>
      </c>
      <c r="K377" s="2">
        <v>4.4000000000000004</v>
      </c>
      <c r="L377" t="s">
        <v>26</v>
      </c>
      <c r="M377" t="s">
        <v>59</v>
      </c>
      <c r="N377" t="s">
        <v>55</v>
      </c>
      <c r="O377" t="s">
        <v>26</v>
      </c>
      <c r="P377" t="s">
        <v>26</v>
      </c>
      <c r="Q377" s="3">
        <v>6</v>
      </c>
      <c r="R377" t="s">
        <v>59</v>
      </c>
      <c r="S377" t="s">
        <v>60</v>
      </c>
    </row>
    <row r="378" spans="1:19" x14ac:dyDescent="0.25">
      <c r="A378">
        <v>377</v>
      </c>
      <c r="B378">
        <v>51</v>
      </c>
      <c r="C378" t="s">
        <v>19</v>
      </c>
      <c r="D378" t="s">
        <v>73</v>
      </c>
      <c r="E378" t="s">
        <v>43</v>
      </c>
      <c r="F378" s="1">
        <v>51</v>
      </c>
      <c r="G378" t="s">
        <v>131</v>
      </c>
      <c r="H378" t="s">
        <v>38</v>
      </c>
      <c r="I378" t="s">
        <v>24</v>
      </c>
      <c r="J378" t="s">
        <v>58</v>
      </c>
      <c r="K378" s="2">
        <v>4.9000000000000004</v>
      </c>
      <c r="L378" t="s">
        <v>26</v>
      </c>
      <c r="M378" t="s">
        <v>46</v>
      </c>
      <c r="N378" t="s">
        <v>28</v>
      </c>
      <c r="O378" t="s">
        <v>26</v>
      </c>
      <c r="P378" t="s">
        <v>26</v>
      </c>
      <c r="Q378" s="3">
        <v>2</v>
      </c>
      <c r="R378" t="s">
        <v>29</v>
      </c>
      <c r="S378" t="s">
        <v>77</v>
      </c>
    </row>
    <row r="379" spans="1:19" x14ac:dyDescent="0.25">
      <c r="A379">
        <v>378</v>
      </c>
      <c r="B379">
        <v>63</v>
      </c>
      <c r="C379" t="s">
        <v>19</v>
      </c>
      <c r="D379" t="s">
        <v>119</v>
      </c>
      <c r="E379" t="s">
        <v>69</v>
      </c>
      <c r="F379" s="1">
        <v>32</v>
      </c>
      <c r="G379" t="s">
        <v>32</v>
      </c>
      <c r="H379" t="s">
        <v>45</v>
      </c>
      <c r="I379" t="s">
        <v>67</v>
      </c>
      <c r="J379" t="s">
        <v>39</v>
      </c>
      <c r="K379" s="2">
        <v>4.0999999999999996</v>
      </c>
      <c r="L379" t="s">
        <v>26</v>
      </c>
      <c r="M379" t="s">
        <v>59</v>
      </c>
      <c r="N379" t="s">
        <v>55</v>
      </c>
      <c r="O379" t="s">
        <v>26</v>
      </c>
      <c r="P379" t="s">
        <v>26</v>
      </c>
      <c r="Q379" s="3">
        <v>39</v>
      </c>
      <c r="R379" t="s">
        <v>27</v>
      </c>
      <c r="S379" t="s">
        <v>97</v>
      </c>
    </row>
    <row r="380" spans="1:19" x14ac:dyDescent="0.25">
      <c r="A380">
        <v>379</v>
      </c>
      <c r="B380">
        <v>54</v>
      </c>
      <c r="C380" t="s">
        <v>19</v>
      </c>
      <c r="D380" t="s">
        <v>82</v>
      </c>
      <c r="E380" t="s">
        <v>21</v>
      </c>
      <c r="F380" s="1">
        <v>62</v>
      </c>
      <c r="G380" t="s">
        <v>107</v>
      </c>
      <c r="H380" t="s">
        <v>23</v>
      </c>
      <c r="I380" t="s">
        <v>121</v>
      </c>
      <c r="J380" t="s">
        <v>25</v>
      </c>
      <c r="K380" s="2">
        <v>4.9000000000000004</v>
      </c>
      <c r="L380" t="s">
        <v>26</v>
      </c>
      <c r="M380" t="s">
        <v>35</v>
      </c>
      <c r="N380" t="s">
        <v>47</v>
      </c>
      <c r="O380" t="s">
        <v>26</v>
      </c>
      <c r="P380" t="s">
        <v>26</v>
      </c>
      <c r="Q380" s="3">
        <v>23</v>
      </c>
      <c r="R380" t="s">
        <v>27</v>
      </c>
      <c r="S380" t="s">
        <v>88</v>
      </c>
    </row>
    <row r="381" spans="1:19" x14ac:dyDescent="0.25">
      <c r="A381">
        <v>380</v>
      </c>
      <c r="B381">
        <v>32</v>
      </c>
      <c r="C381" t="s">
        <v>19</v>
      </c>
      <c r="D381" t="s">
        <v>113</v>
      </c>
      <c r="E381" t="s">
        <v>21</v>
      </c>
      <c r="F381" s="1">
        <v>29</v>
      </c>
      <c r="G381" t="s">
        <v>57</v>
      </c>
      <c r="H381" t="s">
        <v>38</v>
      </c>
      <c r="I381" t="s">
        <v>136</v>
      </c>
      <c r="J381" t="s">
        <v>58</v>
      </c>
      <c r="K381" s="2">
        <v>4.7</v>
      </c>
      <c r="L381" t="s">
        <v>26</v>
      </c>
      <c r="M381" t="s">
        <v>59</v>
      </c>
      <c r="N381" t="s">
        <v>72</v>
      </c>
      <c r="O381" t="s">
        <v>26</v>
      </c>
      <c r="P381" t="s">
        <v>26</v>
      </c>
      <c r="Q381" s="3">
        <v>46</v>
      </c>
      <c r="R381" t="s">
        <v>59</v>
      </c>
      <c r="S381" t="s">
        <v>77</v>
      </c>
    </row>
    <row r="382" spans="1:19" x14ac:dyDescent="0.25">
      <c r="A382">
        <v>381</v>
      </c>
      <c r="B382">
        <v>39</v>
      </c>
      <c r="C382" t="s">
        <v>19</v>
      </c>
      <c r="D382" t="s">
        <v>132</v>
      </c>
      <c r="E382" t="s">
        <v>69</v>
      </c>
      <c r="F382" s="1">
        <v>69</v>
      </c>
      <c r="G382" t="s">
        <v>83</v>
      </c>
      <c r="H382" t="s">
        <v>92</v>
      </c>
      <c r="I382" t="s">
        <v>118</v>
      </c>
      <c r="J382" t="s">
        <v>58</v>
      </c>
      <c r="K382" s="2">
        <v>3</v>
      </c>
      <c r="L382" t="s">
        <v>26</v>
      </c>
      <c r="M382" t="s">
        <v>46</v>
      </c>
      <c r="N382" t="s">
        <v>76</v>
      </c>
      <c r="O382" t="s">
        <v>26</v>
      </c>
      <c r="P382" t="s">
        <v>26</v>
      </c>
      <c r="Q382" s="3">
        <v>19</v>
      </c>
      <c r="R382" t="s">
        <v>34</v>
      </c>
      <c r="S382" t="s">
        <v>41</v>
      </c>
    </row>
    <row r="383" spans="1:19" x14ac:dyDescent="0.25">
      <c r="A383">
        <v>382</v>
      </c>
      <c r="B383">
        <v>66</v>
      </c>
      <c r="C383" t="s">
        <v>19</v>
      </c>
      <c r="D383" t="s">
        <v>106</v>
      </c>
      <c r="E383" t="s">
        <v>69</v>
      </c>
      <c r="F383" s="1">
        <v>25</v>
      </c>
      <c r="G383" t="s">
        <v>32</v>
      </c>
      <c r="H383" t="s">
        <v>23</v>
      </c>
      <c r="I383" t="s">
        <v>93</v>
      </c>
      <c r="J383" t="s">
        <v>25</v>
      </c>
      <c r="K383" s="2">
        <v>3.4</v>
      </c>
      <c r="L383" t="s">
        <v>26</v>
      </c>
      <c r="M383" t="s">
        <v>59</v>
      </c>
      <c r="N383" t="s">
        <v>76</v>
      </c>
      <c r="O383" t="s">
        <v>26</v>
      </c>
      <c r="P383" t="s">
        <v>26</v>
      </c>
      <c r="Q383" s="3">
        <v>3</v>
      </c>
      <c r="R383" t="s">
        <v>27</v>
      </c>
      <c r="S383" t="s">
        <v>97</v>
      </c>
    </row>
    <row r="384" spans="1:19" x14ac:dyDescent="0.25">
      <c r="A384">
        <v>383</v>
      </c>
      <c r="B384">
        <v>28</v>
      </c>
      <c r="C384" t="s">
        <v>19</v>
      </c>
      <c r="D384" t="s">
        <v>36</v>
      </c>
      <c r="E384" t="s">
        <v>21</v>
      </c>
      <c r="F384" s="1">
        <v>76</v>
      </c>
      <c r="G384" t="s">
        <v>99</v>
      </c>
      <c r="H384" t="s">
        <v>45</v>
      </c>
      <c r="I384" t="s">
        <v>100</v>
      </c>
      <c r="J384" t="s">
        <v>25</v>
      </c>
      <c r="K384" s="2">
        <v>3.2</v>
      </c>
      <c r="L384" t="s">
        <v>26</v>
      </c>
      <c r="M384" t="s">
        <v>46</v>
      </c>
      <c r="N384" t="s">
        <v>76</v>
      </c>
      <c r="O384" t="s">
        <v>26</v>
      </c>
      <c r="P384" t="s">
        <v>26</v>
      </c>
      <c r="Q384" s="3">
        <v>47</v>
      </c>
      <c r="R384" t="s">
        <v>46</v>
      </c>
      <c r="S384" t="s">
        <v>60</v>
      </c>
    </row>
    <row r="385" spans="1:19" x14ac:dyDescent="0.25">
      <c r="A385">
        <v>384</v>
      </c>
      <c r="B385">
        <v>50</v>
      </c>
      <c r="C385" t="s">
        <v>19</v>
      </c>
      <c r="D385" t="s">
        <v>89</v>
      </c>
      <c r="E385" t="s">
        <v>69</v>
      </c>
      <c r="F385" s="1">
        <v>77</v>
      </c>
      <c r="G385" t="s">
        <v>66</v>
      </c>
      <c r="H385" t="s">
        <v>38</v>
      </c>
      <c r="I385" t="s">
        <v>136</v>
      </c>
      <c r="J385" t="s">
        <v>58</v>
      </c>
      <c r="K385" s="2">
        <v>2.9</v>
      </c>
      <c r="L385" t="s">
        <v>26</v>
      </c>
      <c r="M385" t="s">
        <v>27</v>
      </c>
      <c r="N385" t="s">
        <v>55</v>
      </c>
      <c r="O385" t="s">
        <v>26</v>
      </c>
      <c r="P385" t="s">
        <v>26</v>
      </c>
      <c r="Q385" s="3">
        <v>6</v>
      </c>
      <c r="R385" t="s">
        <v>46</v>
      </c>
      <c r="S385" t="s">
        <v>60</v>
      </c>
    </row>
    <row r="386" spans="1:19" x14ac:dyDescent="0.25">
      <c r="A386">
        <v>385</v>
      </c>
      <c r="B386">
        <v>70</v>
      </c>
      <c r="C386" t="s">
        <v>19</v>
      </c>
      <c r="D386" t="s">
        <v>31</v>
      </c>
      <c r="E386" t="s">
        <v>21</v>
      </c>
      <c r="F386" s="1">
        <v>33</v>
      </c>
      <c r="G386" t="s">
        <v>99</v>
      </c>
      <c r="H386" t="s">
        <v>45</v>
      </c>
      <c r="I386" t="s">
        <v>118</v>
      </c>
      <c r="J386" t="s">
        <v>58</v>
      </c>
      <c r="K386" s="2">
        <v>4.5</v>
      </c>
      <c r="L386" t="s">
        <v>26</v>
      </c>
      <c r="M386" t="s">
        <v>27</v>
      </c>
      <c r="N386" t="s">
        <v>72</v>
      </c>
      <c r="O386" t="s">
        <v>26</v>
      </c>
      <c r="P386" t="s">
        <v>26</v>
      </c>
      <c r="Q386" s="3">
        <v>6</v>
      </c>
      <c r="R386" t="s">
        <v>29</v>
      </c>
      <c r="S386" t="s">
        <v>50</v>
      </c>
    </row>
    <row r="387" spans="1:19" x14ac:dyDescent="0.25">
      <c r="A387">
        <v>386</v>
      </c>
      <c r="B387">
        <v>67</v>
      </c>
      <c r="C387" t="s">
        <v>19</v>
      </c>
      <c r="D387" t="s">
        <v>61</v>
      </c>
      <c r="E387" t="s">
        <v>21</v>
      </c>
      <c r="F387" s="1">
        <v>93</v>
      </c>
      <c r="G387" t="s">
        <v>66</v>
      </c>
      <c r="H387" t="s">
        <v>38</v>
      </c>
      <c r="I387" t="s">
        <v>134</v>
      </c>
      <c r="J387" t="s">
        <v>58</v>
      </c>
      <c r="K387" s="2">
        <v>2.7</v>
      </c>
      <c r="L387" t="s">
        <v>26</v>
      </c>
      <c r="M387" t="s">
        <v>27</v>
      </c>
      <c r="N387" t="s">
        <v>47</v>
      </c>
      <c r="O387" t="s">
        <v>26</v>
      </c>
      <c r="P387" t="s">
        <v>26</v>
      </c>
      <c r="Q387" s="3">
        <v>12</v>
      </c>
      <c r="R387" t="s">
        <v>27</v>
      </c>
      <c r="S387" t="s">
        <v>77</v>
      </c>
    </row>
    <row r="388" spans="1:19" x14ac:dyDescent="0.25">
      <c r="A388">
        <v>387</v>
      </c>
      <c r="B388">
        <v>64</v>
      </c>
      <c r="C388" t="s">
        <v>19</v>
      </c>
      <c r="D388" t="s">
        <v>106</v>
      </c>
      <c r="E388" t="s">
        <v>69</v>
      </c>
      <c r="F388" s="1">
        <v>39</v>
      </c>
      <c r="G388" t="s">
        <v>62</v>
      </c>
      <c r="H388" t="s">
        <v>23</v>
      </c>
      <c r="I388" t="s">
        <v>110</v>
      </c>
      <c r="J388" t="s">
        <v>39</v>
      </c>
      <c r="K388" s="2">
        <v>3.4</v>
      </c>
      <c r="L388" t="s">
        <v>26</v>
      </c>
      <c r="M388" t="s">
        <v>35</v>
      </c>
      <c r="N388" t="s">
        <v>28</v>
      </c>
      <c r="O388" t="s">
        <v>26</v>
      </c>
      <c r="P388" t="s">
        <v>26</v>
      </c>
      <c r="Q388" s="3">
        <v>40</v>
      </c>
      <c r="R388" t="s">
        <v>46</v>
      </c>
      <c r="S388" t="s">
        <v>60</v>
      </c>
    </row>
    <row r="389" spans="1:19" x14ac:dyDescent="0.25">
      <c r="A389">
        <v>388</v>
      </c>
      <c r="B389">
        <v>45</v>
      </c>
      <c r="C389" t="s">
        <v>19</v>
      </c>
      <c r="D389" t="s">
        <v>64</v>
      </c>
      <c r="E389" t="s">
        <v>65</v>
      </c>
      <c r="F389" s="1">
        <v>93</v>
      </c>
      <c r="G389" t="s">
        <v>142</v>
      </c>
      <c r="H389" t="s">
        <v>23</v>
      </c>
      <c r="I389" t="s">
        <v>67</v>
      </c>
      <c r="J389" t="s">
        <v>54</v>
      </c>
      <c r="K389" s="2">
        <v>4.5999999999999996</v>
      </c>
      <c r="L389" t="s">
        <v>26</v>
      </c>
      <c r="M389" t="s">
        <v>35</v>
      </c>
      <c r="N389" t="s">
        <v>76</v>
      </c>
      <c r="O389" t="s">
        <v>26</v>
      </c>
      <c r="P389" t="s">
        <v>26</v>
      </c>
      <c r="Q389" s="3">
        <v>38</v>
      </c>
      <c r="R389" t="s">
        <v>46</v>
      </c>
      <c r="S389" t="s">
        <v>30</v>
      </c>
    </row>
    <row r="390" spans="1:19" x14ac:dyDescent="0.25">
      <c r="A390">
        <v>389</v>
      </c>
      <c r="B390">
        <v>22</v>
      </c>
      <c r="C390" t="s">
        <v>19</v>
      </c>
      <c r="D390" t="s">
        <v>68</v>
      </c>
      <c r="E390" t="s">
        <v>69</v>
      </c>
      <c r="F390" s="1">
        <v>82</v>
      </c>
      <c r="G390" t="s">
        <v>149</v>
      </c>
      <c r="H390" t="s">
        <v>45</v>
      </c>
      <c r="I390" t="s">
        <v>121</v>
      </c>
      <c r="J390" t="s">
        <v>54</v>
      </c>
      <c r="K390" s="2">
        <v>2.7</v>
      </c>
      <c r="L390" t="s">
        <v>26</v>
      </c>
      <c r="M390" t="s">
        <v>27</v>
      </c>
      <c r="N390" t="s">
        <v>76</v>
      </c>
      <c r="O390" t="s">
        <v>26</v>
      </c>
      <c r="P390" t="s">
        <v>26</v>
      </c>
      <c r="Q390" s="3">
        <v>10</v>
      </c>
      <c r="R390" t="s">
        <v>46</v>
      </c>
      <c r="S390" t="s">
        <v>60</v>
      </c>
    </row>
    <row r="391" spans="1:19" x14ac:dyDescent="0.25">
      <c r="A391">
        <v>390</v>
      </c>
      <c r="B391">
        <v>27</v>
      </c>
      <c r="C391" t="s">
        <v>19</v>
      </c>
      <c r="D391" t="s">
        <v>137</v>
      </c>
      <c r="E391" t="s">
        <v>43</v>
      </c>
      <c r="F391" s="1">
        <v>42</v>
      </c>
      <c r="G391" t="s">
        <v>141</v>
      </c>
      <c r="H391" t="s">
        <v>23</v>
      </c>
      <c r="I391" t="s">
        <v>75</v>
      </c>
      <c r="J391" t="s">
        <v>39</v>
      </c>
      <c r="K391" s="2">
        <v>4.2</v>
      </c>
      <c r="L391" t="s">
        <v>26</v>
      </c>
      <c r="M391" t="s">
        <v>29</v>
      </c>
      <c r="N391" t="s">
        <v>55</v>
      </c>
      <c r="O391" t="s">
        <v>26</v>
      </c>
      <c r="P391" t="s">
        <v>26</v>
      </c>
      <c r="Q391" s="3">
        <v>28</v>
      </c>
      <c r="R391" t="s">
        <v>34</v>
      </c>
      <c r="S391" t="s">
        <v>88</v>
      </c>
    </row>
    <row r="392" spans="1:19" x14ac:dyDescent="0.25">
      <c r="A392">
        <v>391</v>
      </c>
      <c r="B392">
        <v>25</v>
      </c>
      <c r="C392" t="s">
        <v>19</v>
      </c>
      <c r="D392" t="s">
        <v>143</v>
      </c>
      <c r="E392" t="s">
        <v>69</v>
      </c>
      <c r="F392" s="1">
        <v>71</v>
      </c>
      <c r="G392" t="s">
        <v>116</v>
      </c>
      <c r="H392" t="s">
        <v>45</v>
      </c>
      <c r="I392" t="s">
        <v>126</v>
      </c>
      <c r="J392" t="s">
        <v>25</v>
      </c>
      <c r="K392" s="2">
        <v>3.2</v>
      </c>
      <c r="L392" t="s">
        <v>26</v>
      </c>
      <c r="M392" t="s">
        <v>59</v>
      </c>
      <c r="N392" t="s">
        <v>72</v>
      </c>
      <c r="O392" t="s">
        <v>26</v>
      </c>
      <c r="P392" t="s">
        <v>26</v>
      </c>
      <c r="Q392" s="3">
        <v>19</v>
      </c>
      <c r="R392" t="s">
        <v>46</v>
      </c>
      <c r="S392" t="s">
        <v>50</v>
      </c>
    </row>
    <row r="393" spans="1:19" x14ac:dyDescent="0.25">
      <c r="A393">
        <v>392</v>
      </c>
      <c r="B393">
        <v>37</v>
      </c>
      <c r="C393" t="s">
        <v>19</v>
      </c>
      <c r="D393" t="s">
        <v>31</v>
      </c>
      <c r="E393" t="s">
        <v>21</v>
      </c>
      <c r="F393" s="1">
        <v>86</v>
      </c>
      <c r="G393" t="s">
        <v>148</v>
      </c>
      <c r="H393" t="s">
        <v>23</v>
      </c>
      <c r="I393" t="s">
        <v>24</v>
      </c>
      <c r="J393" t="s">
        <v>39</v>
      </c>
      <c r="K393" s="2">
        <v>4.8</v>
      </c>
      <c r="L393" t="s">
        <v>26</v>
      </c>
      <c r="M393" t="s">
        <v>35</v>
      </c>
      <c r="N393" t="s">
        <v>55</v>
      </c>
      <c r="O393" t="s">
        <v>26</v>
      </c>
      <c r="P393" t="s">
        <v>26</v>
      </c>
      <c r="Q393" s="3">
        <v>25</v>
      </c>
      <c r="R393" t="s">
        <v>35</v>
      </c>
      <c r="S393" t="s">
        <v>30</v>
      </c>
    </row>
    <row r="394" spans="1:19" x14ac:dyDescent="0.25">
      <c r="A394">
        <v>393</v>
      </c>
      <c r="B394">
        <v>26</v>
      </c>
      <c r="C394" t="s">
        <v>19</v>
      </c>
      <c r="D394" t="s">
        <v>113</v>
      </c>
      <c r="E394" t="s">
        <v>21</v>
      </c>
      <c r="F394" s="1">
        <v>82</v>
      </c>
      <c r="G394" t="s">
        <v>135</v>
      </c>
      <c r="H394" t="s">
        <v>92</v>
      </c>
      <c r="I394" t="s">
        <v>94</v>
      </c>
      <c r="J394" t="s">
        <v>39</v>
      </c>
      <c r="K394" s="2">
        <v>3.3</v>
      </c>
      <c r="L394" t="s">
        <v>26</v>
      </c>
      <c r="M394" t="s">
        <v>46</v>
      </c>
      <c r="N394" t="s">
        <v>47</v>
      </c>
      <c r="O394" t="s">
        <v>26</v>
      </c>
      <c r="P394" t="s">
        <v>26</v>
      </c>
      <c r="Q394" s="3">
        <v>38</v>
      </c>
      <c r="R394" t="s">
        <v>27</v>
      </c>
      <c r="S394" t="s">
        <v>50</v>
      </c>
    </row>
    <row r="395" spans="1:19" x14ac:dyDescent="0.25">
      <c r="A395">
        <v>394</v>
      </c>
      <c r="B395">
        <v>33</v>
      </c>
      <c r="C395" t="s">
        <v>19</v>
      </c>
      <c r="D395" t="s">
        <v>73</v>
      </c>
      <c r="E395" t="s">
        <v>43</v>
      </c>
      <c r="F395" s="1">
        <v>65</v>
      </c>
      <c r="G395" t="s">
        <v>129</v>
      </c>
      <c r="H395" t="s">
        <v>23</v>
      </c>
      <c r="I395" t="s">
        <v>33</v>
      </c>
      <c r="J395" t="s">
        <v>58</v>
      </c>
      <c r="K395" s="2">
        <v>4.2</v>
      </c>
      <c r="L395" t="s">
        <v>26</v>
      </c>
      <c r="M395" t="s">
        <v>27</v>
      </c>
      <c r="N395" t="s">
        <v>55</v>
      </c>
      <c r="O395" t="s">
        <v>26</v>
      </c>
      <c r="P395" t="s">
        <v>26</v>
      </c>
      <c r="Q395" s="3">
        <v>6</v>
      </c>
      <c r="R395" t="s">
        <v>46</v>
      </c>
      <c r="S395" t="s">
        <v>30</v>
      </c>
    </row>
    <row r="396" spans="1:19" x14ac:dyDescent="0.25">
      <c r="A396">
        <v>395</v>
      </c>
      <c r="B396">
        <v>43</v>
      </c>
      <c r="C396" t="s">
        <v>19</v>
      </c>
      <c r="D396" t="s">
        <v>119</v>
      </c>
      <c r="E396" t="s">
        <v>69</v>
      </c>
      <c r="F396" s="1">
        <v>29</v>
      </c>
      <c r="G396" t="s">
        <v>114</v>
      </c>
      <c r="H396" t="s">
        <v>45</v>
      </c>
      <c r="I396" t="s">
        <v>118</v>
      </c>
      <c r="J396" t="s">
        <v>39</v>
      </c>
      <c r="K396" s="2">
        <v>4.8</v>
      </c>
      <c r="L396" t="s">
        <v>26</v>
      </c>
      <c r="M396" t="s">
        <v>46</v>
      </c>
      <c r="N396" t="s">
        <v>76</v>
      </c>
      <c r="O396" t="s">
        <v>26</v>
      </c>
      <c r="P396" t="s">
        <v>26</v>
      </c>
      <c r="Q396" s="3">
        <v>7</v>
      </c>
      <c r="R396" t="s">
        <v>59</v>
      </c>
      <c r="S396" t="s">
        <v>77</v>
      </c>
    </row>
    <row r="397" spans="1:19" x14ac:dyDescent="0.25">
      <c r="A397">
        <v>396</v>
      </c>
      <c r="B397">
        <v>37</v>
      </c>
      <c r="C397" t="s">
        <v>19</v>
      </c>
      <c r="D397" t="s">
        <v>51</v>
      </c>
      <c r="E397" t="s">
        <v>43</v>
      </c>
      <c r="F397" s="1">
        <v>65</v>
      </c>
      <c r="G397" t="s">
        <v>44</v>
      </c>
      <c r="H397" t="s">
        <v>23</v>
      </c>
      <c r="I397" t="s">
        <v>110</v>
      </c>
      <c r="J397" t="s">
        <v>25</v>
      </c>
      <c r="K397" s="2">
        <v>4.9000000000000004</v>
      </c>
      <c r="L397" t="s">
        <v>26</v>
      </c>
      <c r="M397" t="s">
        <v>35</v>
      </c>
      <c r="N397" t="s">
        <v>76</v>
      </c>
      <c r="O397" t="s">
        <v>26</v>
      </c>
      <c r="P397" t="s">
        <v>26</v>
      </c>
      <c r="Q397" s="3">
        <v>2</v>
      </c>
      <c r="R397" t="s">
        <v>46</v>
      </c>
      <c r="S397" t="s">
        <v>50</v>
      </c>
    </row>
    <row r="398" spans="1:19" x14ac:dyDescent="0.25">
      <c r="A398">
        <v>397</v>
      </c>
      <c r="B398">
        <v>46</v>
      </c>
      <c r="C398" t="s">
        <v>19</v>
      </c>
      <c r="D398" t="s">
        <v>82</v>
      </c>
      <c r="E398" t="s">
        <v>21</v>
      </c>
      <c r="F398" s="1">
        <v>88</v>
      </c>
      <c r="G398" t="s">
        <v>131</v>
      </c>
      <c r="H398" t="s">
        <v>38</v>
      </c>
      <c r="I398" t="s">
        <v>94</v>
      </c>
      <c r="J398" t="s">
        <v>58</v>
      </c>
      <c r="K398" s="2">
        <v>3.9</v>
      </c>
      <c r="L398" t="s">
        <v>26</v>
      </c>
      <c r="M398" t="s">
        <v>34</v>
      </c>
      <c r="N398" t="s">
        <v>55</v>
      </c>
      <c r="O398" t="s">
        <v>26</v>
      </c>
      <c r="P398" t="s">
        <v>26</v>
      </c>
      <c r="Q398" s="3">
        <v>24</v>
      </c>
      <c r="R398" t="s">
        <v>34</v>
      </c>
      <c r="S398" t="s">
        <v>50</v>
      </c>
    </row>
    <row r="399" spans="1:19" x14ac:dyDescent="0.25">
      <c r="A399">
        <v>398</v>
      </c>
      <c r="B399">
        <v>22</v>
      </c>
      <c r="C399" t="s">
        <v>19</v>
      </c>
      <c r="D399" t="s">
        <v>133</v>
      </c>
      <c r="E399" t="s">
        <v>69</v>
      </c>
      <c r="F399" s="1">
        <v>46</v>
      </c>
      <c r="G399" t="s">
        <v>91</v>
      </c>
      <c r="H399" t="s">
        <v>45</v>
      </c>
      <c r="I399" t="s">
        <v>126</v>
      </c>
      <c r="J399" t="s">
        <v>58</v>
      </c>
      <c r="K399" s="2">
        <v>3</v>
      </c>
      <c r="L399" t="s">
        <v>26</v>
      </c>
      <c r="M399" t="s">
        <v>29</v>
      </c>
      <c r="N399" t="s">
        <v>40</v>
      </c>
      <c r="O399" t="s">
        <v>26</v>
      </c>
      <c r="P399" t="s">
        <v>26</v>
      </c>
      <c r="Q399" s="3">
        <v>26</v>
      </c>
      <c r="R399" t="s">
        <v>35</v>
      </c>
      <c r="S399" t="s">
        <v>50</v>
      </c>
    </row>
    <row r="400" spans="1:19" x14ac:dyDescent="0.25">
      <c r="A400">
        <v>399</v>
      </c>
      <c r="B400">
        <v>20</v>
      </c>
      <c r="C400" t="s">
        <v>19</v>
      </c>
      <c r="D400" t="s">
        <v>137</v>
      </c>
      <c r="E400" t="s">
        <v>43</v>
      </c>
      <c r="F400" s="1">
        <v>67</v>
      </c>
      <c r="G400" t="s">
        <v>57</v>
      </c>
      <c r="H400" t="s">
        <v>38</v>
      </c>
      <c r="I400" t="s">
        <v>67</v>
      </c>
      <c r="J400" t="s">
        <v>25</v>
      </c>
      <c r="K400" s="2">
        <v>4.5999999999999996</v>
      </c>
      <c r="L400" t="s">
        <v>26</v>
      </c>
      <c r="M400" t="s">
        <v>46</v>
      </c>
      <c r="N400" t="s">
        <v>40</v>
      </c>
      <c r="O400" t="s">
        <v>26</v>
      </c>
      <c r="P400" t="s">
        <v>26</v>
      </c>
      <c r="Q400" s="3">
        <v>25</v>
      </c>
      <c r="R400" t="s">
        <v>59</v>
      </c>
      <c r="S400" t="s">
        <v>97</v>
      </c>
    </row>
    <row r="401" spans="1:19" x14ac:dyDescent="0.25">
      <c r="A401">
        <v>400</v>
      </c>
      <c r="B401">
        <v>60</v>
      </c>
      <c r="C401" t="s">
        <v>19</v>
      </c>
      <c r="D401" t="s">
        <v>119</v>
      </c>
      <c r="E401" t="s">
        <v>69</v>
      </c>
      <c r="F401" s="1">
        <v>35</v>
      </c>
      <c r="G401" t="s">
        <v>135</v>
      </c>
      <c r="H401" t="s">
        <v>23</v>
      </c>
      <c r="I401" t="s">
        <v>144</v>
      </c>
      <c r="J401" t="s">
        <v>58</v>
      </c>
      <c r="K401" s="2">
        <v>3.5</v>
      </c>
      <c r="L401" t="s">
        <v>26</v>
      </c>
      <c r="M401" t="s">
        <v>27</v>
      </c>
      <c r="N401" t="s">
        <v>72</v>
      </c>
      <c r="O401" t="s">
        <v>26</v>
      </c>
      <c r="P401" t="s">
        <v>26</v>
      </c>
      <c r="Q401" s="3">
        <v>10</v>
      </c>
      <c r="R401" t="s">
        <v>59</v>
      </c>
      <c r="S401" t="s">
        <v>88</v>
      </c>
    </row>
    <row r="402" spans="1:19" x14ac:dyDescent="0.25">
      <c r="A402">
        <v>401</v>
      </c>
      <c r="B402">
        <v>39</v>
      </c>
      <c r="C402" t="s">
        <v>19</v>
      </c>
      <c r="D402" t="s">
        <v>137</v>
      </c>
      <c r="E402" t="s">
        <v>43</v>
      </c>
      <c r="F402" s="1">
        <v>66</v>
      </c>
      <c r="G402" t="s">
        <v>140</v>
      </c>
      <c r="H402" t="s">
        <v>45</v>
      </c>
      <c r="I402" t="s">
        <v>96</v>
      </c>
      <c r="J402" t="s">
        <v>25</v>
      </c>
      <c r="K402" s="2">
        <v>4.8</v>
      </c>
      <c r="L402" t="s">
        <v>26</v>
      </c>
      <c r="M402" t="s">
        <v>29</v>
      </c>
      <c r="N402" t="s">
        <v>40</v>
      </c>
      <c r="O402" t="s">
        <v>26</v>
      </c>
      <c r="P402" t="s">
        <v>26</v>
      </c>
      <c r="Q402" s="3">
        <v>14</v>
      </c>
      <c r="R402" t="s">
        <v>46</v>
      </c>
      <c r="S402" t="s">
        <v>30</v>
      </c>
    </row>
    <row r="403" spans="1:19" x14ac:dyDescent="0.25">
      <c r="A403">
        <v>402</v>
      </c>
      <c r="B403">
        <v>43</v>
      </c>
      <c r="C403" t="s">
        <v>19</v>
      </c>
      <c r="D403" t="s">
        <v>113</v>
      </c>
      <c r="E403" t="s">
        <v>21</v>
      </c>
      <c r="F403" s="1">
        <v>91</v>
      </c>
      <c r="G403" t="s">
        <v>101</v>
      </c>
      <c r="H403" t="s">
        <v>23</v>
      </c>
      <c r="I403" t="s">
        <v>121</v>
      </c>
      <c r="J403" t="s">
        <v>58</v>
      </c>
      <c r="K403" s="2">
        <v>4.8</v>
      </c>
      <c r="L403" t="s">
        <v>26</v>
      </c>
      <c r="M403" t="s">
        <v>34</v>
      </c>
      <c r="N403" t="s">
        <v>55</v>
      </c>
      <c r="O403" t="s">
        <v>26</v>
      </c>
      <c r="P403" t="s">
        <v>26</v>
      </c>
      <c r="Q403" s="3">
        <v>21</v>
      </c>
      <c r="R403" t="s">
        <v>35</v>
      </c>
      <c r="S403" t="s">
        <v>60</v>
      </c>
    </row>
    <row r="404" spans="1:19" x14ac:dyDescent="0.25">
      <c r="A404">
        <v>403</v>
      </c>
      <c r="B404">
        <v>31</v>
      </c>
      <c r="C404" t="s">
        <v>19</v>
      </c>
      <c r="D404" t="s">
        <v>132</v>
      </c>
      <c r="E404" t="s">
        <v>69</v>
      </c>
      <c r="F404" s="1">
        <v>78</v>
      </c>
      <c r="G404" t="s">
        <v>99</v>
      </c>
      <c r="H404" t="s">
        <v>23</v>
      </c>
      <c r="I404" t="s">
        <v>109</v>
      </c>
      <c r="J404" t="s">
        <v>58</v>
      </c>
      <c r="K404" s="2">
        <v>3</v>
      </c>
      <c r="L404" t="s">
        <v>26</v>
      </c>
      <c r="M404" t="s">
        <v>46</v>
      </c>
      <c r="N404" t="s">
        <v>28</v>
      </c>
      <c r="O404" t="s">
        <v>26</v>
      </c>
      <c r="P404" t="s">
        <v>26</v>
      </c>
      <c r="Q404" s="3">
        <v>26</v>
      </c>
      <c r="R404" t="s">
        <v>46</v>
      </c>
      <c r="S404" t="s">
        <v>88</v>
      </c>
    </row>
    <row r="405" spans="1:19" x14ac:dyDescent="0.25">
      <c r="A405">
        <v>404</v>
      </c>
      <c r="B405">
        <v>19</v>
      </c>
      <c r="C405" t="s">
        <v>19</v>
      </c>
      <c r="D405" t="s">
        <v>51</v>
      </c>
      <c r="E405" t="s">
        <v>43</v>
      </c>
      <c r="F405" s="1">
        <v>45</v>
      </c>
      <c r="G405" t="s">
        <v>107</v>
      </c>
      <c r="H405" t="s">
        <v>45</v>
      </c>
      <c r="I405" t="s">
        <v>121</v>
      </c>
      <c r="J405" t="s">
        <v>25</v>
      </c>
      <c r="K405" s="2">
        <v>4.5</v>
      </c>
      <c r="L405" t="s">
        <v>26</v>
      </c>
      <c r="M405" t="s">
        <v>27</v>
      </c>
      <c r="N405" t="s">
        <v>47</v>
      </c>
      <c r="O405" t="s">
        <v>26</v>
      </c>
      <c r="P405" t="s">
        <v>26</v>
      </c>
      <c r="Q405" s="3">
        <v>12</v>
      </c>
      <c r="R405" t="s">
        <v>34</v>
      </c>
      <c r="S405" t="s">
        <v>50</v>
      </c>
    </row>
    <row r="406" spans="1:19" x14ac:dyDescent="0.25">
      <c r="A406">
        <v>405</v>
      </c>
      <c r="B406">
        <v>35</v>
      </c>
      <c r="C406" t="s">
        <v>19</v>
      </c>
      <c r="D406" t="s">
        <v>113</v>
      </c>
      <c r="E406" t="s">
        <v>21</v>
      </c>
      <c r="F406" s="1">
        <v>93</v>
      </c>
      <c r="G406" t="s">
        <v>80</v>
      </c>
      <c r="H406" t="s">
        <v>45</v>
      </c>
      <c r="I406" t="s">
        <v>126</v>
      </c>
      <c r="J406" t="s">
        <v>39</v>
      </c>
      <c r="K406" s="2">
        <v>4.8</v>
      </c>
      <c r="L406" t="s">
        <v>26</v>
      </c>
      <c r="M406" t="s">
        <v>27</v>
      </c>
      <c r="N406" t="s">
        <v>76</v>
      </c>
      <c r="O406" t="s">
        <v>26</v>
      </c>
      <c r="P406" t="s">
        <v>26</v>
      </c>
      <c r="Q406" s="3">
        <v>11</v>
      </c>
      <c r="R406" t="s">
        <v>27</v>
      </c>
      <c r="S406" t="s">
        <v>88</v>
      </c>
    </row>
    <row r="407" spans="1:19" x14ac:dyDescent="0.25">
      <c r="A407">
        <v>406</v>
      </c>
      <c r="B407">
        <v>41</v>
      </c>
      <c r="C407" t="s">
        <v>19</v>
      </c>
      <c r="D407" t="s">
        <v>36</v>
      </c>
      <c r="E407" t="s">
        <v>21</v>
      </c>
      <c r="F407" s="1">
        <v>74</v>
      </c>
      <c r="G407" t="s">
        <v>131</v>
      </c>
      <c r="H407" t="s">
        <v>38</v>
      </c>
      <c r="I407" t="s">
        <v>67</v>
      </c>
      <c r="J407" t="s">
        <v>54</v>
      </c>
      <c r="K407" s="2">
        <v>3.8</v>
      </c>
      <c r="L407" t="s">
        <v>26</v>
      </c>
      <c r="M407" t="s">
        <v>59</v>
      </c>
      <c r="N407" t="s">
        <v>55</v>
      </c>
      <c r="O407" t="s">
        <v>26</v>
      </c>
      <c r="P407" t="s">
        <v>26</v>
      </c>
      <c r="Q407" s="3">
        <v>15</v>
      </c>
      <c r="R407" t="s">
        <v>35</v>
      </c>
      <c r="S407" t="s">
        <v>50</v>
      </c>
    </row>
    <row r="408" spans="1:19" x14ac:dyDescent="0.25">
      <c r="A408">
        <v>407</v>
      </c>
      <c r="B408">
        <v>52</v>
      </c>
      <c r="C408" t="s">
        <v>19</v>
      </c>
      <c r="D408" t="s">
        <v>143</v>
      </c>
      <c r="E408" t="s">
        <v>69</v>
      </c>
      <c r="F408" s="1">
        <v>55</v>
      </c>
      <c r="G408" t="s">
        <v>128</v>
      </c>
      <c r="H408" t="s">
        <v>45</v>
      </c>
      <c r="I408" t="s">
        <v>100</v>
      </c>
      <c r="J408" t="s">
        <v>39</v>
      </c>
      <c r="K408" s="2">
        <v>4.5999999999999996</v>
      </c>
      <c r="L408" t="s">
        <v>26</v>
      </c>
      <c r="M408" t="s">
        <v>59</v>
      </c>
      <c r="N408" t="s">
        <v>28</v>
      </c>
      <c r="O408" t="s">
        <v>26</v>
      </c>
      <c r="P408" t="s">
        <v>26</v>
      </c>
      <c r="Q408" s="3">
        <v>13</v>
      </c>
      <c r="R408" t="s">
        <v>35</v>
      </c>
      <c r="S408" t="s">
        <v>88</v>
      </c>
    </row>
    <row r="409" spans="1:19" x14ac:dyDescent="0.25">
      <c r="A409">
        <v>408</v>
      </c>
      <c r="B409">
        <v>45</v>
      </c>
      <c r="C409" t="s">
        <v>19</v>
      </c>
      <c r="D409" t="s">
        <v>104</v>
      </c>
      <c r="E409" t="s">
        <v>21</v>
      </c>
      <c r="F409" s="1">
        <v>76</v>
      </c>
      <c r="G409" t="s">
        <v>98</v>
      </c>
      <c r="H409" t="s">
        <v>92</v>
      </c>
      <c r="I409" t="s">
        <v>86</v>
      </c>
      <c r="J409" t="s">
        <v>39</v>
      </c>
      <c r="K409" s="2">
        <v>3.1</v>
      </c>
      <c r="L409" t="s">
        <v>26</v>
      </c>
      <c r="M409" t="s">
        <v>59</v>
      </c>
      <c r="N409" t="s">
        <v>47</v>
      </c>
      <c r="O409" t="s">
        <v>26</v>
      </c>
      <c r="P409" t="s">
        <v>26</v>
      </c>
      <c r="Q409" s="3">
        <v>5</v>
      </c>
      <c r="R409" t="s">
        <v>27</v>
      </c>
      <c r="S409" t="s">
        <v>77</v>
      </c>
    </row>
    <row r="410" spans="1:19" x14ac:dyDescent="0.25">
      <c r="A410">
        <v>409</v>
      </c>
      <c r="B410">
        <v>34</v>
      </c>
      <c r="C410" t="s">
        <v>19</v>
      </c>
      <c r="D410" t="s">
        <v>51</v>
      </c>
      <c r="E410" t="s">
        <v>43</v>
      </c>
      <c r="F410" s="1">
        <v>66</v>
      </c>
      <c r="G410" t="s">
        <v>90</v>
      </c>
      <c r="H410" t="s">
        <v>23</v>
      </c>
      <c r="I410" t="s">
        <v>53</v>
      </c>
      <c r="J410" t="s">
        <v>39</v>
      </c>
      <c r="K410" s="2">
        <v>3.4</v>
      </c>
      <c r="L410" t="s">
        <v>26</v>
      </c>
      <c r="M410" t="s">
        <v>27</v>
      </c>
      <c r="N410" t="s">
        <v>28</v>
      </c>
      <c r="O410" t="s">
        <v>26</v>
      </c>
      <c r="P410" t="s">
        <v>26</v>
      </c>
      <c r="Q410" s="3">
        <v>36</v>
      </c>
      <c r="R410" t="s">
        <v>35</v>
      </c>
      <c r="S410" t="s">
        <v>30</v>
      </c>
    </row>
    <row r="411" spans="1:19" x14ac:dyDescent="0.25">
      <c r="A411">
        <v>410</v>
      </c>
      <c r="B411">
        <v>35</v>
      </c>
      <c r="C411" t="s">
        <v>19</v>
      </c>
      <c r="D411" t="s">
        <v>61</v>
      </c>
      <c r="E411" t="s">
        <v>21</v>
      </c>
      <c r="F411" s="1">
        <v>51</v>
      </c>
      <c r="G411" t="s">
        <v>148</v>
      </c>
      <c r="H411" t="s">
        <v>45</v>
      </c>
      <c r="I411" t="s">
        <v>110</v>
      </c>
      <c r="J411" t="s">
        <v>25</v>
      </c>
      <c r="K411" s="2">
        <v>3.3</v>
      </c>
      <c r="L411" t="s">
        <v>26</v>
      </c>
      <c r="M411" t="s">
        <v>59</v>
      </c>
      <c r="N411" t="s">
        <v>72</v>
      </c>
      <c r="O411" t="s">
        <v>26</v>
      </c>
      <c r="P411" t="s">
        <v>26</v>
      </c>
      <c r="Q411" s="3">
        <v>32</v>
      </c>
      <c r="R411" t="s">
        <v>34</v>
      </c>
      <c r="S411" t="s">
        <v>88</v>
      </c>
    </row>
    <row r="412" spans="1:19" x14ac:dyDescent="0.25">
      <c r="A412">
        <v>411</v>
      </c>
      <c r="B412">
        <v>29</v>
      </c>
      <c r="C412" t="s">
        <v>19</v>
      </c>
      <c r="D412" t="s">
        <v>31</v>
      </c>
      <c r="E412" t="s">
        <v>21</v>
      </c>
      <c r="F412" s="1">
        <v>26</v>
      </c>
      <c r="G412" t="s">
        <v>141</v>
      </c>
      <c r="H412" t="s">
        <v>23</v>
      </c>
      <c r="I412" t="s">
        <v>93</v>
      </c>
      <c r="J412" t="s">
        <v>39</v>
      </c>
      <c r="K412" s="2">
        <v>4.8</v>
      </c>
      <c r="L412" t="s">
        <v>26</v>
      </c>
      <c r="M412" t="s">
        <v>59</v>
      </c>
      <c r="N412" t="s">
        <v>72</v>
      </c>
      <c r="O412" t="s">
        <v>26</v>
      </c>
      <c r="P412" t="s">
        <v>26</v>
      </c>
      <c r="Q412" s="3">
        <v>1</v>
      </c>
      <c r="R412" t="s">
        <v>27</v>
      </c>
      <c r="S412" t="s">
        <v>60</v>
      </c>
    </row>
    <row r="413" spans="1:19" x14ac:dyDescent="0.25">
      <c r="A413">
        <v>412</v>
      </c>
      <c r="B413">
        <v>59</v>
      </c>
      <c r="C413" t="s">
        <v>19</v>
      </c>
      <c r="D413" t="s">
        <v>36</v>
      </c>
      <c r="E413" t="s">
        <v>21</v>
      </c>
      <c r="F413" s="1">
        <v>29</v>
      </c>
      <c r="G413" t="s">
        <v>151</v>
      </c>
      <c r="H413" t="s">
        <v>45</v>
      </c>
      <c r="I413" t="s">
        <v>126</v>
      </c>
      <c r="J413" t="s">
        <v>54</v>
      </c>
      <c r="K413" s="2">
        <v>2.8</v>
      </c>
      <c r="L413" t="s">
        <v>26</v>
      </c>
      <c r="M413" t="s">
        <v>35</v>
      </c>
      <c r="N413" t="s">
        <v>28</v>
      </c>
      <c r="O413" t="s">
        <v>26</v>
      </c>
      <c r="P413" t="s">
        <v>26</v>
      </c>
      <c r="Q413" s="3">
        <v>15</v>
      </c>
      <c r="R413" t="s">
        <v>46</v>
      </c>
      <c r="S413" t="s">
        <v>50</v>
      </c>
    </row>
    <row r="414" spans="1:19" x14ac:dyDescent="0.25">
      <c r="A414">
        <v>413</v>
      </c>
      <c r="B414">
        <v>24</v>
      </c>
      <c r="C414" t="s">
        <v>19</v>
      </c>
      <c r="D414" t="s">
        <v>102</v>
      </c>
      <c r="E414" t="s">
        <v>65</v>
      </c>
      <c r="F414" s="1">
        <v>74</v>
      </c>
      <c r="G414" t="s">
        <v>32</v>
      </c>
      <c r="H414" t="s">
        <v>45</v>
      </c>
      <c r="I414" t="s">
        <v>134</v>
      </c>
      <c r="J414" t="s">
        <v>54</v>
      </c>
      <c r="K414" s="2">
        <v>3.1</v>
      </c>
      <c r="L414" t="s">
        <v>26</v>
      </c>
      <c r="M414" t="s">
        <v>29</v>
      </c>
      <c r="N414" t="s">
        <v>76</v>
      </c>
      <c r="O414" t="s">
        <v>26</v>
      </c>
      <c r="P414" t="s">
        <v>26</v>
      </c>
      <c r="Q414" s="3">
        <v>3</v>
      </c>
      <c r="R414" t="s">
        <v>34</v>
      </c>
      <c r="S414" t="s">
        <v>41</v>
      </c>
    </row>
    <row r="415" spans="1:19" x14ac:dyDescent="0.25">
      <c r="A415">
        <v>414</v>
      </c>
      <c r="B415">
        <v>70</v>
      </c>
      <c r="C415" t="s">
        <v>19</v>
      </c>
      <c r="D415" t="s">
        <v>106</v>
      </c>
      <c r="E415" t="s">
        <v>69</v>
      </c>
      <c r="F415" s="1">
        <v>99</v>
      </c>
      <c r="G415" t="s">
        <v>107</v>
      </c>
      <c r="H415" t="s">
        <v>38</v>
      </c>
      <c r="I415" t="s">
        <v>53</v>
      </c>
      <c r="J415" t="s">
        <v>54</v>
      </c>
      <c r="K415" s="2">
        <v>4.5999999999999996</v>
      </c>
      <c r="L415" t="s">
        <v>26</v>
      </c>
      <c r="M415" t="s">
        <v>59</v>
      </c>
      <c r="N415" t="s">
        <v>40</v>
      </c>
      <c r="O415" t="s">
        <v>26</v>
      </c>
      <c r="P415" t="s">
        <v>26</v>
      </c>
      <c r="Q415" s="3">
        <v>48</v>
      </c>
      <c r="R415" t="s">
        <v>35</v>
      </c>
      <c r="S415" t="s">
        <v>88</v>
      </c>
    </row>
    <row r="416" spans="1:19" x14ac:dyDescent="0.25">
      <c r="A416">
        <v>415</v>
      </c>
      <c r="B416">
        <v>29</v>
      </c>
      <c r="C416" t="s">
        <v>19</v>
      </c>
      <c r="D416" t="s">
        <v>132</v>
      </c>
      <c r="E416" t="s">
        <v>69</v>
      </c>
      <c r="F416" s="1">
        <v>88</v>
      </c>
      <c r="G416" t="s">
        <v>52</v>
      </c>
      <c r="H416" t="s">
        <v>23</v>
      </c>
      <c r="I416" t="s">
        <v>84</v>
      </c>
      <c r="J416" t="s">
        <v>25</v>
      </c>
      <c r="K416" s="2">
        <v>2.6</v>
      </c>
      <c r="L416" t="s">
        <v>26</v>
      </c>
      <c r="M416" t="s">
        <v>34</v>
      </c>
      <c r="N416" t="s">
        <v>76</v>
      </c>
      <c r="O416" t="s">
        <v>26</v>
      </c>
      <c r="P416" t="s">
        <v>26</v>
      </c>
      <c r="Q416" s="3">
        <v>30</v>
      </c>
      <c r="R416" t="s">
        <v>59</v>
      </c>
      <c r="S416" t="s">
        <v>41</v>
      </c>
    </row>
    <row r="417" spans="1:19" x14ac:dyDescent="0.25">
      <c r="A417">
        <v>416</v>
      </c>
      <c r="B417">
        <v>67</v>
      </c>
      <c r="C417" t="s">
        <v>19</v>
      </c>
      <c r="D417" t="s">
        <v>64</v>
      </c>
      <c r="E417" t="s">
        <v>65</v>
      </c>
      <c r="F417" s="1">
        <v>31</v>
      </c>
      <c r="G417" t="s">
        <v>139</v>
      </c>
      <c r="H417" t="s">
        <v>45</v>
      </c>
      <c r="I417" t="s">
        <v>93</v>
      </c>
      <c r="J417" t="s">
        <v>25</v>
      </c>
      <c r="K417" s="2">
        <v>2.6</v>
      </c>
      <c r="L417" t="s">
        <v>26</v>
      </c>
      <c r="M417" t="s">
        <v>29</v>
      </c>
      <c r="N417" t="s">
        <v>28</v>
      </c>
      <c r="O417" t="s">
        <v>26</v>
      </c>
      <c r="P417" t="s">
        <v>26</v>
      </c>
      <c r="Q417" s="3">
        <v>40</v>
      </c>
      <c r="R417" t="s">
        <v>34</v>
      </c>
      <c r="S417" t="s">
        <v>88</v>
      </c>
    </row>
    <row r="418" spans="1:19" x14ac:dyDescent="0.25">
      <c r="A418">
        <v>417</v>
      </c>
      <c r="B418">
        <v>36</v>
      </c>
      <c r="C418" t="s">
        <v>19</v>
      </c>
      <c r="D418" t="s">
        <v>133</v>
      </c>
      <c r="E418" t="s">
        <v>69</v>
      </c>
      <c r="F418" s="1">
        <v>55</v>
      </c>
      <c r="G418" t="s">
        <v>48</v>
      </c>
      <c r="H418" t="s">
        <v>23</v>
      </c>
      <c r="I418" t="s">
        <v>79</v>
      </c>
      <c r="J418" t="s">
        <v>39</v>
      </c>
      <c r="K418" s="2">
        <v>3.8</v>
      </c>
      <c r="L418" t="s">
        <v>26</v>
      </c>
      <c r="M418" t="s">
        <v>34</v>
      </c>
      <c r="N418" t="s">
        <v>40</v>
      </c>
      <c r="O418" t="s">
        <v>26</v>
      </c>
      <c r="P418" t="s">
        <v>26</v>
      </c>
      <c r="Q418" s="3">
        <v>24</v>
      </c>
      <c r="R418" t="s">
        <v>34</v>
      </c>
      <c r="S418" t="s">
        <v>30</v>
      </c>
    </row>
    <row r="419" spans="1:19" x14ac:dyDescent="0.25">
      <c r="A419">
        <v>418</v>
      </c>
      <c r="B419">
        <v>23</v>
      </c>
      <c r="C419" t="s">
        <v>19</v>
      </c>
      <c r="D419" t="s">
        <v>42</v>
      </c>
      <c r="E419" t="s">
        <v>43</v>
      </c>
      <c r="F419" s="1">
        <v>81</v>
      </c>
      <c r="G419" t="s">
        <v>91</v>
      </c>
      <c r="H419" t="s">
        <v>23</v>
      </c>
      <c r="I419" t="s">
        <v>118</v>
      </c>
      <c r="J419" t="s">
        <v>58</v>
      </c>
      <c r="K419" s="2">
        <v>4.5</v>
      </c>
      <c r="L419" t="s">
        <v>26</v>
      </c>
      <c r="M419" t="s">
        <v>46</v>
      </c>
      <c r="N419" t="s">
        <v>40</v>
      </c>
      <c r="O419" t="s">
        <v>26</v>
      </c>
      <c r="P419" t="s">
        <v>26</v>
      </c>
      <c r="Q419" s="3">
        <v>48</v>
      </c>
      <c r="R419" t="s">
        <v>59</v>
      </c>
      <c r="S419" t="s">
        <v>60</v>
      </c>
    </row>
    <row r="420" spans="1:19" x14ac:dyDescent="0.25">
      <c r="A420">
        <v>419</v>
      </c>
      <c r="B420">
        <v>18</v>
      </c>
      <c r="C420" t="s">
        <v>19</v>
      </c>
      <c r="D420" t="s">
        <v>31</v>
      </c>
      <c r="E420" t="s">
        <v>21</v>
      </c>
      <c r="F420" s="1">
        <v>73</v>
      </c>
      <c r="G420" t="s">
        <v>115</v>
      </c>
      <c r="H420" t="s">
        <v>23</v>
      </c>
      <c r="I420" t="s">
        <v>75</v>
      </c>
      <c r="J420" t="s">
        <v>39</v>
      </c>
      <c r="K420" s="2">
        <v>3</v>
      </c>
      <c r="L420" t="s">
        <v>26</v>
      </c>
      <c r="M420" t="s">
        <v>35</v>
      </c>
      <c r="N420" t="s">
        <v>55</v>
      </c>
      <c r="O420" t="s">
        <v>26</v>
      </c>
      <c r="P420" t="s">
        <v>26</v>
      </c>
      <c r="Q420" s="3">
        <v>27</v>
      </c>
      <c r="R420" t="s">
        <v>29</v>
      </c>
      <c r="S420" t="s">
        <v>77</v>
      </c>
    </row>
    <row r="421" spans="1:19" x14ac:dyDescent="0.25">
      <c r="A421">
        <v>420</v>
      </c>
      <c r="B421">
        <v>53</v>
      </c>
      <c r="C421" t="s">
        <v>19</v>
      </c>
      <c r="D421" t="s">
        <v>61</v>
      </c>
      <c r="E421" t="s">
        <v>21</v>
      </c>
      <c r="F421" s="1">
        <v>91</v>
      </c>
      <c r="G421" t="s">
        <v>140</v>
      </c>
      <c r="H421" t="s">
        <v>38</v>
      </c>
      <c r="I421" t="s">
        <v>86</v>
      </c>
      <c r="J421" t="s">
        <v>25</v>
      </c>
      <c r="K421" s="2">
        <v>3.5</v>
      </c>
      <c r="L421" t="s">
        <v>26</v>
      </c>
      <c r="M421" t="s">
        <v>27</v>
      </c>
      <c r="N421" t="s">
        <v>40</v>
      </c>
      <c r="O421" t="s">
        <v>26</v>
      </c>
      <c r="P421" t="s">
        <v>26</v>
      </c>
      <c r="Q421" s="3">
        <v>14</v>
      </c>
      <c r="R421" t="s">
        <v>27</v>
      </c>
      <c r="S421" t="s">
        <v>97</v>
      </c>
    </row>
    <row r="422" spans="1:19" x14ac:dyDescent="0.25">
      <c r="A422">
        <v>421</v>
      </c>
      <c r="B422">
        <v>32</v>
      </c>
      <c r="C422" t="s">
        <v>19</v>
      </c>
      <c r="D422" t="s">
        <v>125</v>
      </c>
      <c r="E422" t="s">
        <v>21</v>
      </c>
      <c r="F422" s="1">
        <v>54</v>
      </c>
      <c r="G422" t="s">
        <v>98</v>
      </c>
      <c r="H422" t="s">
        <v>38</v>
      </c>
      <c r="I422" t="s">
        <v>100</v>
      </c>
      <c r="J422" t="s">
        <v>39</v>
      </c>
      <c r="K422" s="2">
        <v>3.8</v>
      </c>
      <c r="L422" t="s">
        <v>26</v>
      </c>
      <c r="M422" t="s">
        <v>27</v>
      </c>
      <c r="N422" t="s">
        <v>40</v>
      </c>
      <c r="O422" t="s">
        <v>26</v>
      </c>
      <c r="P422" t="s">
        <v>26</v>
      </c>
      <c r="Q422" s="3">
        <v>18</v>
      </c>
      <c r="R422" t="s">
        <v>59</v>
      </c>
      <c r="S422" t="s">
        <v>77</v>
      </c>
    </row>
    <row r="423" spans="1:19" x14ac:dyDescent="0.25">
      <c r="A423">
        <v>422</v>
      </c>
      <c r="B423">
        <v>38</v>
      </c>
      <c r="C423" t="s">
        <v>19</v>
      </c>
      <c r="D423" t="s">
        <v>56</v>
      </c>
      <c r="E423" t="s">
        <v>21</v>
      </c>
      <c r="F423" s="1">
        <v>40</v>
      </c>
      <c r="G423" t="s">
        <v>22</v>
      </c>
      <c r="H423" t="s">
        <v>45</v>
      </c>
      <c r="I423" t="s">
        <v>84</v>
      </c>
      <c r="J423" t="s">
        <v>25</v>
      </c>
      <c r="K423" s="2">
        <v>3.5</v>
      </c>
      <c r="L423" t="s">
        <v>26</v>
      </c>
      <c r="M423" t="s">
        <v>35</v>
      </c>
      <c r="N423" t="s">
        <v>55</v>
      </c>
      <c r="O423" t="s">
        <v>26</v>
      </c>
      <c r="P423" t="s">
        <v>26</v>
      </c>
      <c r="Q423" s="3">
        <v>48</v>
      </c>
      <c r="R423" t="s">
        <v>35</v>
      </c>
      <c r="S423" t="s">
        <v>77</v>
      </c>
    </row>
    <row r="424" spans="1:19" x14ac:dyDescent="0.25">
      <c r="A424">
        <v>423</v>
      </c>
      <c r="B424">
        <v>47</v>
      </c>
      <c r="C424" t="s">
        <v>19</v>
      </c>
      <c r="D424" t="s">
        <v>95</v>
      </c>
      <c r="E424" t="s">
        <v>21</v>
      </c>
      <c r="F424" s="1">
        <v>59</v>
      </c>
      <c r="G424" t="s">
        <v>148</v>
      </c>
      <c r="H424" t="s">
        <v>45</v>
      </c>
      <c r="I424" t="s">
        <v>75</v>
      </c>
      <c r="J424" t="s">
        <v>58</v>
      </c>
      <c r="K424" s="2">
        <v>3.1</v>
      </c>
      <c r="L424" t="s">
        <v>26</v>
      </c>
      <c r="M424" t="s">
        <v>34</v>
      </c>
      <c r="N424" t="s">
        <v>76</v>
      </c>
      <c r="O424" t="s">
        <v>26</v>
      </c>
      <c r="P424" t="s">
        <v>26</v>
      </c>
      <c r="Q424" s="3">
        <v>32</v>
      </c>
      <c r="R424" t="s">
        <v>59</v>
      </c>
      <c r="S424" t="s">
        <v>50</v>
      </c>
    </row>
    <row r="425" spans="1:19" x14ac:dyDescent="0.25">
      <c r="A425">
        <v>424</v>
      </c>
      <c r="B425">
        <v>46</v>
      </c>
      <c r="C425" t="s">
        <v>19</v>
      </c>
      <c r="D425" t="s">
        <v>119</v>
      </c>
      <c r="E425" t="s">
        <v>69</v>
      </c>
      <c r="F425" s="1">
        <v>26</v>
      </c>
      <c r="G425" t="s">
        <v>85</v>
      </c>
      <c r="H425" t="s">
        <v>23</v>
      </c>
      <c r="I425" t="s">
        <v>86</v>
      </c>
      <c r="J425" t="s">
        <v>39</v>
      </c>
      <c r="K425" s="2">
        <v>3</v>
      </c>
      <c r="L425" t="s">
        <v>26</v>
      </c>
      <c r="M425" t="s">
        <v>34</v>
      </c>
      <c r="N425" t="s">
        <v>76</v>
      </c>
      <c r="O425" t="s">
        <v>26</v>
      </c>
      <c r="P425" t="s">
        <v>26</v>
      </c>
      <c r="Q425" s="3">
        <v>21</v>
      </c>
      <c r="R425" t="s">
        <v>27</v>
      </c>
      <c r="S425" t="s">
        <v>77</v>
      </c>
    </row>
    <row r="426" spans="1:19" x14ac:dyDescent="0.25">
      <c r="A426">
        <v>425</v>
      </c>
      <c r="B426">
        <v>66</v>
      </c>
      <c r="C426" t="s">
        <v>19</v>
      </c>
      <c r="D426" t="s">
        <v>31</v>
      </c>
      <c r="E426" t="s">
        <v>21</v>
      </c>
      <c r="F426" s="1">
        <v>23</v>
      </c>
      <c r="G426" t="s">
        <v>115</v>
      </c>
      <c r="H426" t="s">
        <v>45</v>
      </c>
      <c r="I426" t="s">
        <v>81</v>
      </c>
      <c r="J426" t="s">
        <v>25</v>
      </c>
      <c r="K426" s="2">
        <v>4.3</v>
      </c>
      <c r="L426" t="s">
        <v>26</v>
      </c>
      <c r="M426" t="s">
        <v>27</v>
      </c>
      <c r="N426" t="s">
        <v>55</v>
      </c>
      <c r="O426" t="s">
        <v>26</v>
      </c>
      <c r="P426" t="s">
        <v>26</v>
      </c>
      <c r="Q426" s="3">
        <v>42</v>
      </c>
      <c r="R426" t="s">
        <v>46</v>
      </c>
      <c r="S426" t="s">
        <v>30</v>
      </c>
    </row>
    <row r="427" spans="1:19" x14ac:dyDescent="0.25">
      <c r="A427">
        <v>426</v>
      </c>
      <c r="B427">
        <v>40</v>
      </c>
      <c r="C427" t="s">
        <v>19</v>
      </c>
      <c r="D427" t="s">
        <v>36</v>
      </c>
      <c r="E427" t="s">
        <v>21</v>
      </c>
      <c r="F427" s="1">
        <v>87</v>
      </c>
      <c r="G427" t="s">
        <v>114</v>
      </c>
      <c r="H427" t="s">
        <v>38</v>
      </c>
      <c r="I427" t="s">
        <v>86</v>
      </c>
      <c r="J427" t="s">
        <v>25</v>
      </c>
      <c r="K427" s="2">
        <v>3.3</v>
      </c>
      <c r="L427" t="s">
        <v>26</v>
      </c>
      <c r="M427" t="s">
        <v>59</v>
      </c>
      <c r="N427" t="s">
        <v>76</v>
      </c>
      <c r="O427" t="s">
        <v>26</v>
      </c>
      <c r="P427" t="s">
        <v>26</v>
      </c>
      <c r="Q427" s="3">
        <v>4</v>
      </c>
      <c r="R427" t="s">
        <v>27</v>
      </c>
      <c r="S427" t="s">
        <v>60</v>
      </c>
    </row>
    <row r="428" spans="1:19" x14ac:dyDescent="0.25">
      <c r="A428">
        <v>427</v>
      </c>
      <c r="B428">
        <v>43</v>
      </c>
      <c r="C428" t="s">
        <v>19</v>
      </c>
      <c r="D428" t="s">
        <v>95</v>
      </c>
      <c r="E428" t="s">
        <v>21</v>
      </c>
      <c r="F428" s="1">
        <v>71</v>
      </c>
      <c r="G428" t="s">
        <v>62</v>
      </c>
      <c r="H428" t="s">
        <v>45</v>
      </c>
      <c r="I428" t="s">
        <v>84</v>
      </c>
      <c r="J428" t="s">
        <v>25</v>
      </c>
      <c r="K428" s="2">
        <v>4.7</v>
      </c>
      <c r="L428" t="s">
        <v>26</v>
      </c>
      <c r="M428" t="s">
        <v>35</v>
      </c>
      <c r="N428" t="s">
        <v>28</v>
      </c>
      <c r="O428" t="s">
        <v>26</v>
      </c>
      <c r="P428" t="s">
        <v>26</v>
      </c>
      <c r="Q428" s="3">
        <v>19</v>
      </c>
      <c r="R428" t="s">
        <v>27</v>
      </c>
      <c r="S428" t="s">
        <v>60</v>
      </c>
    </row>
    <row r="429" spans="1:19" x14ac:dyDescent="0.25">
      <c r="A429">
        <v>428</v>
      </c>
      <c r="B429">
        <v>58</v>
      </c>
      <c r="C429" t="s">
        <v>19</v>
      </c>
      <c r="D429" t="s">
        <v>132</v>
      </c>
      <c r="E429" t="s">
        <v>69</v>
      </c>
      <c r="F429" s="1">
        <v>91</v>
      </c>
      <c r="G429" t="s">
        <v>115</v>
      </c>
      <c r="H429" t="s">
        <v>23</v>
      </c>
      <c r="I429" t="s">
        <v>94</v>
      </c>
      <c r="J429" t="s">
        <v>25</v>
      </c>
      <c r="K429" s="2">
        <v>4.5</v>
      </c>
      <c r="L429" t="s">
        <v>26</v>
      </c>
      <c r="M429" t="s">
        <v>35</v>
      </c>
      <c r="N429" t="s">
        <v>76</v>
      </c>
      <c r="O429" t="s">
        <v>26</v>
      </c>
      <c r="P429" t="s">
        <v>26</v>
      </c>
      <c r="Q429" s="3">
        <v>6</v>
      </c>
      <c r="R429" t="s">
        <v>27</v>
      </c>
      <c r="S429" t="s">
        <v>60</v>
      </c>
    </row>
    <row r="430" spans="1:19" x14ac:dyDescent="0.25">
      <c r="A430">
        <v>429</v>
      </c>
      <c r="B430">
        <v>21</v>
      </c>
      <c r="C430" t="s">
        <v>19</v>
      </c>
      <c r="D430" t="s">
        <v>64</v>
      </c>
      <c r="E430" t="s">
        <v>65</v>
      </c>
      <c r="F430" s="1">
        <v>64</v>
      </c>
      <c r="G430" t="s">
        <v>52</v>
      </c>
      <c r="H430" t="s">
        <v>92</v>
      </c>
      <c r="I430" t="s">
        <v>81</v>
      </c>
      <c r="J430" t="s">
        <v>25</v>
      </c>
      <c r="K430" s="2">
        <v>2.9</v>
      </c>
      <c r="L430" t="s">
        <v>26</v>
      </c>
      <c r="M430" t="s">
        <v>29</v>
      </c>
      <c r="N430" t="s">
        <v>40</v>
      </c>
      <c r="O430" t="s">
        <v>26</v>
      </c>
      <c r="P430" t="s">
        <v>26</v>
      </c>
      <c r="Q430" s="3">
        <v>2</v>
      </c>
      <c r="R430" t="s">
        <v>59</v>
      </c>
      <c r="S430" t="s">
        <v>30</v>
      </c>
    </row>
    <row r="431" spans="1:19" x14ac:dyDescent="0.25">
      <c r="A431">
        <v>430</v>
      </c>
      <c r="B431">
        <v>42</v>
      </c>
      <c r="C431" t="s">
        <v>19</v>
      </c>
      <c r="D431" t="s">
        <v>42</v>
      </c>
      <c r="E431" t="s">
        <v>43</v>
      </c>
      <c r="F431" s="1">
        <v>94</v>
      </c>
      <c r="G431" t="s">
        <v>149</v>
      </c>
      <c r="H431" t="s">
        <v>45</v>
      </c>
      <c r="I431" t="s">
        <v>81</v>
      </c>
      <c r="J431" t="s">
        <v>25</v>
      </c>
      <c r="K431" s="2">
        <v>4.0999999999999996</v>
      </c>
      <c r="L431" t="s">
        <v>26</v>
      </c>
      <c r="M431" t="s">
        <v>29</v>
      </c>
      <c r="N431" t="s">
        <v>72</v>
      </c>
      <c r="O431" t="s">
        <v>26</v>
      </c>
      <c r="P431" t="s">
        <v>26</v>
      </c>
      <c r="Q431" s="3">
        <v>21</v>
      </c>
      <c r="R431" t="s">
        <v>35</v>
      </c>
      <c r="S431" t="s">
        <v>30</v>
      </c>
    </row>
    <row r="432" spans="1:19" x14ac:dyDescent="0.25">
      <c r="A432">
        <v>431</v>
      </c>
      <c r="B432">
        <v>24</v>
      </c>
      <c r="C432" t="s">
        <v>19</v>
      </c>
      <c r="D432" t="s">
        <v>56</v>
      </c>
      <c r="E432" t="s">
        <v>21</v>
      </c>
      <c r="F432" s="1">
        <v>40</v>
      </c>
      <c r="G432" t="s">
        <v>105</v>
      </c>
      <c r="H432" t="s">
        <v>45</v>
      </c>
      <c r="I432" t="s">
        <v>110</v>
      </c>
      <c r="J432" t="s">
        <v>54</v>
      </c>
      <c r="K432" s="2">
        <v>3.5</v>
      </c>
      <c r="L432" t="s">
        <v>26</v>
      </c>
      <c r="M432" t="s">
        <v>59</v>
      </c>
      <c r="N432" t="s">
        <v>76</v>
      </c>
      <c r="O432" t="s">
        <v>26</v>
      </c>
      <c r="P432" t="s">
        <v>26</v>
      </c>
      <c r="Q432" s="3">
        <v>40</v>
      </c>
      <c r="R432" t="s">
        <v>59</v>
      </c>
      <c r="S432" t="s">
        <v>50</v>
      </c>
    </row>
    <row r="433" spans="1:19" x14ac:dyDescent="0.25">
      <c r="A433">
        <v>432</v>
      </c>
      <c r="B433">
        <v>43</v>
      </c>
      <c r="C433" t="s">
        <v>19</v>
      </c>
      <c r="D433" t="s">
        <v>124</v>
      </c>
      <c r="E433" t="s">
        <v>69</v>
      </c>
      <c r="F433" s="1">
        <v>76</v>
      </c>
      <c r="G433" t="s">
        <v>83</v>
      </c>
      <c r="H433" t="s">
        <v>23</v>
      </c>
      <c r="I433" t="s">
        <v>109</v>
      </c>
      <c r="J433" t="s">
        <v>25</v>
      </c>
      <c r="K433" s="2">
        <v>3.4</v>
      </c>
      <c r="L433" t="s">
        <v>26</v>
      </c>
      <c r="M433" t="s">
        <v>27</v>
      </c>
      <c r="N433" t="s">
        <v>76</v>
      </c>
      <c r="O433" t="s">
        <v>26</v>
      </c>
      <c r="P433" t="s">
        <v>26</v>
      </c>
      <c r="Q433" s="3">
        <v>33</v>
      </c>
      <c r="R433" t="s">
        <v>35</v>
      </c>
      <c r="S433" t="s">
        <v>30</v>
      </c>
    </row>
    <row r="434" spans="1:19" x14ac:dyDescent="0.25">
      <c r="A434">
        <v>433</v>
      </c>
      <c r="B434">
        <v>47</v>
      </c>
      <c r="C434" t="s">
        <v>19</v>
      </c>
      <c r="D434" t="s">
        <v>56</v>
      </c>
      <c r="E434" t="s">
        <v>21</v>
      </c>
      <c r="F434" s="1">
        <v>86</v>
      </c>
      <c r="G434" t="s">
        <v>116</v>
      </c>
      <c r="H434" t="s">
        <v>38</v>
      </c>
      <c r="I434" t="s">
        <v>126</v>
      </c>
      <c r="J434" t="s">
        <v>58</v>
      </c>
      <c r="K434" s="2">
        <v>3.3</v>
      </c>
      <c r="L434" t="s">
        <v>26</v>
      </c>
      <c r="M434" t="s">
        <v>59</v>
      </c>
      <c r="N434" t="s">
        <v>40</v>
      </c>
      <c r="O434" t="s">
        <v>26</v>
      </c>
      <c r="P434" t="s">
        <v>26</v>
      </c>
      <c r="Q434" s="3">
        <v>26</v>
      </c>
      <c r="R434" t="s">
        <v>29</v>
      </c>
      <c r="S434" t="s">
        <v>41</v>
      </c>
    </row>
    <row r="435" spans="1:19" x14ac:dyDescent="0.25">
      <c r="A435">
        <v>434</v>
      </c>
      <c r="B435">
        <v>49</v>
      </c>
      <c r="C435" t="s">
        <v>19</v>
      </c>
      <c r="D435" t="s">
        <v>87</v>
      </c>
      <c r="E435" t="s">
        <v>21</v>
      </c>
      <c r="F435" s="1">
        <v>92</v>
      </c>
      <c r="G435" t="s">
        <v>90</v>
      </c>
      <c r="H435" t="s">
        <v>45</v>
      </c>
      <c r="I435" t="s">
        <v>121</v>
      </c>
      <c r="J435" t="s">
        <v>58</v>
      </c>
      <c r="K435" s="2">
        <v>3.2</v>
      </c>
      <c r="L435" t="s">
        <v>26</v>
      </c>
      <c r="M435" t="s">
        <v>34</v>
      </c>
      <c r="N435" t="s">
        <v>76</v>
      </c>
      <c r="O435" t="s">
        <v>26</v>
      </c>
      <c r="P435" t="s">
        <v>26</v>
      </c>
      <c r="Q435" s="3">
        <v>23</v>
      </c>
      <c r="R435" t="s">
        <v>27</v>
      </c>
      <c r="S435" t="s">
        <v>30</v>
      </c>
    </row>
    <row r="436" spans="1:19" x14ac:dyDescent="0.25">
      <c r="A436">
        <v>435</v>
      </c>
      <c r="B436">
        <v>50</v>
      </c>
      <c r="C436" t="s">
        <v>19</v>
      </c>
      <c r="D436" t="s">
        <v>73</v>
      </c>
      <c r="E436" t="s">
        <v>43</v>
      </c>
      <c r="F436" s="1">
        <v>52</v>
      </c>
      <c r="G436" t="s">
        <v>101</v>
      </c>
      <c r="H436" t="s">
        <v>23</v>
      </c>
      <c r="I436" t="s">
        <v>71</v>
      </c>
      <c r="J436" t="s">
        <v>39</v>
      </c>
      <c r="K436" s="2">
        <v>4</v>
      </c>
      <c r="L436" t="s">
        <v>26</v>
      </c>
      <c r="M436" t="s">
        <v>34</v>
      </c>
      <c r="N436" t="s">
        <v>76</v>
      </c>
      <c r="O436" t="s">
        <v>26</v>
      </c>
      <c r="P436" t="s">
        <v>26</v>
      </c>
      <c r="Q436" s="3">
        <v>39</v>
      </c>
      <c r="R436" t="s">
        <v>46</v>
      </c>
      <c r="S436" t="s">
        <v>97</v>
      </c>
    </row>
    <row r="437" spans="1:19" x14ac:dyDescent="0.25">
      <c r="A437">
        <v>436</v>
      </c>
      <c r="B437">
        <v>51</v>
      </c>
      <c r="C437" t="s">
        <v>19</v>
      </c>
      <c r="D437" t="s">
        <v>64</v>
      </c>
      <c r="E437" t="s">
        <v>65</v>
      </c>
      <c r="F437" s="1">
        <v>28</v>
      </c>
      <c r="G437" t="s">
        <v>57</v>
      </c>
      <c r="H437" t="s">
        <v>92</v>
      </c>
      <c r="I437" t="s">
        <v>79</v>
      </c>
      <c r="J437" t="s">
        <v>25</v>
      </c>
      <c r="K437" s="2">
        <v>3.6</v>
      </c>
      <c r="L437" t="s">
        <v>26</v>
      </c>
      <c r="M437" t="s">
        <v>46</v>
      </c>
      <c r="N437" t="s">
        <v>47</v>
      </c>
      <c r="O437" t="s">
        <v>26</v>
      </c>
      <c r="P437" t="s">
        <v>26</v>
      </c>
      <c r="Q437" s="3">
        <v>42</v>
      </c>
      <c r="R437" t="s">
        <v>34</v>
      </c>
      <c r="S437" t="s">
        <v>88</v>
      </c>
    </row>
    <row r="438" spans="1:19" x14ac:dyDescent="0.25">
      <c r="A438">
        <v>437</v>
      </c>
      <c r="B438">
        <v>40</v>
      </c>
      <c r="C438" t="s">
        <v>19</v>
      </c>
      <c r="D438" t="s">
        <v>95</v>
      </c>
      <c r="E438" t="s">
        <v>21</v>
      </c>
      <c r="F438" s="1">
        <v>46</v>
      </c>
      <c r="G438" t="s">
        <v>122</v>
      </c>
      <c r="H438" t="s">
        <v>23</v>
      </c>
      <c r="I438" t="s">
        <v>109</v>
      </c>
      <c r="J438" t="s">
        <v>54</v>
      </c>
      <c r="K438" s="2">
        <v>4.5999999999999996</v>
      </c>
      <c r="L438" t="s">
        <v>26</v>
      </c>
      <c r="M438" t="s">
        <v>35</v>
      </c>
      <c r="N438" t="s">
        <v>40</v>
      </c>
      <c r="O438" t="s">
        <v>26</v>
      </c>
      <c r="P438" t="s">
        <v>26</v>
      </c>
      <c r="Q438" s="3">
        <v>41</v>
      </c>
      <c r="R438" t="s">
        <v>34</v>
      </c>
      <c r="S438" t="s">
        <v>41</v>
      </c>
    </row>
    <row r="439" spans="1:19" x14ac:dyDescent="0.25">
      <c r="A439">
        <v>438</v>
      </c>
      <c r="B439">
        <v>45</v>
      </c>
      <c r="C439" t="s">
        <v>19</v>
      </c>
      <c r="D439" t="s">
        <v>106</v>
      </c>
      <c r="E439" t="s">
        <v>69</v>
      </c>
      <c r="F439" s="1">
        <v>50</v>
      </c>
      <c r="G439" t="s">
        <v>130</v>
      </c>
      <c r="H439" t="s">
        <v>45</v>
      </c>
      <c r="I439" t="s">
        <v>100</v>
      </c>
      <c r="J439" t="s">
        <v>54</v>
      </c>
      <c r="K439" s="2">
        <v>2.6</v>
      </c>
      <c r="L439" t="s">
        <v>26</v>
      </c>
      <c r="M439" t="s">
        <v>27</v>
      </c>
      <c r="N439" t="s">
        <v>47</v>
      </c>
      <c r="O439" t="s">
        <v>26</v>
      </c>
      <c r="P439" t="s">
        <v>26</v>
      </c>
      <c r="Q439" s="3">
        <v>41</v>
      </c>
      <c r="R439" t="s">
        <v>46</v>
      </c>
      <c r="S439" t="s">
        <v>50</v>
      </c>
    </row>
    <row r="440" spans="1:19" x14ac:dyDescent="0.25">
      <c r="A440">
        <v>439</v>
      </c>
      <c r="B440">
        <v>52</v>
      </c>
      <c r="C440" t="s">
        <v>19</v>
      </c>
      <c r="D440" t="s">
        <v>133</v>
      </c>
      <c r="E440" t="s">
        <v>69</v>
      </c>
      <c r="F440" s="1">
        <v>23</v>
      </c>
      <c r="G440" t="s">
        <v>146</v>
      </c>
      <c r="H440" t="s">
        <v>45</v>
      </c>
      <c r="I440" t="s">
        <v>49</v>
      </c>
      <c r="J440" t="s">
        <v>25</v>
      </c>
      <c r="K440" s="2">
        <v>4.3</v>
      </c>
      <c r="L440" t="s">
        <v>26</v>
      </c>
      <c r="M440" t="s">
        <v>35</v>
      </c>
      <c r="N440" t="s">
        <v>28</v>
      </c>
      <c r="O440" t="s">
        <v>26</v>
      </c>
      <c r="P440" t="s">
        <v>26</v>
      </c>
      <c r="Q440" s="3">
        <v>12</v>
      </c>
      <c r="R440" t="s">
        <v>27</v>
      </c>
      <c r="S440" t="s">
        <v>30</v>
      </c>
    </row>
    <row r="441" spans="1:19" x14ac:dyDescent="0.25">
      <c r="A441">
        <v>440</v>
      </c>
      <c r="B441">
        <v>62</v>
      </c>
      <c r="C441" t="s">
        <v>19</v>
      </c>
      <c r="D441" t="s">
        <v>102</v>
      </c>
      <c r="E441" t="s">
        <v>65</v>
      </c>
      <c r="F441" s="1">
        <v>50</v>
      </c>
      <c r="G441" t="s">
        <v>135</v>
      </c>
      <c r="H441" t="s">
        <v>45</v>
      </c>
      <c r="I441" t="s">
        <v>49</v>
      </c>
      <c r="J441" t="s">
        <v>54</v>
      </c>
      <c r="K441" s="2">
        <v>3.4</v>
      </c>
      <c r="L441" t="s">
        <v>26</v>
      </c>
      <c r="M441" t="s">
        <v>46</v>
      </c>
      <c r="N441" t="s">
        <v>40</v>
      </c>
      <c r="O441" t="s">
        <v>26</v>
      </c>
      <c r="P441" t="s">
        <v>26</v>
      </c>
      <c r="Q441" s="3">
        <v>31</v>
      </c>
      <c r="R441" t="s">
        <v>35</v>
      </c>
      <c r="S441" t="s">
        <v>88</v>
      </c>
    </row>
    <row r="442" spans="1:19" x14ac:dyDescent="0.25">
      <c r="A442">
        <v>441</v>
      </c>
      <c r="B442">
        <v>20</v>
      </c>
      <c r="C442" t="s">
        <v>19</v>
      </c>
      <c r="D442" t="s">
        <v>56</v>
      </c>
      <c r="E442" t="s">
        <v>21</v>
      </c>
      <c r="F442" s="1">
        <v>89</v>
      </c>
      <c r="G442" t="s">
        <v>101</v>
      </c>
      <c r="H442" t="s">
        <v>92</v>
      </c>
      <c r="I442" t="s">
        <v>33</v>
      </c>
      <c r="J442" t="s">
        <v>25</v>
      </c>
      <c r="K442" s="2">
        <v>3.5</v>
      </c>
      <c r="L442" t="s">
        <v>26</v>
      </c>
      <c r="M442" t="s">
        <v>59</v>
      </c>
      <c r="N442" t="s">
        <v>76</v>
      </c>
      <c r="O442" t="s">
        <v>26</v>
      </c>
      <c r="P442" t="s">
        <v>26</v>
      </c>
      <c r="Q442" s="3">
        <v>34</v>
      </c>
      <c r="R442" t="s">
        <v>59</v>
      </c>
      <c r="S442" t="s">
        <v>30</v>
      </c>
    </row>
    <row r="443" spans="1:19" x14ac:dyDescent="0.25">
      <c r="A443">
        <v>442</v>
      </c>
      <c r="B443">
        <v>43</v>
      </c>
      <c r="C443" t="s">
        <v>19</v>
      </c>
      <c r="D443" t="s">
        <v>104</v>
      </c>
      <c r="E443" t="s">
        <v>21</v>
      </c>
      <c r="F443" s="1">
        <v>81</v>
      </c>
      <c r="G443" t="s">
        <v>103</v>
      </c>
      <c r="H443" t="s">
        <v>45</v>
      </c>
      <c r="I443" t="s">
        <v>33</v>
      </c>
      <c r="J443" t="s">
        <v>25</v>
      </c>
      <c r="K443" s="2">
        <v>4.2</v>
      </c>
      <c r="L443" t="s">
        <v>26</v>
      </c>
      <c r="M443" t="s">
        <v>34</v>
      </c>
      <c r="N443" t="s">
        <v>55</v>
      </c>
      <c r="O443" t="s">
        <v>26</v>
      </c>
      <c r="P443" t="s">
        <v>26</v>
      </c>
      <c r="Q443" s="3">
        <v>32</v>
      </c>
      <c r="R443" t="s">
        <v>27</v>
      </c>
      <c r="S443" t="s">
        <v>50</v>
      </c>
    </row>
    <row r="444" spans="1:19" x14ac:dyDescent="0.25">
      <c r="A444">
        <v>443</v>
      </c>
      <c r="B444">
        <v>29</v>
      </c>
      <c r="C444" t="s">
        <v>19</v>
      </c>
      <c r="D444" t="s">
        <v>89</v>
      </c>
      <c r="E444" t="s">
        <v>69</v>
      </c>
      <c r="F444" s="1">
        <v>69</v>
      </c>
      <c r="G444" t="s">
        <v>151</v>
      </c>
      <c r="H444" t="s">
        <v>45</v>
      </c>
      <c r="I444" t="s">
        <v>79</v>
      </c>
      <c r="J444" t="s">
        <v>58</v>
      </c>
      <c r="K444" s="2">
        <v>3.5</v>
      </c>
      <c r="L444" t="s">
        <v>26</v>
      </c>
      <c r="M444" t="s">
        <v>34</v>
      </c>
      <c r="N444" t="s">
        <v>76</v>
      </c>
      <c r="O444" t="s">
        <v>26</v>
      </c>
      <c r="P444" t="s">
        <v>26</v>
      </c>
      <c r="Q444" s="3">
        <v>31</v>
      </c>
      <c r="R444" t="s">
        <v>27</v>
      </c>
      <c r="S444" t="s">
        <v>60</v>
      </c>
    </row>
    <row r="445" spans="1:19" x14ac:dyDescent="0.25">
      <c r="A445">
        <v>444</v>
      </c>
      <c r="B445">
        <v>22</v>
      </c>
      <c r="C445" t="s">
        <v>19</v>
      </c>
      <c r="D445" t="s">
        <v>89</v>
      </c>
      <c r="E445" t="s">
        <v>69</v>
      </c>
      <c r="F445" s="1">
        <v>67</v>
      </c>
      <c r="G445" t="s">
        <v>78</v>
      </c>
      <c r="H445" t="s">
        <v>45</v>
      </c>
      <c r="I445" t="s">
        <v>136</v>
      </c>
      <c r="J445" t="s">
        <v>54</v>
      </c>
      <c r="K445" s="2">
        <v>3.6</v>
      </c>
      <c r="L445" t="s">
        <v>26</v>
      </c>
      <c r="M445" t="s">
        <v>46</v>
      </c>
      <c r="N445" t="s">
        <v>40</v>
      </c>
      <c r="O445" t="s">
        <v>26</v>
      </c>
      <c r="P445" t="s">
        <v>26</v>
      </c>
      <c r="Q445" s="3">
        <v>24</v>
      </c>
      <c r="R445" t="s">
        <v>46</v>
      </c>
      <c r="S445" t="s">
        <v>50</v>
      </c>
    </row>
    <row r="446" spans="1:19" x14ac:dyDescent="0.25">
      <c r="A446">
        <v>445</v>
      </c>
      <c r="B446">
        <v>48</v>
      </c>
      <c r="C446" t="s">
        <v>19</v>
      </c>
      <c r="D446" t="s">
        <v>82</v>
      </c>
      <c r="E446" t="s">
        <v>21</v>
      </c>
      <c r="F446" s="1">
        <v>20</v>
      </c>
      <c r="G446" t="s">
        <v>99</v>
      </c>
      <c r="H446" t="s">
        <v>45</v>
      </c>
      <c r="I446" t="s">
        <v>108</v>
      </c>
      <c r="J446" t="s">
        <v>54</v>
      </c>
      <c r="K446" s="2">
        <v>4.3</v>
      </c>
      <c r="L446" t="s">
        <v>26</v>
      </c>
      <c r="M446" t="s">
        <v>59</v>
      </c>
      <c r="N446" t="s">
        <v>76</v>
      </c>
      <c r="O446" t="s">
        <v>26</v>
      </c>
      <c r="P446" t="s">
        <v>26</v>
      </c>
      <c r="Q446" s="3">
        <v>31</v>
      </c>
      <c r="R446" t="s">
        <v>59</v>
      </c>
      <c r="S446" t="s">
        <v>50</v>
      </c>
    </row>
    <row r="447" spans="1:19" x14ac:dyDescent="0.25">
      <c r="A447">
        <v>446</v>
      </c>
      <c r="B447">
        <v>42</v>
      </c>
      <c r="C447" t="s">
        <v>19</v>
      </c>
      <c r="D447" t="s">
        <v>137</v>
      </c>
      <c r="E447" t="s">
        <v>43</v>
      </c>
      <c r="F447" s="1">
        <v>29</v>
      </c>
      <c r="G447" t="s">
        <v>146</v>
      </c>
      <c r="H447" t="s">
        <v>45</v>
      </c>
      <c r="I447" t="s">
        <v>79</v>
      </c>
      <c r="J447" t="s">
        <v>58</v>
      </c>
      <c r="K447" s="2">
        <v>4.9000000000000004</v>
      </c>
      <c r="L447" t="s">
        <v>26</v>
      </c>
      <c r="M447" t="s">
        <v>34</v>
      </c>
      <c r="N447" t="s">
        <v>55</v>
      </c>
      <c r="O447" t="s">
        <v>26</v>
      </c>
      <c r="P447" t="s">
        <v>26</v>
      </c>
      <c r="Q447" s="3">
        <v>18</v>
      </c>
      <c r="R447" t="s">
        <v>29</v>
      </c>
      <c r="S447" t="s">
        <v>50</v>
      </c>
    </row>
    <row r="448" spans="1:19" x14ac:dyDescent="0.25">
      <c r="A448">
        <v>447</v>
      </c>
      <c r="B448">
        <v>19</v>
      </c>
      <c r="C448" t="s">
        <v>19</v>
      </c>
      <c r="D448" t="s">
        <v>56</v>
      </c>
      <c r="E448" t="s">
        <v>21</v>
      </c>
      <c r="F448" s="1">
        <v>74</v>
      </c>
      <c r="G448" t="s">
        <v>66</v>
      </c>
      <c r="H448" t="s">
        <v>45</v>
      </c>
      <c r="I448" t="s">
        <v>67</v>
      </c>
      <c r="J448" t="s">
        <v>54</v>
      </c>
      <c r="K448" s="2">
        <v>4.0999999999999996</v>
      </c>
      <c r="L448" t="s">
        <v>26</v>
      </c>
      <c r="M448" t="s">
        <v>34</v>
      </c>
      <c r="N448" t="s">
        <v>76</v>
      </c>
      <c r="O448" t="s">
        <v>26</v>
      </c>
      <c r="P448" t="s">
        <v>26</v>
      </c>
      <c r="Q448" s="3">
        <v>15</v>
      </c>
      <c r="R448" t="s">
        <v>29</v>
      </c>
      <c r="S448" t="s">
        <v>88</v>
      </c>
    </row>
    <row r="449" spans="1:19" x14ac:dyDescent="0.25">
      <c r="A449">
        <v>448</v>
      </c>
      <c r="B449">
        <v>60</v>
      </c>
      <c r="C449" t="s">
        <v>19</v>
      </c>
      <c r="D449" t="s">
        <v>61</v>
      </c>
      <c r="E449" t="s">
        <v>21</v>
      </c>
      <c r="F449" s="1">
        <v>82</v>
      </c>
      <c r="G449" t="s">
        <v>149</v>
      </c>
      <c r="H449" t="s">
        <v>38</v>
      </c>
      <c r="I449" t="s">
        <v>49</v>
      </c>
      <c r="J449" t="s">
        <v>39</v>
      </c>
      <c r="K449" s="2">
        <v>3.6</v>
      </c>
      <c r="L449" t="s">
        <v>26</v>
      </c>
      <c r="M449" t="s">
        <v>29</v>
      </c>
      <c r="N449" t="s">
        <v>55</v>
      </c>
      <c r="O449" t="s">
        <v>26</v>
      </c>
      <c r="P449" t="s">
        <v>26</v>
      </c>
      <c r="Q449" s="3">
        <v>7</v>
      </c>
      <c r="R449" t="s">
        <v>34</v>
      </c>
      <c r="S449" t="s">
        <v>97</v>
      </c>
    </row>
    <row r="450" spans="1:19" x14ac:dyDescent="0.25">
      <c r="A450">
        <v>449</v>
      </c>
      <c r="B450">
        <v>32</v>
      </c>
      <c r="C450" t="s">
        <v>19</v>
      </c>
      <c r="D450" t="s">
        <v>143</v>
      </c>
      <c r="E450" t="s">
        <v>69</v>
      </c>
      <c r="F450" s="1">
        <v>23</v>
      </c>
      <c r="G450" t="s">
        <v>70</v>
      </c>
      <c r="H450" t="s">
        <v>45</v>
      </c>
      <c r="I450" t="s">
        <v>134</v>
      </c>
      <c r="J450" t="s">
        <v>54</v>
      </c>
      <c r="K450" s="2">
        <v>3.4</v>
      </c>
      <c r="L450" t="s">
        <v>26</v>
      </c>
      <c r="M450" t="s">
        <v>27</v>
      </c>
      <c r="N450" t="s">
        <v>47</v>
      </c>
      <c r="O450" t="s">
        <v>26</v>
      </c>
      <c r="P450" t="s">
        <v>26</v>
      </c>
      <c r="Q450" s="3">
        <v>35</v>
      </c>
      <c r="R450" t="s">
        <v>34</v>
      </c>
      <c r="S450" t="s">
        <v>30</v>
      </c>
    </row>
    <row r="451" spans="1:19" x14ac:dyDescent="0.25">
      <c r="A451">
        <v>450</v>
      </c>
      <c r="B451">
        <v>26</v>
      </c>
      <c r="C451" t="s">
        <v>19</v>
      </c>
      <c r="D451" t="s">
        <v>106</v>
      </c>
      <c r="E451" t="s">
        <v>69</v>
      </c>
      <c r="F451" s="1">
        <v>45</v>
      </c>
      <c r="G451" t="s">
        <v>85</v>
      </c>
      <c r="H451" t="s">
        <v>23</v>
      </c>
      <c r="I451" t="s">
        <v>100</v>
      </c>
      <c r="J451" t="s">
        <v>54</v>
      </c>
      <c r="K451" s="2">
        <v>2.9</v>
      </c>
      <c r="L451" t="s">
        <v>26</v>
      </c>
      <c r="M451" t="s">
        <v>46</v>
      </c>
      <c r="N451" t="s">
        <v>72</v>
      </c>
      <c r="O451" t="s">
        <v>26</v>
      </c>
      <c r="P451" t="s">
        <v>26</v>
      </c>
      <c r="Q451" s="3">
        <v>35</v>
      </c>
      <c r="R451" t="s">
        <v>34</v>
      </c>
      <c r="S451" t="s">
        <v>88</v>
      </c>
    </row>
    <row r="452" spans="1:19" x14ac:dyDescent="0.25">
      <c r="A452">
        <v>451</v>
      </c>
      <c r="B452">
        <v>25</v>
      </c>
      <c r="C452" t="s">
        <v>19</v>
      </c>
      <c r="D452" t="s">
        <v>137</v>
      </c>
      <c r="E452" t="s">
        <v>43</v>
      </c>
      <c r="F452" s="1">
        <v>21</v>
      </c>
      <c r="G452" t="s">
        <v>139</v>
      </c>
      <c r="H452" t="s">
        <v>23</v>
      </c>
      <c r="I452" t="s">
        <v>118</v>
      </c>
      <c r="J452" t="s">
        <v>54</v>
      </c>
      <c r="K452" s="2">
        <v>2.7</v>
      </c>
      <c r="L452" t="s">
        <v>26</v>
      </c>
      <c r="M452" t="s">
        <v>29</v>
      </c>
      <c r="N452" t="s">
        <v>76</v>
      </c>
      <c r="O452" t="s">
        <v>26</v>
      </c>
      <c r="P452" t="s">
        <v>26</v>
      </c>
      <c r="Q452" s="3">
        <v>19</v>
      </c>
      <c r="R452" t="s">
        <v>27</v>
      </c>
      <c r="S452" t="s">
        <v>88</v>
      </c>
    </row>
    <row r="453" spans="1:19" x14ac:dyDescent="0.25">
      <c r="A453">
        <v>452</v>
      </c>
      <c r="B453">
        <v>66</v>
      </c>
      <c r="C453" t="s">
        <v>19</v>
      </c>
      <c r="D453" t="s">
        <v>106</v>
      </c>
      <c r="E453" t="s">
        <v>69</v>
      </c>
      <c r="F453" s="1">
        <v>31</v>
      </c>
      <c r="G453" t="s">
        <v>141</v>
      </c>
      <c r="H453" t="s">
        <v>45</v>
      </c>
      <c r="I453" t="s">
        <v>71</v>
      </c>
      <c r="J453" t="s">
        <v>54</v>
      </c>
      <c r="K453" s="2">
        <v>4.3</v>
      </c>
      <c r="L453" t="s">
        <v>26</v>
      </c>
      <c r="M453" t="s">
        <v>35</v>
      </c>
      <c r="N453" t="s">
        <v>28</v>
      </c>
      <c r="O453" t="s">
        <v>26</v>
      </c>
      <c r="P453" t="s">
        <v>26</v>
      </c>
      <c r="Q453" s="3">
        <v>26</v>
      </c>
      <c r="R453" t="s">
        <v>27</v>
      </c>
      <c r="S453" t="s">
        <v>30</v>
      </c>
    </row>
    <row r="454" spans="1:19" x14ac:dyDescent="0.25">
      <c r="A454">
        <v>453</v>
      </c>
      <c r="B454">
        <v>45</v>
      </c>
      <c r="C454" t="s">
        <v>19</v>
      </c>
      <c r="D454" t="s">
        <v>95</v>
      </c>
      <c r="E454" t="s">
        <v>21</v>
      </c>
      <c r="F454" s="1">
        <v>45</v>
      </c>
      <c r="G454" t="s">
        <v>70</v>
      </c>
      <c r="H454" t="s">
        <v>45</v>
      </c>
      <c r="I454" t="s">
        <v>84</v>
      </c>
      <c r="J454" t="s">
        <v>54</v>
      </c>
      <c r="K454" s="2">
        <v>3.3</v>
      </c>
      <c r="L454" t="s">
        <v>26</v>
      </c>
      <c r="M454" t="s">
        <v>59</v>
      </c>
      <c r="N454" t="s">
        <v>28</v>
      </c>
      <c r="O454" t="s">
        <v>26</v>
      </c>
      <c r="P454" t="s">
        <v>26</v>
      </c>
      <c r="Q454" s="3">
        <v>39</v>
      </c>
      <c r="R454" t="s">
        <v>46</v>
      </c>
      <c r="S454" t="s">
        <v>30</v>
      </c>
    </row>
    <row r="455" spans="1:19" x14ac:dyDescent="0.25">
      <c r="A455">
        <v>454</v>
      </c>
      <c r="B455">
        <v>54</v>
      </c>
      <c r="C455" t="s">
        <v>19</v>
      </c>
      <c r="D455" t="s">
        <v>106</v>
      </c>
      <c r="E455" t="s">
        <v>69</v>
      </c>
      <c r="F455" s="1">
        <v>56</v>
      </c>
      <c r="G455" t="s">
        <v>145</v>
      </c>
      <c r="H455" t="s">
        <v>92</v>
      </c>
      <c r="I455" t="s">
        <v>100</v>
      </c>
      <c r="J455" t="s">
        <v>25</v>
      </c>
      <c r="K455" s="2">
        <v>2.8</v>
      </c>
      <c r="L455" t="s">
        <v>26</v>
      </c>
      <c r="M455" t="s">
        <v>35</v>
      </c>
      <c r="N455" t="s">
        <v>47</v>
      </c>
      <c r="O455" t="s">
        <v>26</v>
      </c>
      <c r="P455" t="s">
        <v>26</v>
      </c>
      <c r="Q455" s="3">
        <v>22</v>
      </c>
      <c r="R455" t="s">
        <v>27</v>
      </c>
      <c r="S455" t="s">
        <v>41</v>
      </c>
    </row>
    <row r="456" spans="1:19" x14ac:dyDescent="0.25">
      <c r="A456">
        <v>455</v>
      </c>
      <c r="B456">
        <v>37</v>
      </c>
      <c r="C456" t="s">
        <v>19</v>
      </c>
      <c r="D456" t="s">
        <v>102</v>
      </c>
      <c r="E456" t="s">
        <v>65</v>
      </c>
      <c r="F456" s="1">
        <v>97</v>
      </c>
      <c r="G456" t="s">
        <v>127</v>
      </c>
      <c r="H456" t="s">
        <v>38</v>
      </c>
      <c r="I456" t="s">
        <v>81</v>
      </c>
      <c r="J456" t="s">
        <v>54</v>
      </c>
      <c r="K456" s="2">
        <v>3.2</v>
      </c>
      <c r="L456" t="s">
        <v>26</v>
      </c>
      <c r="M456" t="s">
        <v>59</v>
      </c>
      <c r="N456" t="s">
        <v>47</v>
      </c>
      <c r="O456" t="s">
        <v>26</v>
      </c>
      <c r="P456" t="s">
        <v>26</v>
      </c>
      <c r="Q456" s="3">
        <v>14</v>
      </c>
      <c r="R456" t="s">
        <v>35</v>
      </c>
      <c r="S456" t="s">
        <v>77</v>
      </c>
    </row>
    <row r="457" spans="1:19" x14ac:dyDescent="0.25">
      <c r="A457">
        <v>456</v>
      </c>
      <c r="B457">
        <v>54</v>
      </c>
      <c r="C457" t="s">
        <v>19</v>
      </c>
      <c r="D457" t="s">
        <v>20</v>
      </c>
      <c r="E457" t="s">
        <v>21</v>
      </c>
      <c r="F457" s="1">
        <v>100</v>
      </c>
      <c r="G457" t="s">
        <v>140</v>
      </c>
      <c r="H457" t="s">
        <v>92</v>
      </c>
      <c r="I457" t="s">
        <v>81</v>
      </c>
      <c r="J457" t="s">
        <v>58</v>
      </c>
      <c r="K457" s="2">
        <v>3.6</v>
      </c>
      <c r="L457" t="s">
        <v>26</v>
      </c>
      <c r="M457" t="s">
        <v>27</v>
      </c>
      <c r="N457" t="s">
        <v>76</v>
      </c>
      <c r="O457" t="s">
        <v>26</v>
      </c>
      <c r="P457" t="s">
        <v>26</v>
      </c>
      <c r="Q457" s="3">
        <v>50</v>
      </c>
      <c r="R457" t="s">
        <v>59</v>
      </c>
      <c r="S457" t="s">
        <v>30</v>
      </c>
    </row>
    <row r="458" spans="1:19" x14ac:dyDescent="0.25">
      <c r="A458">
        <v>457</v>
      </c>
      <c r="B458">
        <v>50</v>
      </c>
      <c r="C458" t="s">
        <v>19</v>
      </c>
      <c r="D458" t="s">
        <v>20</v>
      </c>
      <c r="E458" t="s">
        <v>21</v>
      </c>
      <c r="F458" s="1">
        <v>96</v>
      </c>
      <c r="G458" t="s">
        <v>98</v>
      </c>
      <c r="H458" t="s">
        <v>38</v>
      </c>
      <c r="I458" t="s">
        <v>126</v>
      </c>
      <c r="J458" t="s">
        <v>58</v>
      </c>
      <c r="K458" s="2">
        <v>4</v>
      </c>
      <c r="L458" t="s">
        <v>26</v>
      </c>
      <c r="M458" t="s">
        <v>34</v>
      </c>
      <c r="N458" t="s">
        <v>72</v>
      </c>
      <c r="O458" t="s">
        <v>26</v>
      </c>
      <c r="P458" t="s">
        <v>26</v>
      </c>
      <c r="Q458" s="3">
        <v>33</v>
      </c>
      <c r="R458" t="s">
        <v>27</v>
      </c>
      <c r="S458" t="s">
        <v>60</v>
      </c>
    </row>
    <row r="459" spans="1:19" x14ac:dyDescent="0.25">
      <c r="A459">
        <v>458</v>
      </c>
      <c r="B459">
        <v>25</v>
      </c>
      <c r="C459" t="s">
        <v>19</v>
      </c>
      <c r="D459" t="s">
        <v>143</v>
      </c>
      <c r="E459" t="s">
        <v>69</v>
      </c>
      <c r="F459" s="1">
        <v>99</v>
      </c>
      <c r="G459" t="s">
        <v>44</v>
      </c>
      <c r="H459" t="s">
        <v>45</v>
      </c>
      <c r="I459" t="s">
        <v>144</v>
      </c>
      <c r="J459" t="s">
        <v>39</v>
      </c>
      <c r="K459" s="2">
        <v>4.9000000000000004</v>
      </c>
      <c r="L459" t="s">
        <v>26</v>
      </c>
      <c r="M459" t="s">
        <v>27</v>
      </c>
      <c r="N459" t="s">
        <v>47</v>
      </c>
      <c r="O459" t="s">
        <v>26</v>
      </c>
      <c r="P459" t="s">
        <v>26</v>
      </c>
      <c r="Q459" s="3">
        <v>48</v>
      </c>
      <c r="R459" t="s">
        <v>59</v>
      </c>
      <c r="S459" t="s">
        <v>97</v>
      </c>
    </row>
    <row r="460" spans="1:19" x14ac:dyDescent="0.25">
      <c r="A460">
        <v>459</v>
      </c>
      <c r="B460">
        <v>47</v>
      </c>
      <c r="C460" t="s">
        <v>19</v>
      </c>
      <c r="D460" t="s">
        <v>61</v>
      </c>
      <c r="E460" t="s">
        <v>21</v>
      </c>
      <c r="F460" s="1">
        <v>91</v>
      </c>
      <c r="G460" t="s">
        <v>74</v>
      </c>
      <c r="H460" t="s">
        <v>23</v>
      </c>
      <c r="I460" t="s">
        <v>94</v>
      </c>
      <c r="J460" t="s">
        <v>25</v>
      </c>
      <c r="K460" s="2">
        <v>4</v>
      </c>
      <c r="L460" t="s">
        <v>26</v>
      </c>
      <c r="M460" t="s">
        <v>59</v>
      </c>
      <c r="N460" t="s">
        <v>72</v>
      </c>
      <c r="O460" t="s">
        <v>26</v>
      </c>
      <c r="P460" t="s">
        <v>26</v>
      </c>
      <c r="Q460" s="3">
        <v>48</v>
      </c>
      <c r="R460" t="s">
        <v>46</v>
      </c>
      <c r="S460" t="s">
        <v>88</v>
      </c>
    </row>
    <row r="461" spans="1:19" x14ac:dyDescent="0.25">
      <c r="A461">
        <v>460</v>
      </c>
      <c r="B461">
        <v>63</v>
      </c>
      <c r="C461" t="s">
        <v>19</v>
      </c>
      <c r="D461" t="s">
        <v>124</v>
      </c>
      <c r="E461" t="s">
        <v>69</v>
      </c>
      <c r="F461" s="1">
        <v>30</v>
      </c>
      <c r="G461" t="s">
        <v>128</v>
      </c>
      <c r="H461" t="s">
        <v>23</v>
      </c>
      <c r="I461" t="s">
        <v>94</v>
      </c>
      <c r="J461" t="s">
        <v>25</v>
      </c>
      <c r="K461" s="2">
        <v>3.8</v>
      </c>
      <c r="L461" t="s">
        <v>26</v>
      </c>
      <c r="M461" t="s">
        <v>59</v>
      </c>
      <c r="N461" t="s">
        <v>55</v>
      </c>
      <c r="O461" t="s">
        <v>26</v>
      </c>
      <c r="P461" t="s">
        <v>26</v>
      </c>
      <c r="Q461" s="3">
        <v>27</v>
      </c>
      <c r="R461" t="s">
        <v>46</v>
      </c>
      <c r="S461" t="s">
        <v>30</v>
      </c>
    </row>
    <row r="462" spans="1:19" x14ac:dyDescent="0.25">
      <c r="A462">
        <v>461</v>
      </c>
      <c r="B462">
        <v>64</v>
      </c>
      <c r="C462" t="s">
        <v>19</v>
      </c>
      <c r="D462" t="s">
        <v>73</v>
      </c>
      <c r="E462" t="s">
        <v>43</v>
      </c>
      <c r="F462" s="1">
        <v>65</v>
      </c>
      <c r="G462" t="s">
        <v>131</v>
      </c>
      <c r="H462" t="s">
        <v>23</v>
      </c>
      <c r="I462" t="s">
        <v>86</v>
      </c>
      <c r="J462" t="s">
        <v>54</v>
      </c>
      <c r="K462" s="2">
        <v>3.7</v>
      </c>
      <c r="L462" t="s">
        <v>26</v>
      </c>
      <c r="M462" t="s">
        <v>29</v>
      </c>
      <c r="N462" t="s">
        <v>76</v>
      </c>
      <c r="O462" t="s">
        <v>26</v>
      </c>
      <c r="P462" t="s">
        <v>26</v>
      </c>
      <c r="Q462" s="3">
        <v>27</v>
      </c>
      <c r="R462" t="s">
        <v>34</v>
      </c>
      <c r="S462" t="s">
        <v>41</v>
      </c>
    </row>
    <row r="463" spans="1:19" x14ac:dyDescent="0.25">
      <c r="A463">
        <v>462</v>
      </c>
      <c r="B463">
        <v>18</v>
      </c>
      <c r="C463" t="s">
        <v>19</v>
      </c>
      <c r="D463" t="s">
        <v>137</v>
      </c>
      <c r="E463" t="s">
        <v>43</v>
      </c>
      <c r="F463" s="1">
        <v>93</v>
      </c>
      <c r="G463" t="s">
        <v>123</v>
      </c>
      <c r="H463" t="s">
        <v>45</v>
      </c>
      <c r="I463" t="s">
        <v>134</v>
      </c>
      <c r="J463" t="s">
        <v>25</v>
      </c>
      <c r="K463" s="2">
        <v>3.9</v>
      </c>
      <c r="L463" t="s">
        <v>26</v>
      </c>
      <c r="M463" t="s">
        <v>35</v>
      </c>
      <c r="N463" t="s">
        <v>28</v>
      </c>
      <c r="O463" t="s">
        <v>26</v>
      </c>
      <c r="P463" t="s">
        <v>26</v>
      </c>
      <c r="Q463" s="3">
        <v>20</v>
      </c>
      <c r="R463" t="s">
        <v>29</v>
      </c>
      <c r="S463" t="s">
        <v>41</v>
      </c>
    </row>
    <row r="464" spans="1:19" x14ac:dyDescent="0.25">
      <c r="A464">
        <v>463</v>
      </c>
      <c r="B464">
        <v>59</v>
      </c>
      <c r="C464" t="s">
        <v>19</v>
      </c>
      <c r="D464" t="s">
        <v>102</v>
      </c>
      <c r="E464" t="s">
        <v>65</v>
      </c>
      <c r="F464" s="1">
        <v>81</v>
      </c>
      <c r="G464" t="s">
        <v>115</v>
      </c>
      <c r="H464" t="s">
        <v>45</v>
      </c>
      <c r="I464" t="s">
        <v>53</v>
      </c>
      <c r="J464" t="s">
        <v>58</v>
      </c>
      <c r="K464" s="2">
        <v>3.3</v>
      </c>
      <c r="L464" t="s">
        <v>26</v>
      </c>
      <c r="M464" t="s">
        <v>59</v>
      </c>
      <c r="N464" t="s">
        <v>28</v>
      </c>
      <c r="O464" t="s">
        <v>26</v>
      </c>
      <c r="P464" t="s">
        <v>26</v>
      </c>
      <c r="Q464" s="3">
        <v>48</v>
      </c>
      <c r="R464" t="s">
        <v>29</v>
      </c>
      <c r="S464" t="s">
        <v>97</v>
      </c>
    </row>
    <row r="465" spans="1:19" x14ac:dyDescent="0.25">
      <c r="A465">
        <v>464</v>
      </c>
      <c r="B465">
        <v>37</v>
      </c>
      <c r="C465" t="s">
        <v>19</v>
      </c>
      <c r="D465" t="s">
        <v>106</v>
      </c>
      <c r="E465" t="s">
        <v>69</v>
      </c>
      <c r="F465" s="1">
        <v>81</v>
      </c>
      <c r="G465" t="s">
        <v>142</v>
      </c>
      <c r="H465" t="s">
        <v>38</v>
      </c>
      <c r="I465" t="s">
        <v>121</v>
      </c>
      <c r="J465" t="s">
        <v>54</v>
      </c>
      <c r="K465" s="2">
        <v>2.7</v>
      </c>
      <c r="L465" t="s">
        <v>26</v>
      </c>
      <c r="M465" t="s">
        <v>29</v>
      </c>
      <c r="N465" t="s">
        <v>55</v>
      </c>
      <c r="O465" t="s">
        <v>26</v>
      </c>
      <c r="P465" t="s">
        <v>26</v>
      </c>
      <c r="Q465" s="3">
        <v>29</v>
      </c>
      <c r="R465" t="s">
        <v>29</v>
      </c>
      <c r="S465" t="s">
        <v>41</v>
      </c>
    </row>
    <row r="466" spans="1:19" x14ac:dyDescent="0.25">
      <c r="A466">
        <v>465</v>
      </c>
      <c r="B466">
        <v>23</v>
      </c>
      <c r="C466" t="s">
        <v>19</v>
      </c>
      <c r="D466" t="s">
        <v>89</v>
      </c>
      <c r="E466" t="s">
        <v>69</v>
      </c>
      <c r="F466" s="1">
        <v>52</v>
      </c>
      <c r="G466" t="s">
        <v>90</v>
      </c>
      <c r="H466" t="s">
        <v>45</v>
      </c>
      <c r="I466" t="s">
        <v>67</v>
      </c>
      <c r="J466" t="s">
        <v>25</v>
      </c>
      <c r="K466" s="2">
        <v>4.7</v>
      </c>
      <c r="L466" t="s">
        <v>26</v>
      </c>
      <c r="M466" t="s">
        <v>46</v>
      </c>
      <c r="N466" t="s">
        <v>47</v>
      </c>
      <c r="O466" t="s">
        <v>26</v>
      </c>
      <c r="P466" t="s">
        <v>26</v>
      </c>
      <c r="Q466" s="3">
        <v>45</v>
      </c>
      <c r="R466" t="s">
        <v>46</v>
      </c>
      <c r="S466" t="s">
        <v>88</v>
      </c>
    </row>
    <row r="467" spans="1:19" x14ac:dyDescent="0.25">
      <c r="A467">
        <v>466</v>
      </c>
      <c r="B467">
        <v>54</v>
      </c>
      <c r="C467" t="s">
        <v>19</v>
      </c>
      <c r="D467" t="s">
        <v>87</v>
      </c>
      <c r="E467" t="s">
        <v>21</v>
      </c>
      <c r="F467" s="1">
        <v>88</v>
      </c>
      <c r="G467" t="s">
        <v>101</v>
      </c>
      <c r="H467" t="s">
        <v>45</v>
      </c>
      <c r="I467" t="s">
        <v>71</v>
      </c>
      <c r="J467" t="s">
        <v>54</v>
      </c>
      <c r="K467" s="2">
        <v>2.8</v>
      </c>
      <c r="L467" t="s">
        <v>26</v>
      </c>
      <c r="M467" t="s">
        <v>35</v>
      </c>
      <c r="N467" t="s">
        <v>47</v>
      </c>
      <c r="O467" t="s">
        <v>26</v>
      </c>
      <c r="P467" t="s">
        <v>26</v>
      </c>
      <c r="Q467" s="3">
        <v>25</v>
      </c>
      <c r="R467" t="s">
        <v>35</v>
      </c>
      <c r="S467" t="s">
        <v>60</v>
      </c>
    </row>
    <row r="468" spans="1:19" x14ac:dyDescent="0.25">
      <c r="A468">
        <v>467</v>
      </c>
      <c r="B468">
        <v>38</v>
      </c>
      <c r="C468" t="s">
        <v>19</v>
      </c>
      <c r="D468" t="s">
        <v>36</v>
      </c>
      <c r="E468" t="s">
        <v>21</v>
      </c>
      <c r="F468" s="1">
        <v>24</v>
      </c>
      <c r="G468" t="s">
        <v>129</v>
      </c>
      <c r="H468" t="s">
        <v>23</v>
      </c>
      <c r="I468" t="s">
        <v>49</v>
      </c>
      <c r="J468" t="s">
        <v>25</v>
      </c>
      <c r="K468" s="2">
        <v>4.5999999999999996</v>
      </c>
      <c r="L468" t="s">
        <v>26</v>
      </c>
      <c r="M468" t="s">
        <v>27</v>
      </c>
      <c r="N468" t="s">
        <v>40</v>
      </c>
      <c r="O468" t="s">
        <v>26</v>
      </c>
      <c r="P468" t="s">
        <v>26</v>
      </c>
      <c r="Q468" s="3">
        <v>25</v>
      </c>
      <c r="R468" t="s">
        <v>46</v>
      </c>
      <c r="S468" t="s">
        <v>41</v>
      </c>
    </row>
    <row r="469" spans="1:19" x14ac:dyDescent="0.25">
      <c r="A469">
        <v>468</v>
      </c>
      <c r="B469">
        <v>19</v>
      </c>
      <c r="C469" t="s">
        <v>19</v>
      </c>
      <c r="D469" t="s">
        <v>132</v>
      </c>
      <c r="E469" t="s">
        <v>69</v>
      </c>
      <c r="F469" s="1">
        <v>51</v>
      </c>
      <c r="G469" t="s">
        <v>145</v>
      </c>
      <c r="H469" t="s">
        <v>38</v>
      </c>
      <c r="I469" t="s">
        <v>121</v>
      </c>
      <c r="J469" t="s">
        <v>39</v>
      </c>
      <c r="K469" s="2">
        <v>4.5</v>
      </c>
      <c r="L469" t="s">
        <v>26</v>
      </c>
      <c r="M469" t="s">
        <v>27</v>
      </c>
      <c r="N469" t="s">
        <v>72</v>
      </c>
      <c r="O469" t="s">
        <v>26</v>
      </c>
      <c r="P469" t="s">
        <v>26</v>
      </c>
      <c r="Q469" s="3">
        <v>37</v>
      </c>
      <c r="R469" t="s">
        <v>59</v>
      </c>
      <c r="S469" t="s">
        <v>97</v>
      </c>
    </row>
    <row r="470" spans="1:19" x14ac:dyDescent="0.25">
      <c r="A470">
        <v>469</v>
      </c>
      <c r="B470">
        <v>34</v>
      </c>
      <c r="C470" t="s">
        <v>19</v>
      </c>
      <c r="D470" t="s">
        <v>132</v>
      </c>
      <c r="E470" t="s">
        <v>69</v>
      </c>
      <c r="F470" s="1">
        <v>38</v>
      </c>
      <c r="G470" t="s">
        <v>142</v>
      </c>
      <c r="H470" t="s">
        <v>38</v>
      </c>
      <c r="I470" t="s">
        <v>100</v>
      </c>
      <c r="J470" t="s">
        <v>58</v>
      </c>
      <c r="K470" s="2">
        <v>5</v>
      </c>
      <c r="L470" t="s">
        <v>26</v>
      </c>
      <c r="M470" t="s">
        <v>34</v>
      </c>
      <c r="N470" t="s">
        <v>40</v>
      </c>
      <c r="O470" t="s">
        <v>26</v>
      </c>
      <c r="P470" t="s">
        <v>26</v>
      </c>
      <c r="Q470" s="3">
        <v>16</v>
      </c>
      <c r="R470" t="s">
        <v>35</v>
      </c>
      <c r="S470" t="s">
        <v>60</v>
      </c>
    </row>
    <row r="471" spans="1:19" x14ac:dyDescent="0.25">
      <c r="A471">
        <v>470</v>
      </c>
      <c r="B471">
        <v>21</v>
      </c>
      <c r="C471" t="s">
        <v>19</v>
      </c>
      <c r="D471" t="s">
        <v>61</v>
      </c>
      <c r="E471" t="s">
        <v>21</v>
      </c>
      <c r="F471" s="1">
        <v>46</v>
      </c>
      <c r="G471" t="s">
        <v>90</v>
      </c>
      <c r="H471" t="s">
        <v>23</v>
      </c>
      <c r="I471" t="s">
        <v>71</v>
      </c>
      <c r="J471" t="s">
        <v>58</v>
      </c>
      <c r="K471" s="2">
        <v>4.0999999999999996</v>
      </c>
      <c r="L471" t="s">
        <v>26</v>
      </c>
      <c r="M471" t="s">
        <v>59</v>
      </c>
      <c r="N471" t="s">
        <v>72</v>
      </c>
      <c r="O471" t="s">
        <v>26</v>
      </c>
      <c r="P471" t="s">
        <v>26</v>
      </c>
      <c r="Q471" s="3">
        <v>30</v>
      </c>
      <c r="R471" t="s">
        <v>59</v>
      </c>
      <c r="S471" t="s">
        <v>77</v>
      </c>
    </row>
    <row r="472" spans="1:19" x14ac:dyDescent="0.25">
      <c r="A472">
        <v>471</v>
      </c>
      <c r="B472">
        <v>50</v>
      </c>
      <c r="C472" t="s">
        <v>19</v>
      </c>
      <c r="D472" t="s">
        <v>82</v>
      </c>
      <c r="E472" t="s">
        <v>21</v>
      </c>
      <c r="F472" s="1">
        <v>63</v>
      </c>
      <c r="G472" t="s">
        <v>148</v>
      </c>
      <c r="H472" t="s">
        <v>23</v>
      </c>
      <c r="I472" t="s">
        <v>86</v>
      </c>
      <c r="J472" t="s">
        <v>54</v>
      </c>
      <c r="K472" s="2">
        <v>4.5999999999999996</v>
      </c>
      <c r="L472" t="s">
        <v>26</v>
      </c>
      <c r="M472" t="s">
        <v>35</v>
      </c>
      <c r="N472" t="s">
        <v>28</v>
      </c>
      <c r="O472" t="s">
        <v>26</v>
      </c>
      <c r="P472" t="s">
        <v>26</v>
      </c>
      <c r="Q472" s="3">
        <v>6</v>
      </c>
      <c r="R472" t="s">
        <v>35</v>
      </c>
      <c r="S472" t="s">
        <v>97</v>
      </c>
    </row>
    <row r="473" spans="1:19" x14ac:dyDescent="0.25">
      <c r="A473">
        <v>472</v>
      </c>
      <c r="B473">
        <v>55</v>
      </c>
      <c r="C473" t="s">
        <v>19</v>
      </c>
      <c r="D473" t="s">
        <v>119</v>
      </c>
      <c r="E473" t="s">
        <v>69</v>
      </c>
      <c r="F473" s="1">
        <v>72</v>
      </c>
      <c r="G473" t="s">
        <v>70</v>
      </c>
      <c r="H473" t="s">
        <v>92</v>
      </c>
      <c r="I473" t="s">
        <v>53</v>
      </c>
      <c r="J473" t="s">
        <v>25</v>
      </c>
      <c r="K473" s="2">
        <v>4.9000000000000004</v>
      </c>
      <c r="L473" t="s">
        <v>26</v>
      </c>
      <c r="M473" t="s">
        <v>27</v>
      </c>
      <c r="N473" t="s">
        <v>72</v>
      </c>
      <c r="O473" t="s">
        <v>26</v>
      </c>
      <c r="P473" t="s">
        <v>26</v>
      </c>
      <c r="Q473" s="3">
        <v>36</v>
      </c>
      <c r="R473" t="s">
        <v>34</v>
      </c>
      <c r="S473" t="s">
        <v>60</v>
      </c>
    </row>
    <row r="474" spans="1:19" x14ac:dyDescent="0.25">
      <c r="A474">
        <v>473</v>
      </c>
      <c r="B474">
        <v>20</v>
      </c>
      <c r="C474" t="s">
        <v>19</v>
      </c>
      <c r="D474" t="s">
        <v>36</v>
      </c>
      <c r="E474" t="s">
        <v>21</v>
      </c>
      <c r="F474" s="1">
        <v>39</v>
      </c>
      <c r="G474" t="s">
        <v>142</v>
      </c>
      <c r="H474" t="s">
        <v>23</v>
      </c>
      <c r="I474" t="s">
        <v>24</v>
      </c>
      <c r="J474" t="s">
        <v>25</v>
      </c>
      <c r="K474" s="2">
        <v>3.9</v>
      </c>
      <c r="L474" t="s">
        <v>26</v>
      </c>
      <c r="M474" t="s">
        <v>35</v>
      </c>
      <c r="N474" t="s">
        <v>40</v>
      </c>
      <c r="O474" t="s">
        <v>26</v>
      </c>
      <c r="P474" t="s">
        <v>26</v>
      </c>
      <c r="Q474" s="3">
        <v>3</v>
      </c>
      <c r="R474" t="s">
        <v>34</v>
      </c>
      <c r="S474" t="s">
        <v>60</v>
      </c>
    </row>
    <row r="475" spans="1:19" x14ac:dyDescent="0.25">
      <c r="A475">
        <v>474</v>
      </c>
      <c r="B475">
        <v>34</v>
      </c>
      <c r="C475" t="s">
        <v>19</v>
      </c>
      <c r="D475" t="s">
        <v>64</v>
      </c>
      <c r="E475" t="s">
        <v>65</v>
      </c>
      <c r="F475" s="1">
        <v>42</v>
      </c>
      <c r="G475" t="s">
        <v>66</v>
      </c>
      <c r="H475" t="s">
        <v>23</v>
      </c>
      <c r="I475" t="s">
        <v>79</v>
      </c>
      <c r="J475" t="s">
        <v>39</v>
      </c>
      <c r="K475" s="2">
        <v>3.9</v>
      </c>
      <c r="L475" t="s">
        <v>26</v>
      </c>
      <c r="M475" t="s">
        <v>29</v>
      </c>
      <c r="N475" t="s">
        <v>76</v>
      </c>
      <c r="O475" t="s">
        <v>26</v>
      </c>
      <c r="P475" t="s">
        <v>26</v>
      </c>
      <c r="Q475" s="3">
        <v>29</v>
      </c>
      <c r="R475" t="s">
        <v>46</v>
      </c>
      <c r="S475" t="s">
        <v>97</v>
      </c>
    </row>
    <row r="476" spans="1:19" x14ac:dyDescent="0.25">
      <c r="A476">
        <v>475</v>
      </c>
      <c r="B476">
        <v>62</v>
      </c>
      <c r="C476" t="s">
        <v>19</v>
      </c>
      <c r="D476" t="s">
        <v>31</v>
      </c>
      <c r="E476" t="s">
        <v>21</v>
      </c>
      <c r="F476" s="1">
        <v>76</v>
      </c>
      <c r="G476" t="s">
        <v>74</v>
      </c>
      <c r="H476" t="s">
        <v>92</v>
      </c>
      <c r="I476" t="s">
        <v>33</v>
      </c>
      <c r="J476" t="s">
        <v>54</v>
      </c>
      <c r="K476" s="2">
        <v>2.6</v>
      </c>
      <c r="L476" t="s">
        <v>26</v>
      </c>
      <c r="M476" t="s">
        <v>59</v>
      </c>
      <c r="N476" t="s">
        <v>72</v>
      </c>
      <c r="O476" t="s">
        <v>26</v>
      </c>
      <c r="P476" t="s">
        <v>26</v>
      </c>
      <c r="Q476" s="3">
        <v>15</v>
      </c>
      <c r="R476" t="s">
        <v>35</v>
      </c>
      <c r="S476" t="s">
        <v>60</v>
      </c>
    </row>
    <row r="477" spans="1:19" x14ac:dyDescent="0.25">
      <c r="A477">
        <v>476</v>
      </c>
      <c r="B477">
        <v>21</v>
      </c>
      <c r="C477" t="s">
        <v>19</v>
      </c>
      <c r="D477" t="s">
        <v>51</v>
      </c>
      <c r="E477" t="s">
        <v>43</v>
      </c>
      <c r="F477" s="1">
        <v>66</v>
      </c>
      <c r="G477" t="s">
        <v>123</v>
      </c>
      <c r="H477" t="s">
        <v>23</v>
      </c>
      <c r="I477" t="s">
        <v>136</v>
      </c>
      <c r="J477" t="s">
        <v>54</v>
      </c>
      <c r="K477" s="2">
        <v>2.7</v>
      </c>
      <c r="L477" t="s">
        <v>26</v>
      </c>
      <c r="M477" t="s">
        <v>35</v>
      </c>
      <c r="N477" t="s">
        <v>40</v>
      </c>
      <c r="O477" t="s">
        <v>26</v>
      </c>
      <c r="P477" t="s">
        <v>26</v>
      </c>
      <c r="Q477" s="3">
        <v>18</v>
      </c>
      <c r="R477" t="s">
        <v>59</v>
      </c>
      <c r="S477" t="s">
        <v>50</v>
      </c>
    </row>
    <row r="478" spans="1:19" x14ac:dyDescent="0.25">
      <c r="A478">
        <v>477</v>
      </c>
      <c r="B478">
        <v>21</v>
      </c>
      <c r="C478" t="s">
        <v>19</v>
      </c>
      <c r="D478" t="s">
        <v>119</v>
      </c>
      <c r="E478" t="s">
        <v>69</v>
      </c>
      <c r="F478" s="1">
        <v>90</v>
      </c>
      <c r="G478" t="s">
        <v>139</v>
      </c>
      <c r="H478" t="s">
        <v>45</v>
      </c>
      <c r="I478" t="s">
        <v>136</v>
      </c>
      <c r="J478" t="s">
        <v>39</v>
      </c>
      <c r="K478" s="2">
        <v>3.5</v>
      </c>
      <c r="L478" t="s">
        <v>26</v>
      </c>
      <c r="M478" t="s">
        <v>29</v>
      </c>
      <c r="N478" t="s">
        <v>40</v>
      </c>
      <c r="O478" t="s">
        <v>26</v>
      </c>
      <c r="P478" t="s">
        <v>26</v>
      </c>
      <c r="Q478" s="3">
        <v>2</v>
      </c>
      <c r="R478" t="s">
        <v>59</v>
      </c>
      <c r="S478" t="s">
        <v>30</v>
      </c>
    </row>
    <row r="479" spans="1:19" x14ac:dyDescent="0.25">
      <c r="A479">
        <v>478</v>
      </c>
      <c r="B479">
        <v>42</v>
      </c>
      <c r="C479" t="s">
        <v>19</v>
      </c>
      <c r="D479" t="s">
        <v>31</v>
      </c>
      <c r="E479" t="s">
        <v>21</v>
      </c>
      <c r="F479" s="1">
        <v>56</v>
      </c>
      <c r="G479" t="s">
        <v>114</v>
      </c>
      <c r="H479" t="s">
        <v>45</v>
      </c>
      <c r="I479" t="s">
        <v>96</v>
      </c>
      <c r="J479" t="s">
        <v>54</v>
      </c>
      <c r="K479" s="2">
        <v>3.7</v>
      </c>
      <c r="L479" t="s">
        <v>26</v>
      </c>
      <c r="M479" t="s">
        <v>27</v>
      </c>
      <c r="N479" t="s">
        <v>40</v>
      </c>
      <c r="O479" t="s">
        <v>26</v>
      </c>
      <c r="P479" t="s">
        <v>26</v>
      </c>
      <c r="Q479" s="3">
        <v>49</v>
      </c>
      <c r="R479" t="s">
        <v>59</v>
      </c>
      <c r="S479" t="s">
        <v>41</v>
      </c>
    </row>
    <row r="480" spans="1:19" x14ac:dyDescent="0.25">
      <c r="A480">
        <v>479</v>
      </c>
      <c r="B480">
        <v>35</v>
      </c>
      <c r="C480" t="s">
        <v>19</v>
      </c>
      <c r="D480" t="s">
        <v>106</v>
      </c>
      <c r="E480" t="s">
        <v>69</v>
      </c>
      <c r="F480" s="1">
        <v>43</v>
      </c>
      <c r="G480" t="s">
        <v>111</v>
      </c>
      <c r="H480" t="s">
        <v>92</v>
      </c>
      <c r="I480" t="s">
        <v>49</v>
      </c>
      <c r="J480" t="s">
        <v>25</v>
      </c>
      <c r="K480" s="2">
        <v>3.2</v>
      </c>
      <c r="L480" t="s">
        <v>26</v>
      </c>
      <c r="M480" t="s">
        <v>59</v>
      </c>
      <c r="N480" t="s">
        <v>40</v>
      </c>
      <c r="O480" t="s">
        <v>26</v>
      </c>
      <c r="P480" t="s">
        <v>26</v>
      </c>
      <c r="Q480" s="3">
        <v>48</v>
      </c>
      <c r="R480" t="s">
        <v>29</v>
      </c>
      <c r="S480" t="s">
        <v>50</v>
      </c>
    </row>
    <row r="481" spans="1:19" x14ac:dyDescent="0.25">
      <c r="A481">
        <v>480</v>
      </c>
      <c r="B481">
        <v>39</v>
      </c>
      <c r="C481" t="s">
        <v>19</v>
      </c>
      <c r="D481" t="s">
        <v>68</v>
      </c>
      <c r="E481" t="s">
        <v>69</v>
      </c>
      <c r="F481" s="1">
        <v>84</v>
      </c>
      <c r="G481" t="s">
        <v>146</v>
      </c>
      <c r="H481" t="s">
        <v>23</v>
      </c>
      <c r="I481" t="s">
        <v>134</v>
      </c>
      <c r="J481" t="s">
        <v>25</v>
      </c>
      <c r="K481" s="2">
        <v>3.3</v>
      </c>
      <c r="L481" t="s">
        <v>26</v>
      </c>
      <c r="M481" t="s">
        <v>34</v>
      </c>
      <c r="N481" t="s">
        <v>76</v>
      </c>
      <c r="O481" t="s">
        <v>26</v>
      </c>
      <c r="P481" t="s">
        <v>26</v>
      </c>
      <c r="Q481" s="3">
        <v>43</v>
      </c>
      <c r="R481" t="s">
        <v>29</v>
      </c>
      <c r="S481" t="s">
        <v>88</v>
      </c>
    </row>
    <row r="482" spans="1:19" x14ac:dyDescent="0.25">
      <c r="A482">
        <v>481</v>
      </c>
      <c r="B482">
        <v>68</v>
      </c>
      <c r="C482" t="s">
        <v>19</v>
      </c>
      <c r="D482" t="s">
        <v>104</v>
      </c>
      <c r="E482" t="s">
        <v>21</v>
      </c>
      <c r="F482" s="1">
        <v>88</v>
      </c>
      <c r="G482" t="s">
        <v>129</v>
      </c>
      <c r="H482" t="s">
        <v>45</v>
      </c>
      <c r="I482" t="s">
        <v>24</v>
      </c>
      <c r="J482" t="s">
        <v>54</v>
      </c>
      <c r="K482" s="2">
        <v>4.8</v>
      </c>
      <c r="L482" t="s">
        <v>26</v>
      </c>
      <c r="M482" t="s">
        <v>27</v>
      </c>
      <c r="N482" t="s">
        <v>55</v>
      </c>
      <c r="O482" t="s">
        <v>26</v>
      </c>
      <c r="P482" t="s">
        <v>26</v>
      </c>
      <c r="Q482" s="3">
        <v>30</v>
      </c>
      <c r="R482" t="s">
        <v>59</v>
      </c>
      <c r="S482" t="s">
        <v>77</v>
      </c>
    </row>
    <row r="483" spans="1:19" x14ac:dyDescent="0.25">
      <c r="A483">
        <v>482</v>
      </c>
      <c r="B483">
        <v>46</v>
      </c>
      <c r="C483" t="s">
        <v>19</v>
      </c>
      <c r="D483" t="s">
        <v>124</v>
      </c>
      <c r="E483" t="s">
        <v>69</v>
      </c>
      <c r="F483" s="1">
        <v>88</v>
      </c>
      <c r="G483" t="s">
        <v>150</v>
      </c>
      <c r="H483" t="s">
        <v>23</v>
      </c>
      <c r="I483" t="s">
        <v>100</v>
      </c>
      <c r="J483" t="s">
        <v>58</v>
      </c>
      <c r="K483" s="2">
        <v>3.2</v>
      </c>
      <c r="L483" t="s">
        <v>26</v>
      </c>
      <c r="M483" t="s">
        <v>46</v>
      </c>
      <c r="N483" t="s">
        <v>72</v>
      </c>
      <c r="O483" t="s">
        <v>26</v>
      </c>
      <c r="P483" t="s">
        <v>26</v>
      </c>
      <c r="Q483" s="3">
        <v>10</v>
      </c>
      <c r="R483" t="s">
        <v>46</v>
      </c>
      <c r="S483" t="s">
        <v>30</v>
      </c>
    </row>
    <row r="484" spans="1:19" x14ac:dyDescent="0.25">
      <c r="A484">
        <v>483</v>
      </c>
      <c r="B484">
        <v>41</v>
      </c>
      <c r="C484" t="s">
        <v>19</v>
      </c>
      <c r="D484" t="s">
        <v>133</v>
      </c>
      <c r="E484" t="s">
        <v>69</v>
      </c>
      <c r="F484" s="1">
        <v>42</v>
      </c>
      <c r="G484" t="s">
        <v>139</v>
      </c>
      <c r="H484" t="s">
        <v>45</v>
      </c>
      <c r="I484" t="s">
        <v>134</v>
      </c>
      <c r="J484" t="s">
        <v>25</v>
      </c>
      <c r="K484" s="2">
        <v>2.5</v>
      </c>
      <c r="L484" t="s">
        <v>26</v>
      </c>
      <c r="M484" t="s">
        <v>46</v>
      </c>
      <c r="N484" t="s">
        <v>72</v>
      </c>
      <c r="O484" t="s">
        <v>26</v>
      </c>
      <c r="P484" t="s">
        <v>26</v>
      </c>
      <c r="Q484" s="3">
        <v>11</v>
      </c>
      <c r="R484" t="s">
        <v>29</v>
      </c>
      <c r="S484" t="s">
        <v>50</v>
      </c>
    </row>
    <row r="485" spans="1:19" x14ac:dyDescent="0.25">
      <c r="A485">
        <v>484</v>
      </c>
      <c r="B485">
        <v>23</v>
      </c>
      <c r="C485" t="s">
        <v>19</v>
      </c>
      <c r="D485" t="s">
        <v>104</v>
      </c>
      <c r="E485" t="s">
        <v>21</v>
      </c>
      <c r="F485" s="1">
        <v>73</v>
      </c>
      <c r="G485" t="s">
        <v>101</v>
      </c>
      <c r="H485" t="s">
        <v>45</v>
      </c>
      <c r="I485" t="s">
        <v>53</v>
      </c>
      <c r="J485" t="s">
        <v>58</v>
      </c>
      <c r="K485" s="2">
        <v>3.9</v>
      </c>
      <c r="L485" t="s">
        <v>26</v>
      </c>
      <c r="M485" t="s">
        <v>29</v>
      </c>
      <c r="N485" t="s">
        <v>76</v>
      </c>
      <c r="O485" t="s">
        <v>26</v>
      </c>
      <c r="P485" t="s">
        <v>26</v>
      </c>
      <c r="Q485" s="3">
        <v>12</v>
      </c>
      <c r="R485" t="s">
        <v>59</v>
      </c>
      <c r="S485" t="s">
        <v>41</v>
      </c>
    </row>
    <row r="486" spans="1:19" x14ac:dyDescent="0.25">
      <c r="A486">
        <v>485</v>
      </c>
      <c r="B486">
        <v>68</v>
      </c>
      <c r="C486" t="s">
        <v>19</v>
      </c>
      <c r="D486" t="s">
        <v>124</v>
      </c>
      <c r="E486" t="s">
        <v>69</v>
      </c>
      <c r="F486" s="1">
        <v>73</v>
      </c>
      <c r="G486" t="s">
        <v>70</v>
      </c>
      <c r="H486" t="s">
        <v>23</v>
      </c>
      <c r="I486" t="s">
        <v>93</v>
      </c>
      <c r="J486" t="s">
        <v>54</v>
      </c>
      <c r="K486" s="2">
        <v>4.7</v>
      </c>
      <c r="L486" t="s">
        <v>26</v>
      </c>
      <c r="M486" t="s">
        <v>27</v>
      </c>
      <c r="N486" t="s">
        <v>40</v>
      </c>
      <c r="O486" t="s">
        <v>26</v>
      </c>
      <c r="P486" t="s">
        <v>26</v>
      </c>
      <c r="Q486" s="3">
        <v>28</v>
      </c>
      <c r="R486" t="s">
        <v>34</v>
      </c>
      <c r="S486" t="s">
        <v>60</v>
      </c>
    </row>
    <row r="487" spans="1:19" x14ac:dyDescent="0.25">
      <c r="A487">
        <v>486</v>
      </c>
      <c r="B487">
        <v>48</v>
      </c>
      <c r="C487" t="s">
        <v>19</v>
      </c>
      <c r="D487" t="s">
        <v>73</v>
      </c>
      <c r="E487" t="s">
        <v>43</v>
      </c>
      <c r="F487" s="1">
        <v>44</v>
      </c>
      <c r="G487" t="s">
        <v>122</v>
      </c>
      <c r="H487" t="s">
        <v>38</v>
      </c>
      <c r="I487" t="s">
        <v>144</v>
      </c>
      <c r="J487" t="s">
        <v>39</v>
      </c>
      <c r="K487" s="2">
        <v>2.6</v>
      </c>
      <c r="L487" t="s">
        <v>26</v>
      </c>
      <c r="M487" t="s">
        <v>59</v>
      </c>
      <c r="N487" t="s">
        <v>47</v>
      </c>
      <c r="O487" t="s">
        <v>26</v>
      </c>
      <c r="P487" t="s">
        <v>26</v>
      </c>
      <c r="Q487" s="3">
        <v>36</v>
      </c>
      <c r="R487" t="s">
        <v>59</v>
      </c>
      <c r="S487" t="s">
        <v>30</v>
      </c>
    </row>
    <row r="488" spans="1:19" x14ac:dyDescent="0.25">
      <c r="A488">
        <v>487</v>
      </c>
      <c r="B488">
        <v>38</v>
      </c>
      <c r="C488" t="s">
        <v>19</v>
      </c>
      <c r="D488" t="s">
        <v>42</v>
      </c>
      <c r="E488" t="s">
        <v>43</v>
      </c>
      <c r="F488" s="1">
        <v>63</v>
      </c>
      <c r="G488" t="s">
        <v>130</v>
      </c>
      <c r="H488" t="s">
        <v>45</v>
      </c>
      <c r="I488" t="s">
        <v>63</v>
      </c>
      <c r="J488" t="s">
        <v>58</v>
      </c>
      <c r="K488" s="2">
        <v>2.8</v>
      </c>
      <c r="L488" t="s">
        <v>26</v>
      </c>
      <c r="M488" t="s">
        <v>59</v>
      </c>
      <c r="N488" t="s">
        <v>76</v>
      </c>
      <c r="O488" t="s">
        <v>26</v>
      </c>
      <c r="P488" t="s">
        <v>26</v>
      </c>
      <c r="Q488" s="3">
        <v>37</v>
      </c>
      <c r="R488" t="s">
        <v>29</v>
      </c>
      <c r="S488" t="s">
        <v>97</v>
      </c>
    </row>
    <row r="489" spans="1:19" x14ac:dyDescent="0.25">
      <c r="A489">
        <v>488</v>
      </c>
      <c r="B489">
        <v>41</v>
      </c>
      <c r="C489" t="s">
        <v>19</v>
      </c>
      <c r="D489" t="s">
        <v>102</v>
      </c>
      <c r="E489" t="s">
        <v>65</v>
      </c>
      <c r="F489" s="1">
        <v>68</v>
      </c>
      <c r="G489" t="s">
        <v>146</v>
      </c>
      <c r="H489" t="s">
        <v>23</v>
      </c>
      <c r="I489" t="s">
        <v>108</v>
      </c>
      <c r="J489" t="s">
        <v>25</v>
      </c>
      <c r="K489" s="2">
        <v>4.4000000000000004</v>
      </c>
      <c r="L489" t="s">
        <v>26</v>
      </c>
      <c r="M489" t="s">
        <v>27</v>
      </c>
      <c r="N489" t="s">
        <v>76</v>
      </c>
      <c r="O489" t="s">
        <v>26</v>
      </c>
      <c r="P489" t="s">
        <v>26</v>
      </c>
      <c r="Q489" s="3">
        <v>22</v>
      </c>
      <c r="R489" t="s">
        <v>27</v>
      </c>
      <c r="S489" t="s">
        <v>60</v>
      </c>
    </row>
    <row r="490" spans="1:19" x14ac:dyDescent="0.25">
      <c r="A490">
        <v>489</v>
      </c>
      <c r="B490">
        <v>58</v>
      </c>
      <c r="C490" t="s">
        <v>19</v>
      </c>
      <c r="D490" t="s">
        <v>31</v>
      </c>
      <c r="E490" t="s">
        <v>21</v>
      </c>
      <c r="F490" s="1">
        <v>29</v>
      </c>
      <c r="G490" t="s">
        <v>32</v>
      </c>
      <c r="H490" t="s">
        <v>23</v>
      </c>
      <c r="I490" t="s">
        <v>79</v>
      </c>
      <c r="J490" t="s">
        <v>39</v>
      </c>
      <c r="K490" s="2">
        <v>4.5999999999999996</v>
      </c>
      <c r="L490" t="s">
        <v>26</v>
      </c>
      <c r="M490" t="s">
        <v>29</v>
      </c>
      <c r="N490" t="s">
        <v>55</v>
      </c>
      <c r="O490" t="s">
        <v>26</v>
      </c>
      <c r="P490" t="s">
        <v>26</v>
      </c>
      <c r="Q490" s="3">
        <v>32</v>
      </c>
      <c r="R490" t="s">
        <v>29</v>
      </c>
      <c r="S490" t="s">
        <v>41</v>
      </c>
    </row>
    <row r="491" spans="1:19" x14ac:dyDescent="0.25">
      <c r="A491">
        <v>490</v>
      </c>
      <c r="B491">
        <v>49</v>
      </c>
      <c r="C491" t="s">
        <v>19</v>
      </c>
      <c r="D491" t="s">
        <v>125</v>
      </c>
      <c r="E491" t="s">
        <v>21</v>
      </c>
      <c r="F491" s="1">
        <v>85</v>
      </c>
      <c r="G491" t="s">
        <v>147</v>
      </c>
      <c r="H491" t="s">
        <v>45</v>
      </c>
      <c r="I491" t="s">
        <v>96</v>
      </c>
      <c r="J491" t="s">
        <v>54</v>
      </c>
      <c r="K491" s="2">
        <v>3.2</v>
      </c>
      <c r="L491" t="s">
        <v>26</v>
      </c>
      <c r="M491" t="s">
        <v>29</v>
      </c>
      <c r="N491" t="s">
        <v>55</v>
      </c>
      <c r="O491" t="s">
        <v>26</v>
      </c>
      <c r="P491" t="s">
        <v>26</v>
      </c>
      <c r="Q491" s="3">
        <v>40</v>
      </c>
      <c r="R491" t="s">
        <v>46</v>
      </c>
      <c r="S491" t="s">
        <v>50</v>
      </c>
    </row>
    <row r="492" spans="1:19" x14ac:dyDescent="0.25">
      <c r="A492">
        <v>491</v>
      </c>
      <c r="B492">
        <v>57</v>
      </c>
      <c r="C492" t="s">
        <v>19</v>
      </c>
      <c r="D492" t="s">
        <v>51</v>
      </c>
      <c r="E492" t="s">
        <v>43</v>
      </c>
      <c r="F492" s="1">
        <v>42</v>
      </c>
      <c r="G492" t="s">
        <v>112</v>
      </c>
      <c r="H492" t="s">
        <v>45</v>
      </c>
      <c r="I492" t="s">
        <v>67</v>
      </c>
      <c r="J492" t="s">
        <v>25</v>
      </c>
      <c r="K492" s="2">
        <v>4.2</v>
      </c>
      <c r="L492" t="s">
        <v>26</v>
      </c>
      <c r="M492" t="s">
        <v>46</v>
      </c>
      <c r="N492" t="s">
        <v>72</v>
      </c>
      <c r="O492" t="s">
        <v>26</v>
      </c>
      <c r="P492" t="s">
        <v>26</v>
      </c>
      <c r="Q492" s="3">
        <v>47</v>
      </c>
      <c r="R492" t="s">
        <v>35</v>
      </c>
      <c r="S492" t="s">
        <v>88</v>
      </c>
    </row>
    <row r="493" spans="1:19" x14ac:dyDescent="0.25">
      <c r="A493">
        <v>492</v>
      </c>
      <c r="B493">
        <v>49</v>
      </c>
      <c r="C493" t="s">
        <v>19</v>
      </c>
      <c r="D493" t="s">
        <v>64</v>
      </c>
      <c r="E493" t="s">
        <v>65</v>
      </c>
      <c r="F493" s="1">
        <v>69</v>
      </c>
      <c r="G493" t="s">
        <v>129</v>
      </c>
      <c r="H493" t="s">
        <v>45</v>
      </c>
      <c r="I493" t="s">
        <v>67</v>
      </c>
      <c r="J493" t="s">
        <v>54</v>
      </c>
      <c r="K493" s="2">
        <v>3.7</v>
      </c>
      <c r="L493" t="s">
        <v>26</v>
      </c>
      <c r="M493" t="s">
        <v>34</v>
      </c>
      <c r="N493" t="s">
        <v>72</v>
      </c>
      <c r="O493" t="s">
        <v>26</v>
      </c>
      <c r="P493" t="s">
        <v>26</v>
      </c>
      <c r="Q493" s="3">
        <v>24</v>
      </c>
      <c r="R493" t="s">
        <v>27</v>
      </c>
      <c r="S493" t="s">
        <v>77</v>
      </c>
    </row>
    <row r="494" spans="1:19" x14ac:dyDescent="0.25">
      <c r="A494">
        <v>493</v>
      </c>
      <c r="B494">
        <v>50</v>
      </c>
      <c r="C494" t="s">
        <v>19</v>
      </c>
      <c r="D494" t="s">
        <v>56</v>
      </c>
      <c r="E494" t="s">
        <v>21</v>
      </c>
      <c r="F494" s="1">
        <v>62</v>
      </c>
      <c r="G494" t="s">
        <v>151</v>
      </c>
      <c r="H494" t="s">
        <v>45</v>
      </c>
      <c r="I494" t="s">
        <v>94</v>
      </c>
      <c r="J494" t="s">
        <v>58</v>
      </c>
      <c r="K494" s="2">
        <v>3.9</v>
      </c>
      <c r="L494" t="s">
        <v>26</v>
      </c>
      <c r="M494" t="s">
        <v>46</v>
      </c>
      <c r="N494" t="s">
        <v>55</v>
      </c>
      <c r="O494" t="s">
        <v>26</v>
      </c>
      <c r="P494" t="s">
        <v>26</v>
      </c>
      <c r="Q494" s="3">
        <v>11</v>
      </c>
      <c r="R494" t="s">
        <v>59</v>
      </c>
      <c r="S494" t="s">
        <v>41</v>
      </c>
    </row>
    <row r="495" spans="1:19" x14ac:dyDescent="0.25">
      <c r="A495">
        <v>494</v>
      </c>
      <c r="B495">
        <v>28</v>
      </c>
      <c r="C495" t="s">
        <v>19</v>
      </c>
      <c r="D495" t="s">
        <v>132</v>
      </c>
      <c r="E495" t="s">
        <v>69</v>
      </c>
      <c r="F495" s="1">
        <v>48</v>
      </c>
      <c r="G495" t="s">
        <v>107</v>
      </c>
      <c r="H495" t="s">
        <v>92</v>
      </c>
      <c r="I495" t="s">
        <v>108</v>
      </c>
      <c r="J495" t="s">
        <v>54</v>
      </c>
      <c r="K495" s="2">
        <v>4.7</v>
      </c>
      <c r="L495" t="s">
        <v>26</v>
      </c>
      <c r="M495" t="s">
        <v>59</v>
      </c>
      <c r="N495" t="s">
        <v>76</v>
      </c>
      <c r="O495" t="s">
        <v>26</v>
      </c>
      <c r="P495" t="s">
        <v>26</v>
      </c>
      <c r="Q495" s="3">
        <v>19</v>
      </c>
      <c r="R495" t="s">
        <v>35</v>
      </c>
      <c r="S495" t="s">
        <v>77</v>
      </c>
    </row>
    <row r="496" spans="1:19" x14ac:dyDescent="0.25">
      <c r="A496">
        <v>495</v>
      </c>
      <c r="B496">
        <v>38</v>
      </c>
      <c r="C496" t="s">
        <v>19</v>
      </c>
      <c r="D496" t="s">
        <v>137</v>
      </c>
      <c r="E496" t="s">
        <v>43</v>
      </c>
      <c r="F496" s="1">
        <v>68</v>
      </c>
      <c r="G496" t="s">
        <v>116</v>
      </c>
      <c r="H496" t="s">
        <v>45</v>
      </c>
      <c r="I496" t="s">
        <v>126</v>
      </c>
      <c r="J496" t="s">
        <v>25</v>
      </c>
      <c r="K496" s="2">
        <v>4.5</v>
      </c>
      <c r="L496" t="s">
        <v>26</v>
      </c>
      <c r="M496" t="s">
        <v>46</v>
      </c>
      <c r="N496" t="s">
        <v>28</v>
      </c>
      <c r="O496" t="s">
        <v>26</v>
      </c>
      <c r="P496" t="s">
        <v>26</v>
      </c>
      <c r="Q496" s="3">
        <v>42</v>
      </c>
      <c r="R496" t="s">
        <v>59</v>
      </c>
      <c r="S496" t="s">
        <v>41</v>
      </c>
    </row>
    <row r="497" spans="1:19" x14ac:dyDescent="0.25">
      <c r="A497">
        <v>496</v>
      </c>
      <c r="B497">
        <v>33</v>
      </c>
      <c r="C497" t="s">
        <v>19</v>
      </c>
      <c r="D497" t="s">
        <v>68</v>
      </c>
      <c r="E497" t="s">
        <v>69</v>
      </c>
      <c r="F497" s="1">
        <v>36</v>
      </c>
      <c r="G497" t="s">
        <v>151</v>
      </c>
      <c r="H497" t="s">
        <v>92</v>
      </c>
      <c r="I497" t="s">
        <v>109</v>
      </c>
      <c r="J497" t="s">
        <v>58</v>
      </c>
      <c r="K497" s="2">
        <v>3.3</v>
      </c>
      <c r="L497" t="s">
        <v>26</v>
      </c>
      <c r="M497" t="s">
        <v>27</v>
      </c>
      <c r="N497" t="s">
        <v>40</v>
      </c>
      <c r="O497" t="s">
        <v>26</v>
      </c>
      <c r="P497" t="s">
        <v>26</v>
      </c>
      <c r="Q497" s="3">
        <v>6</v>
      </c>
      <c r="R497" t="s">
        <v>59</v>
      </c>
      <c r="S497" t="s">
        <v>30</v>
      </c>
    </row>
    <row r="498" spans="1:19" x14ac:dyDescent="0.25">
      <c r="A498">
        <v>497</v>
      </c>
      <c r="B498">
        <v>30</v>
      </c>
      <c r="C498" t="s">
        <v>19</v>
      </c>
      <c r="D498" t="s">
        <v>82</v>
      </c>
      <c r="E498" t="s">
        <v>21</v>
      </c>
      <c r="F498" s="1">
        <v>63</v>
      </c>
      <c r="G498" t="s">
        <v>99</v>
      </c>
      <c r="H498" t="s">
        <v>38</v>
      </c>
      <c r="I498" t="s">
        <v>33</v>
      </c>
      <c r="J498" t="s">
        <v>58</v>
      </c>
      <c r="K498" s="2">
        <v>3.3</v>
      </c>
      <c r="L498" t="s">
        <v>26</v>
      </c>
      <c r="M498" t="s">
        <v>29</v>
      </c>
      <c r="N498" t="s">
        <v>28</v>
      </c>
      <c r="O498" t="s">
        <v>26</v>
      </c>
      <c r="P498" t="s">
        <v>26</v>
      </c>
      <c r="Q498" s="3">
        <v>31</v>
      </c>
      <c r="R498" t="s">
        <v>29</v>
      </c>
      <c r="S498" t="s">
        <v>30</v>
      </c>
    </row>
    <row r="499" spans="1:19" x14ac:dyDescent="0.25">
      <c r="A499">
        <v>498</v>
      </c>
      <c r="B499">
        <v>43</v>
      </c>
      <c r="C499" t="s">
        <v>19</v>
      </c>
      <c r="D499" t="s">
        <v>51</v>
      </c>
      <c r="E499" t="s">
        <v>43</v>
      </c>
      <c r="F499" s="1">
        <v>39</v>
      </c>
      <c r="G499" t="s">
        <v>101</v>
      </c>
      <c r="H499" t="s">
        <v>38</v>
      </c>
      <c r="I499" t="s">
        <v>67</v>
      </c>
      <c r="J499" t="s">
        <v>25</v>
      </c>
      <c r="K499" s="2">
        <v>4.5999999999999996</v>
      </c>
      <c r="L499" t="s">
        <v>26</v>
      </c>
      <c r="M499" t="s">
        <v>34</v>
      </c>
      <c r="N499" t="s">
        <v>40</v>
      </c>
      <c r="O499" t="s">
        <v>26</v>
      </c>
      <c r="P499" t="s">
        <v>26</v>
      </c>
      <c r="Q499" s="3">
        <v>31</v>
      </c>
      <c r="R499" t="s">
        <v>35</v>
      </c>
      <c r="S499" t="s">
        <v>41</v>
      </c>
    </row>
    <row r="500" spans="1:19" x14ac:dyDescent="0.25">
      <c r="A500">
        <v>499</v>
      </c>
      <c r="B500">
        <v>43</v>
      </c>
      <c r="C500" t="s">
        <v>19</v>
      </c>
      <c r="D500" t="s">
        <v>137</v>
      </c>
      <c r="E500" t="s">
        <v>43</v>
      </c>
      <c r="F500" s="1">
        <v>78</v>
      </c>
      <c r="G500" t="s">
        <v>146</v>
      </c>
      <c r="H500" t="s">
        <v>45</v>
      </c>
      <c r="I500" t="s">
        <v>93</v>
      </c>
      <c r="J500" t="s">
        <v>39</v>
      </c>
      <c r="K500" s="2">
        <v>3.6</v>
      </c>
      <c r="L500" t="s">
        <v>26</v>
      </c>
      <c r="M500" t="s">
        <v>46</v>
      </c>
      <c r="N500" t="s">
        <v>40</v>
      </c>
      <c r="O500" t="s">
        <v>26</v>
      </c>
      <c r="P500" t="s">
        <v>26</v>
      </c>
      <c r="Q500" s="3">
        <v>27</v>
      </c>
      <c r="R500" t="s">
        <v>34</v>
      </c>
      <c r="S500" t="s">
        <v>88</v>
      </c>
    </row>
    <row r="501" spans="1:19" x14ac:dyDescent="0.25">
      <c r="A501">
        <v>500</v>
      </c>
      <c r="B501">
        <v>36</v>
      </c>
      <c r="C501" t="s">
        <v>19</v>
      </c>
      <c r="D501" t="s">
        <v>73</v>
      </c>
      <c r="E501" t="s">
        <v>43</v>
      </c>
      <c r="F501" s="1">
        <v>99</v>
      </c>
      <c r="G501" t="s">
        <v>44</v>
      </c>
      <c r="H501" t="s">
        <v>23</v>
      </c>
      <c r="I501" t="s">
        <v>67</v>
      </c>
      <c r="J501" t="s">
        <v>25</v>
      </c>
      <c r="K501" s="2">
        <v>4.8</v>
      </c>
      <c r="L501" t="s">
        <v>26</v>
      </c>
      <c r="M501" t="s">
        <v>27</v>
      </c>
      <c r="N501" t="s">
        <v>28</v>
      </c>
      <c r="O501" t="s">
        <v>26</v>
      </c>
      <c r="P501" t="s">
        <v>26</v>
      </c>
      <c r="Q501" s="3">
        <v>24</v>
      </c>
      <c r="R501" t="s">
        <v>46</v>
      </c>
      <c r="S501" t="s">
        <v>88</v>
      </c>
    </row>
    <row r="502" spans="1:19" x14ac:dyDescent="0.25">
      <c r="A502">
        <v>501</v>
      </c>
      <c r="B502">
        <v>36</v>
      </c>
      <c r="C502" t="s">
        <v>19</v>
      </c>
      <c r="D502" t="s">
        <v>113</v>
      </c>
      <c r="E502" t="s">
        <v>21</v>
      </c>
      <c r="F502" s="1">
        <v>31</v>
      </c>
      <c r="G502" t="s">
        <v>149</v>
      </c>
      <c r="H502" t="s">
        <v>23</v>
      </c>
      <c r="I502" t="s">
        <v>75</v>
      </c>
      <c r="J502" t="s">
        <v>58</v>
      </c>
      <c r="K502" s="2">
        <v>4.8</v>
      </c>
      <c r="L502" t="s">
        <v>26</v>
      </c>
      <c r="M502" t="s">
        <v>34</v>
      </c>
      <c r="N502" t="s">
        <v>47</v>
      </c>
      <c r="O502" t="s">
        <v>26</v>
      </c>
      <c r="P502" t="s">
        <v>26</v>
      </c>
      <c r="Q502" s="3">
        <v>35</v>
      </c>
      <c r="R502" t="s">
        <v>29</v>
      </c>
      <c r="S502" t="s">
        <v>97</v>
      </c>
    </row>
    <row r="503" spans="1:19" x14ac:dyDescent="0.25">
      <c r="A503">
        <v>502</v>
      </c>
      <c r="B503">
        <v>64</v>
      </c>
      <c r="C503" t="s">
        <v>19</v>
      </c>
      <c r="D503" t="s">
        <v>137</v>
      </c>
      <c r="E503" t="s">
        <v>43</v>
      </c>
      <c r="F503" s="1">
        <v>45</v>
      </c>
      <c r="G503" t="s">
        <v>103</v>
      </c>
      <c r="H503" t="s">
        <v>45</v>
      </c>
      <c r="I503" t="s">
        <v>109</v>
      </c>
      <c r="J503" t="s">
        <v>39</v>
      </c>
      <c r="K503" s="2">
        <v>2.9</v>
      </c>
      <c r="L503" t="s">
        <v>26</v>
      </c>
      <c r="M503" t="s">
        <v>59</v>
      </c>
      <c r="N503" t="s">
        <v>47</v>
      </c>
      <c r="O503" t="s">
        <v>26</v>
      </c>
      <c r="P503" t="s">
        <v>26</v>
      </c>
      <c r="Q503" s="3">
        <v>21</v>
      </c>
      <c r="R503" t="s">
        <v>29</v>
      </c>
      <c r="S503" t="s">
        <v>50</v>
      </c>
    </row>
    <row r="504" spans="1:19" x14ac:dyDescent="0.25">
      <c r="A504">
        <v>503</v>
      </c>
      <c r="B504">
        <v>59</v>
      </c>
      <c r="C504" t="s">
        <v>19</v>
      </c>
      <c r="D504" t="s">
        <v>95</v>
      </c>
      <c r="E504" t="s">
        <v>21</v>
      </c>
      <c r="F504" s="1">
        <v>30</v>
      </c>
      <c r="G504" t="s">
        <v>131</v>
      </c>
      <c r="H504" t="s">
        <v>38</v>
      </c>
      <c r="I504" t="s">
        <v>109</v>
      </c>
      <c r="J504" t="s">
        <v>58</v>
      </c>
      <c r="K504" s="2">
        <v>2.8</v>
      </c>
      <c r="L504" t="s">
        <v>26</v>
      </c>
      <c r="M504" t="s">
        <v>35</v>
      </c>
      <c r="N504" t="s">
        <v>28</v>
      </c>
      <c r="O504" t="s">
        <v>26</v>
      </c>
      <c r="P504" t="s">
        <v>26</v>
      </c>
      <c r="Q504" s="3">
        <v>8</v>
      </c>
      <c r="R504" t="s">
        <v>46</v>
      </c>
      <c r="S504" t="s">
        <v>30</v>
      </c>
    </row>
    <row r="505" spans="1:19" x14ac:dyDescent="0.25">
      <c r="A505">
        <v>504</v>
      </c>
      <c r="B505">
        <v>55</v>
      </c>
      <c r="C505" t="s">
        <v>19</v>
      </c>
      <c r="D505" t="s">
        <v>73</v>
      </c>
      <c r="E505" t="s">
        <v>43</v>
      </c>
      <c r="F505" s="1">
        <v>24</v>
      </c>
      <c r="G505" t="s">
        <v>66</v>
      </c>
      <c r="H505" t="s">
        <v>45</v>
      </c>
      <c r="I505" t="s">
        <v>93</v>
      </c>
      <c r="J505" t="s">
        <v>54</v>
      </c>
      <c r="K505" s="2">
        <v>3.2</v>
      </c>
      <c r="L505" t="s">
        <v>26</v>
      </c>
      <c r="M505" t="s">
        <v>27</v>
      </c>
      <c r="N505" t="s">
        <v>47</v>
      </c>
      <c r="O505" t="s">
        <v>26</v>
      </c>
      <c r="P505" t="s">
        <v>26</v>
      </c>
      <c r="Q505" s="3">
        <v>26</v>
      </c>
      <c r="R505" t="s">
        <v>34</v>
      </c>
      <c r="S505" t="s">
        <v>60</v>
      </c>
    </row>
    <row r="506" spans="1:19" x14ac:dyDescent="0.25">
      <c r="A506">
        <v>505</v>
      </c>
      <c r="B506">
        <v>42</v>
      </c>
      <c r="C506" t="s">
        <v>19</v>
      </c>
      <c r="D506" t="s">
        <v>73</v>
      </c>
      <c r="E506" t="s">
        <v>43</v>
      </c>
      <c r="F506" s="1">
        <v>22</v>
      </c>
      <c r="G506" t="s">
        <v>70</v>
      </c>
      <c r="H506" t="s">
        <v>45</v>
      </c>
      <c r="I506" t="s">
        <v>33</v>
      </c>
      <c r="J506" t="s">
        <v>25</v>
      </c>
      <c r="K506" s="2">
        <v>3.9</v>
      </c>
      <c r="L506" t="s">
        <v>26</v>
      </c>
      <c r="M506" t="s">
        <v>34</v>
      </c>
      <c r="N506" t="s">
        <v>40</v>
      </c>
      <c r="O506" t="s">
        <v>26</v>
      </c>
      <c r="P506" t="s">
        <v>26</v>
      </c>
      <c r="Q506" s="3">
        <v>26</v>
      </c>
      <c r="R506" t="s">
        <v>46</v>
      </c>
      <c r="S506" t="s">
        <v>50</v>
      </c>
    </row>
    <row r="507" spans="1:19" x14ac:dyDescent="0.25">
      <c r="A507">
        <v>506</v>
      </c>
      <c r="B507">
        <v>61</v>
      </c>
      <c r="C507" t="s">
        <v>19</v>
      </c>
      <c r="D507" t="s">
        <v>113</v>
      </c>
      <c r="E507" t="s">
        <v>21</v>
      </c>
      <c r="F507" s="1">
        <v>63</v>
      </c>
      <c r="G507" t="s">
        <v>32</v>
      </c>
      <c r="H507" t="s">
        <v>23</v>
      </c>
      <c r="I507" t="s">
        <v>24</v>
      </c>
      <c r="J507" t="s">
        <v>39</v>
      </c>
      <c r="K507" s="2">
        <v>4.3</v>
      </c>
      <c r="L507" t="s">
        <v>26</v>
      </c>
      <c r="M507" t="s">
        <v>27</v>
      </c>
      <c r="N507" t="s">
        <v>28</v>
      </c>
      <c r="O507" t="s">
        <v>26</v>
      </c>
      <c r="P507" t="s">
        <v>26</v>
      </c>
      <c r="Q507" s="3">
        <v>9</v>
      </c>
      <c r="R507" t="s">
        <v>35</v>
      </c>
      <c r="S507" t="s">
        <v>77</v>
      </c>
    </row>
    <row r="508" spans="1:19" x14ac:dyDescent="0.25">
      <c r="A508">
        <v>507</v>
      </c>
      <c r="B508">
        <v>28</v>
      </c>
      <c r="C508" t="s">
        <v>19</v>
      </c>
      <c r="D508" t="s">
        <v>119</v>
      </c>
      <c r="E508" t="s">
        <v>69</v>
      </c>
      <c r="F508" s="1">
        <v>40</v>
      </c>
      <c r="G508" t="s">
        <v>142</v>
      </c>
      <c r="H508" t="s">
        <v>45</v>
      </c>
      <c r="I508" t="s">
        <v>79</v>
      </c>
      <c r="J508" t="s">
        <v>58</v>
      </c>
      <c r="K508" s="2">
        <v>2.7</v>
      </c>
      <c r="L508" t="s">
        <v>26</v>
      </c>
      <c r="M508" t="s">
        <v>35</v>
      </c>
      <c r="N508" t="s">
        <v>72</v>
      </c>
      <c r="O508" t="s">
        <v>26</v>
      </c>
      <c r="P508" t="s">
        <v>26</v>
      </c>
      <c r="Q508" s="3">
        <v>48</v>
      </c>
      <c r="R508" t="s">
        <v>59</v>
      </c>
      <c r="S508" t="s">
        <v>50</v>
      </c>
    </row>
    <row r="509" spans="1:19" x14ac:dyDescent="0.25">
      <c r="A509">
        <v>508</v>
      </c>
      <c r="B509">
        <v>65</v>
      </c>
      <c r="C509" t="s">
        <v>19</v>
      </c>
      <c r="D509" t="s">
        <v>61</v>
      </c>
      <c r="E509" t="s">
        <v>21</v>
      </c>
      <c r="F509" s="1">
        <v>20</v>
      </c>
      <c r="G509" t="s">
        <v>32</v>
      </c>
      <c r="H509" t="s">
        <v>45</v>
      </c>
      <c r="I509" t="s">
        <v>136</v>
      </c>
      <c r="J509" t="s">
        <v>39</v>
      </c>
      <c r="K509" s="2">
        <v>5</v>
      </c>
      <c r="L509" t="s">
        <v>26</v>
      </c>
      <c r="M509" t="s">
        <v>34</v>
      </c>
      <c r="N509" t="s">
        <v>76</v>
      </c>
      <c r="O509" t="s">
        <v>26</v>
      </c>
      <c r="P509" t="s">
        <v>26</v>
      </c>
      <c r="Q509" s="3">
        <v>33</v>
      </c>
      <c r="R509" t="s">
        <v>59</v>
      </c>
      <c r="S509" t="s">
        <v>30</v>
      </c>
    </row>
    <row r="510" spans="1:19" x14ac:dyDescent="0.25">
      <c r="A510">
        <v>509</v>
      </c>
      <c r="B510">
        <v>27</v>
      </c>
      <c r="C510" t="s">
        <v>19</v>
      </c>
      <c r="D510" t="s">
        <v>106</v>
      </c>
      <c r="E510" t="s">
        <v>69</v>
      </c>
      <c r="F510" s="1">
        <v>20</v>
      </c>
      <c r="G510" t="s">
        <v>115</v>
      </c>
      <c r="H510" t="s">
        <v>38</v>
      </c>
      <c r="I510" t="s">
        <v>134</v>
      </c>
      <c r="J510" t="s">
        <v>25</v>
      </c>
      <c r="K510" s="2">
        <v>3.7</v>
      </c>
      <c r="L510" t="s">
        <v>26</v>
      </c>
      <c r="M510" t="s">
        <v>35</v>
      </c>
      <c r="N510" t="s">
        <v>76</v>
      </c>
      <c r="O510" t="s">
        <v>26</v>
      </c>
      <c r="P510" t="s">
        <v>26</v>
      </c>
      <c r="Q510" s="3">
        <v>31</v>
      </c>
      <c r="R510" t="s">
        <v>46</v>
      </c>
      <c r="S510" t="s">
        <v>60</v>
      </c>
    </row>
    <row r="511" spans="1:19" x14ac:dyDescent="0.25">
      <c r="A511">
        <v>510</v>
      </c>
      <c r="B511">
        <v>41</v>
      </c>
      <c r="C511" t="s">
        <v>19</v>
      </c>
      <c r="D511" t="s">
        <v>113</v>
      </c>
      <c r="E511" t="s">
        <v>21</v>
      </c>
      <c r="F511" s="1">
        <v>80</v>
      </c>
      <c r="G511" t="s">
        <v>80</v>
      </c>
      <c r="H511" t="s">
        <v>23</v>
      </c>
      <c r="I511" t="s">
        <v>109</v>
      </c>
      <c r="J511" t="s">
        <v>54</v>
      </c>
      <c r="K511" s="2">
        <v>3.9</v>
      </c>
      <c r="L511" t="s">
        <v>26</v>
      </c>
      <c r="M511" t="s">
        <v>34</v>
      </c>
      <c r="N511" t="s">
        <v>40</v>
      </c>
      <c r="O511" t="s">
        <v>26</v>
      </c>
      <c r="P511" t="s">
        <v>26</v>
      </c>
      <c r="Q511" s="3">
        <v>17</v>
      </c>
      <c r="R511" t="s">
        <v>59</v>
      </c>
      <c r="S511" t="s">
        <v>41</v>
      </c>
    </row>
    <row r="512" spans="1:19" x14ac:dyDescent="0.25">
      <c r="A512">
        <v>511</v>
      </c>
      <c r="B512">
        <v>21</v>
      </c>
      <c r="C512" t="s">
        <v>19</v>
      </c>
      <c r="D512" t="s">
        <v>56</v>
      </c>
      <c r="E512" t="s">
        <v>21</v>
      </c>
      <c r="F512" s="1">
        <v>87</v>
      </c>
      <c r="G512" t="s">
        <v>66</v>
      </c>
      <c r="H512" t="s">
        <v>45</v>
      </c>
      <c r="I512" t="s">
        <v>86</v>
      </c>
      <c r="J512" t="s">
        <v>58</v>
      </c>
      <c r="K512" s="2">
        <v>3.9</v>
      </c>
      <c r="L512" t="s">
        <v>26</v>
      </c>
      <c r="M512" t="s">
        <v>27</v>
      </c>
      <c r="N512" t="s">
        <v>72</v>
      </c>
      <c r="O512" t="s">
        <v>26</v>
      </c>
      <c r="P512" t="s">
        <v>26</v>
      </c>
      <c r="Q512" s="3">
        <v>22</v>
      </c>
      <c r="R512" t="s">
        <v>29</v>
      </c>
      <c r="S512" t="s">
        <v>50</v>
      </c>
    </row>
    <row r="513" spans="1:19" x14ac:dyDescent="0.25">
      <c r="A513">
        <v>512</v>
      </c>
      <c r="B513">
        <v>61</v>
      </c>
      <c r="C513" t="s">
        <v>19</v>
      </c>
      <c r="D513" t="s">
        <v>56</v>
      </c>
      <c r="E513" t="s">
        <v>21</v>
      </c>
      <c r="F513" s="1">
        <v>46</v>
      </c>
      <c r="G513" t="s">
        <v>78</v>
      </c>
      <c r="H513" t="s">
        <v>23</v>
      </c>
      <c r="I513" t="s">
        <v>134</v>
      </c>
      <c r="J513" t="s">
        <v>58</v>
      </c>
      <c r="K513" s="2">
        <v>3.1</v>
      </c>
      <c r="L513" t="s">
        <v>26</v>
      </c>
      <c r="M513" t="s">
        <v>59</v>
      </c>
      <c r="N513" t="s">
        <v>40</v>
      </c>
      <c r="O513" t="s">
        <v>26</v>
      </c>
      <c r="P513" t="s">
        <v>26</v>
      </c>
      <c r="Q513" s="3">
        <v>8</v>
      </c>
      <c r="R513" t="s">
        <v>46</v>
      </c>
      <c r="S513" t="s">
        <v>50</v>
      </c>
    </row>
    <row r="514" spans="1:19" x14ac:dyDescent="0.25">
      <c r="A514">
        <v>513</v>
      </c>
      <c r="B514">
        <v>19</v>
      </c>
      <c r="C514" t="s">
        <v>19</v>
      </c>
      <c r="D514" t="s">
        <v>143</v>
      </c>
      <c r="E514" t="s">
        <v>69</v>
      </c>
      <c r="F514" s="1">
        <v>49</v>
      </c>
      <c r="G514" t="s">
        <v>85</v>
      </c>
      <c r="H514" t="s">
        <v>23</v>
      </c>
      <c r="I514" t="s">
        <v>100</v>
      </c>
      <c r="J514" t="s">
        <v>25</v>
      </c>
      <c r="K514" s="2">
        <v>3.3</v>
      </c>
      <c r="L514" t="s">
        <v>26</v>
      </c>
      <c r="M514" t="s">
        <v>27</v>
      </c>
      <c r="N514" t="s">
        <v>47</v>
      </c>
      <c r="O514" t="s">
        <v>26</v>
      </c>
      <c r="P514" t="s">
        <v>26</v>
      </c>
      <c r="Q514" s="3">
        <v>2</v>
      </c>
      <c r="R514" t="s">
        <v>34</v>
      </c>
      <c r="S514" t="s">
        <v>88</v>
      </c>
    </row>
    <row r="515" spans="1:19" x14ac:dyDescent="0.25">
      <c r="A515">
        <v>514</v>
      </c>
      <c r="B515">
        <v>22</v>
      </c>
      <c r="C515" t="s">
        <v>19</v>
      </c>
      <c r="D515" t="s">
        <v>119</v>
      </c>
      <c r="E515" t="s">
        <v>69</v>
      </c>
      <c r="F515" s="1">
        <v>65</v>
      </c>
      <c r="G515" t="s">
        <v>130</v>
      </c>
      <c r="H515" t="s">
        <v>45</v>
      </c>
      <c r="I515" t="s">
        <v>100</v>
      </c>
      <c r="J515" t="s">
        <v>58</v>
      </c>
      <c r="K515" s="2">
        <v>3.6</v>
      </c>
      <c r="L515" t="s">
        <v>26</v>
      </c>
      <c r="M515" t="s">
        <v>46</v>
      </c>
      <c r="N515" t="s">
        <v>76</v>
      </c>
      <c r="O515" t="s">
        <v>26</v>
      </c>
      <c r="P515" t="s">
        <v>26</v>
      </c>
      <c r="Q515" s="3">
        <v>45</v>
      </c>
      <c r="R515" t="s">
        <v>29</v>
      </c>
      <c r="S515" t="s">
        <v>50</v>
      </c>
    </row>
    <row r="516" spans="1:19" x14ac:dyDescent="0.25">
      <c r="A516">
        <v>515</v>
      </c>
      <c r="B516">
        <v>64</v>
      </c>
      <c r="C516" t="s">
        <v>19</v>
      </c>
      <c r="D516" t="s">
        <v>87</v>
      </c>
      <c r="E516" t="s">
        <v>21</v>
      </c>
      <c r="F516" s="1">
        <v>62</v>
      </c>
      <c r="G516" t="s">
        <v>116</v>
      </c>
      <c r="H516" t="s">
        <v>38</v>
      </c>
      <c r="I516" t="s">
        <v>79</v>
      </c>
      <c r="J516" t="s">
        <v>25</v>
      </c>
      <c r="K516" s="2">
        <v>4.3</v>
      </c>
      <c r="L516" t="s">
        <v>26</v>
      </c>
      <c r="M516" t="s">
        <v>59</v>
      </c>
      <c r="N516" t="s">
        <v>55</v>
      </c>
      <c r="O516" t="s">
        <v>26</v>
      </c>
      <c r="P516" t="s">
        <v>26</v>
      </c>
      <c r="Q516" s="3">
        <v>47</v>
      </c>
      <c r="R516" t="s">
        <v>46</v>
      </c>
      <c r="S516" t="s">
        <v>60</v>
      </c>
    </row>
    <row r="517" spans="1:19" x14ac:dyDescent="0.25">
      <c r="A517">
        <v>516</v>
      </c>
      <c r="B517">
        <v>28</v>
      </c>
      <c r="C517" t="s">
        <v>19</v>
      </c>
      <c r="D517" t="s">
        <v>124</v>
      </c>
      <c r="E517" t="s">
        <v>69</v>
      </c>
      <c r="F517" s="1">
        <v>67</v>
      </c>
      <c r="G517" t="s">
        <v>22</v>
      </c>
      <c r="H517" t="s">
        <v>23</v>
      </c>
      <c r="I517" t="s">
        <v>63</v>
      </c>
      <c r="J517" t="s">
        <v>39</v>
      </c>
      <c r="K517" s="2">
        <v>4.5</v>
      </c>
      <c r="L517" t="s">
        <v>26</v>
      </c>
      <c r="M517" t="s">
        <v>27</v>
      </c>
      <c r="N517" t="s">
        <v>47</v>
      </c>
      <c r="O517" t="s">
        <v>26</v>
      </c>
      <c r="P517" t="s">
        <v>26</v>
      </c>
      <c r="Q517" s="3">
        <v>7</v>
      </c>
      <c r="R517" t="s">
        <v>35</v>
      </c>
      <c r="S517" t="s">
        <v>88</v>
      </c>
    </row>
    <row r="518" spans="1:19" x14ac:dyDescent="0.25">
      <c r="A518">
        <v>517</v>
      </c>
      <c r="B518">
        <v>34</v>
      </c>
      <c r="C518" t="s">
        <v>19</v>
      </c>
      <c r="D518" t="s">
        <v>104</v>
      </c>
      <c r="E518" t="s">
        <v>21</v>
      </c>
      <c r="F518" s="1">
        <v>41</v>
      </c>
      <c r="G518" t="s">
        <v>66</v>
      </c>
      <c r="H518" t="s">
        <v>23</v>
      </c>
      <c r="I518" t="s">
        <v>126</v>
      </c>
      <c r="J518" t="s">
        <v>58</v>
      </c>
      <c r="K518" s="2">
        <v>2.8</v>
      </c>
      <c r="L518" t="s">
        <v>26</v>
      </c>
      <c r="M518" t="s">
        <v>35</v>
      </c>
      <c r="N518" t="s">
        <v>72</v>
      </c>
      <c r="O518" t="s">
        <v>26</v>
      </c>
      <c r="P518" t="s">
        <v>26</v>
      </c>
      <c r="Q518" s="3">
        <v>19</v>
      </c>
      <c r="R518" t="s">
        <v>59</v>
      </c>
      <c r="S518" t="s">
        <v>77</v>
      </c>
    </row>
    <row r="519" spans="1:19" x14ac:dyDescent="0.25">
      <c r="A519">
        <v>518</v>
      </c>
      <c r="B519">
        <v>61</v>
      </c>
      <c r="C519" t="s">
        <v>19</v>
      </c>
      <c r="D519" t="s">
        <v>137</v>
      </c>
      <c r="E519" t="s">
        <v>43</v>
      </c>
      <c r="F519" s="1">
        <v>49</v>
      </c>
      <c r="G519" t="s">
        <v>114</v>
      </c>
      <c r="H519" t="s">
        <v>23</v>
      </c>
      <c r="I519" t="s">
        <v>67</v>
      </c>
      <c r="J519" t="s">
        <v>58</v>
      </c>
      <c r="K519" s="2">
        <v>2.7</v>
      </c>
      <c r="L519" t="s">
        <v>26</v>
      </c>
      <c r="M519" t="s">
        <v>59</v>
      </c>
      <c r="N519" t="s">
        <v>40</v>
      </c>
      <c r="O519" t="s">
        <v>26</v>
      </c>
      <c r="P519" t="s">
        <v>26</v>
      </c>
      <c r="Q519" s="3">
        <v>44</v>
      </c>
      <c r="R519" t="s">
        <v>35</v>
      </c>
      <c r="S519" t="s">
        <v>97</v>
      </c>
    </row>
    <row r="520" spans="1:19" x14ac:dyDescent="0.25">
      <c r="A520">
        <v>519</v>
      </c>
      <c r="B520">
        <v>24</v>
      </c>
      <c r="C520" t="s">
        <v>19</v>
      </c>
      <c r="D520" t="s">
        <v>20</v>
      </c>
      <c r="E520" t="s">
        <v>21</v>
      </c>
      <c r="F520" s="1">
        <v>100</v>
      </c>
      <c r="G520" t="s">
        <v>48</v>
      </c>
      <c r="H520" t="s">
        <v>45</v>
      </c>
      <c r="I520" t="s">
        <v>118</v>
      </c>
      <c r="J520" t="s">
        <v>58</v>
      </c>
      <c r="K520" s="2">
        <v>2.9</v>
      </c>
      <c r="L520" t="s">
        <v>26</v>
      </c>
      <c r="M520" t="s">
        <v>46</v>
      </c>
      <c r="N520" t="s">
        <v>47</v>
      </c>
      <c r="O520" t="s">
        <v>26</v>
      </c>
      <c r="P520" t="s">
        <v>26</v>
      </c>
      <c r="Q520" s="3">
        <v>16</v>
      </c>
      <c r="R520" t="s">
        <v>29</v>
      </c>
      <c r="S520" t="s">
        <v>97</v>
      </c>
    </row>
    <row r="521" spans="1:19" x14ac:dyDescent="0.25">
      <c r="A521">
        <v>520</v>
      </c>
      <c r="B521">
        <v>19</v>
      </c>
      <c r="C521" t="s">
        <v>19</v>
      </c>
      <c r="D521" t="s">
        <v>133</v>
      </c>
      <c r="E521" t="s">
        <v>69</v>
      </c>
      <c r="F521" s="1">
        <v>54</v>
      </c>
      <c r="G521" t="s">
        <v>148</v>
      </c>
      <c r="H521" t="s">
        <v>23</v>
      </c>
      <c r="I521" t="s">
        <v>144</v>
      </c>
      <c r="J521" t="s">
        <v>54</v>
      </c>
      <c r="K521" s="2">
        <v>4.4000000000000004</v>
      </c>
      <c r="L521" t="s">
        <v>26</v>
      </c>
      <c r="M521" t="s">
        <v>35</v>
      </c>
      <c r="N521" t="s">
        <v>72</v>
      </c>
      <c r="O521" t="s">
        <v>26</v>
      </c>
      <c r="P521" t="s">
        <v>26</v>
      </c>
      <c r="Q521" s="3">
        <v>17</v>
      </c>
      <c r="R521" t="s">
        <v>34</v>
      </c>
      <c r="S521" t="s">
        <v>60</v>
      </c>
    </row>
    <row r="522" spans="1:19" x14ac:dyDescent="0.25">
      <c r="A522">
        <v>521</v>
      </c>
      <c r="B522">
        <v>51</v>
      </c>
      <c r="C522" t="s">
        <v>19</v>
      </c>
      <c r="D522" t="s">
        <v>89</v>
      </c>
      <c r="E522" t="s">
        <v>69</v>
      </c>
      <c r="F522" s="1">
        <v>84</v>
      </c>
      <c r="G522" t="s">
        <v>131</v>
      </c>
      <c r="H522" t="s">
        <v>45</v>
      </c>
      <c r="I522" t="s">
        <v>53</v>
      </c>
      <c r="J522" t="s">
        <v>39</v>
      </c>
      <c r="K522" s="2">
        <v>3.9</v>
      </c>
      <c r="L522" t="s">
        <v>26</v>
      </c>
      <c r="M522" t="s">
        <v>34</v>
      </c>
      <c r="N522" t="s">
        <v>40</v>
      </c>
      <c r="O522" t="s">
        <v>26</v>
      </c>
      <c r="P522" t="s">
        <v>26</v>
      </c>
      <c r="Q522" s="3">
        <v>20</v>
      </c>
      <c r="R522" t="s">
        <v>59</v>
      </c>
      <c r="S522" t="s">
        <v>60</v>
      </c>
    </row>
    <row r="523" spans="1:19" x14ac:dyDescent="0.25">
      <c r="A523">
        <v>522</v>
      </c>
      <c r="B523">
        <v>36</v>
      </c>
      <c r="C523" t="s">
        <v>19</v>
      </c>
      <c r="D523" t="s">
        <v>61</v>
      </c>
      <c r="E523" t="s">
        <v>21</v>
      </c>
      <c r="F523" s="1">
        <v>41</v>
      </c>
      <c r="G523" t="s">
        <v>129</v>
      </c>
      <c r="H523" t="s">
        <v>23</v>
      </c>
      <c r="I523" t="s">
        <v>81</v>
      </c>
      <c r="J523" t="s">
        <v>25</v>
      </c>
      <c r="K523" s="2">
        <v>3.5</v>
      </c>
      <c r="L523" t="s">
        <v>26</v>
      </c>
      <c r="M523" t="s">
        <v>27</v>
      </c>
      <c r="N523" t="s">
        <v>55</v>
      </c>
      <c r="O523" t="s">
        <v>26</v>
      </c>
      <c r="P523" t="s">
        <v>26</v>
      </c>
      <c r="Q523" s="3">
        <v>50</v>
      </c>
      <c r="R523" t="s">
        <v>34</v>
      </c>
      <c r="S523" t="s">
        <v>50</v>
      </c>
    </row>
    <row r="524" spans="1:19" x14ac:dyDescent="0.25">
      <c r="A524">
        <v>523</v>
      </c>
      <c r="B524">
        <v>65</v>
      </c>
      <c r="C524" t="s">
        <v>19</v>
      </c>
      <c r="D524" t="s">
        <v>143</v>
      </c>
      <c r="E524" t="s">
        <v>69</v>
      </c>
      <c r="F524" s="1">
        <v>88</v>
      </c>
      <c r="G524" t="s">
        <v>148</v>
      </c>
      <c r="H524" t="s">
        <v>45</v>
      </c>
      <c r="I524" t="s">
        <v>144</v>
      </c>
      <c r="J524" t="s">
        <v>39</v>
      </c>
      <c r="K524" s="2">
        <v>2.5</v>
      </c>
      <c r="L524" t="s">
        <v>26</v>
      </c>
      <c r="M524" t="s">
        <v>46</v>
      </c>
      <c r="N524" t="s">
        <v>76</v>
      </c>
      <c r="O524" t="s">
        <v>26</v>
      </c>
      <c r="P524" t="s">
        <v>26</v>
      </c>
      <c r="Q524" s="3">
        <v>37</v>
      </c>
      <c r="R524" t="s">
        <v>35</v>
      </c>
      <c r="S524" t="s">
        <v>60</v>
      </c>
    </row>
    <row r="525" spans="1:19" x14ac:dyDescent="0.25">
      <c r="A525">
        <v>524</v>
      </c>
      <c r="B525">
        <v>46</v>
      </c>
      <c r="C525" t="s">
        <v>19</v>
      </c>
      <c r="D525" t="s">
        <v>42</v>
      </c>
      <c r="E525" t="s">
        <v>43</v>
      </c>
      <c r="F525" s="1">
        <v>40</v>
      </c>
      <c r="G525" t="s">
        <v>80</v>
      </c>
      <c r="H525" t="s">
        <v>45</v>
      </c>
      <c r="I525" t="s">
        <v>121</v>
      </c>
      <c r="J525" t="s">
        <v>39</v>
      </c>
      <c r="K525" s="2">
        <v>4.9000000000000004</v>
      </c>
      <c r="L525" t="s">
        <v>26</v>
      </c>
      <c r="M525" t="s">
        <v>35</v>
      </c>
      <c r="N525" t="s">
        <v>28</v>
      </c>
      <c r="O525" t="s">
        <v>26</v>
      </c>
      <c r="P525" t="s">
        <v>26</v>
      </c>
      <c r="Q525" s="3">
        <v>5</v>
      </c>
      <c r="R525" t="s">
        <v>46</v>
      </c>
      <c r="S525" t="s">
        <v>60</v>
      </c>
    </row>
    <row r="526" spans="1:19" x14ac:dyDescent="0.25">
      <c r="A526">
        <v>525</v>
      </c>
      <c r="B526">
        <v>59</v>
      </c>
      <c r="C526" t="s">
        <v>19</v>
      </c>
      <c r="D526" t="s">
        <v>56</v>
      </c>
      <c r="E526" t="s">
        <v>21</v>
      </c>
      <c r="F526" s="1">
        <v>39</v>
      </c>
      <c r="G526" t="s">
        <v>138</v>
      </c>
      <c r="H526" t="s">
        <v>45</v>
      </c>
      <c r="I526" t="s">
        <v>81</v>
      </c>
      <c r="J526" t="s">
        <v>54</v>
      </c>
      <c r="K526" s="2">
        <v>4.8</v>
      </c>
      <c r="L526" t="s">
        <v>26</v>
      </c>
      <c r="M526" t="s">
        <v>29</v>
      </c>
      <c r="N526" t="s">
        <v>40</v>
      </c>
      <c r="O526" t="s">
        <v>26</v>
      </c>
      <c r="P526" t="s">
        <v>26</v>
      </c>
      <c r="Q526" s="3">
        <v>44</v>
      </c>
      <c r="R526" t="s">
        <v>46</v>
      </c>
      <c r="S526" t="s">
        <v>50</v>
      </c>
    </row>
    <row r="527" spans="1:19" x14ac:dyDescent="0.25">
      <c r="A527">
        <v>526</v>
      </c>
      <c r="B527">
        <v>51</v>
      </c>
      <c r="C527" t="s">
        <v>19</v>
      </c>
      <c r="D527" t="s">
        <v>64</v>
      </c>
      <c r="E527" t="s">
        <v>65</v>
      </c>
      <c r="F527" s="1">
        <v>37</v>
      </c>
      <c r="G527" t="s">
        <v>146</v>
      </c>
      <c r="H527" t="s">
        <v>45</v>
      </c>
      <c r="I527" t="s">
        <v>109</v>
      </c>
      <c r="J527" t="s">
        <v>39</v>
      </c>
      <c r="K527" s="2">
        <v>3.2</v>
      </c>
      <c r="L527" t="s">
        <v>26</v>
      </c>
      <c r="M527" t="s">
        <v>27</v>
      </c>
      <c r="N527" t="s">
        <v>47</v>
      </c>
      <c r="O527" t="s">
        <v>26</v>
      </c>
      <c r="P527" t="s">
        <v>26</v>
      </c>
      <c r="Q527" s="3">
        <v>41</v>
      </c>
      <c r="R527" t="s">
        <v>59</v>
      </c>
      <c r="S527" t="s">
        <v>88</v>
      </c>
    </row>
    <row r="528" spans="1:19" x14ac:dyDescent="0.25">
      <c r="A528">
        <v>527</v>
      </c>
      <c r="B528">
        <v>51</v>
      </c>
      <c r="C528" t="s">
        <v>19</v>
      </c>
      <c r="D528" t="s">
        <v>95</v>
      </c>
      <c r="E528" t="s">
        <v>21</v>
      </c>
      <c r="F528" s="1">
        <v>52</v>
      </c>
      <c r="G528" t="s">
        <v>127</v>
      </c>
      <c r="H528" t="s">
        <v>38</v>
      </c>
      <c r="I528" t="s">
        <v>108</v>
      </c>
      <c r="J528" t="s">
        <v>25</v>
      </c>
      <c r="K528" s="2">
        <v>4.9000000000000004</v>
      </c>
      <c r="L528" t="s">
        <v>26</v>
      </c>
      <c r="M528" t="s">
        <v>35</v>
      </c>
      <c r="N528" t="s">
        <v>55</v>
      </c>
      <c r="O528" t="s">
        <v>26</v>
      </c>
      <c r="P528" t="s">
        <v>26</v>
      </c>
      <c r="Q528" s="3">
        <v>19</v>
      </c>
      <c r="R528" t="s">
        <v>35</v>
      </c>
      <c r="S528" t="s">
        <v>88</v>
      </c>
    </row>
    <row r="529" spans="1:19" x14ac:dyDescent="0.25">
      <c r="A529">
        <v>528</v>
      </c>
      <c r="B529">
        <v>21</v>
      </c>
      <c r="C529" t="s">
        <v>19</v>
      </c>
      <c r="D529" t="s">
        <v>113</v>
      </c>
      <c r="E529" t="s">
        <v>21</v>
      </c>
      <c r="F529" s="1">
        <v>23</v>
      </c>
      <c r="G529" t="s">
        <v>131</v>
      </c>
      <c r="H529" t="s">
        <v>23</v>
      </c>
      <c r="I529" t="s">
        <v>134</v>
      </c>
      <c r="J529" t="s">
        <v>25</v>
      </c>
      <c r="K529" s="2">
        <v>4.3</v>
      </c>
      <c r="L529" t="s">
        <v>26</v>
      </c>
      <c r="M529" t="s">
        <v>34</v>
      </c>
      <c r="N529" t="s">
        <v>47</v>
      </c>
      <c r="O529" t="s">
        <v>26</v>
      </c>
      <c r="P529" t="s">
        <v>26</v>
      </c>
      <c r="Q529" s="3">
        <v>47</v>
      </c>
      <c r="R529" t="s">
        <v>34</v>
      </c>
      <c r="S529" t="s">
        <v>97</v>
      </c>
    </row>
    <row r="530" spans="1:19" x14ac:dyDescent="0.25">
      <c r="A530">
        <v>529</v>
      </c>
      <c r="B530">
        <v>34</v>
      </c>
      <c r="C530" t="s">
        <v>19</v>
      </c>
      <c r="D530" t="s">
        <v>51</v>
      </c>
      <c r="E530" t="s">
        <v>43</v>
      </c>
      <c r="F530" s="1">
        <v>88</v>
      </c>
      <c r="G530" t="s">
        <v>128</v>
      </c>
      <c r="H530" t="s">
        <v>38</v>
      </c>
      <c r="I530" t="s">
        <v>118</v>
      </c>
      <c r="J530" t="s">
        <v>25</v>
      </c>
      <c r="K530" s="2">
        <v>3.2</v>
      </c>
      <c r="L530" t="s">
        <v>26</v>
      </c>
      <c r="M530" t="s">
        <v>29</v>
      </c>
      <c r="N530" t="s">
        <v>28</v>
      </c>
      <c r="O530" t="s">
        <v>26</v>
      </c>
      <c r="P530" t="s">
        <v>26</v>
      </c>
      <c r="Q530" s="3">
        <v>40</v>
      </c>
      <c r="R530" t="s">
        <v>35</v>
      </c>
      <c r="S530" t="s">
        <v>50</v>
      </c>
    </row>
    <row r="531" spans="1:19" x14ac:dyDescent="0.25">
      <c r="A531">
        <v>530</v>
      </c>
      <c r="B531">
        <v>32</v>
      </c>
      <c r="C531" t="s">
        <v>19</v>
      </c>
      <c r="D531" t="s">
        <v>61</v>
      </c>
      <c r="E531" t="s">
        <v>21</v>
      </c>
      <c r="F531" s="1">
        <v>84</v>
      </c>
      <c r="G531" t="s">
        <v>99</v>
      </c>
      <c r="H531" t="s">
        <v>45</v>
      </c>
      <c r="I531" t="s">
        <v>121</v>
      </c>
      <c r="J531" t="s">
        <v>58</v>
      </c>
      <c r="K531" s="2">
        <v>3.7</v>
      </c>
      <c r="L531" t="s">
        <v>26</v>
      </c>
      <c r="M531" t="s">
        <v>35</v>
      </c>
      <c r="N531" t="s">
        <v>55</v>
      </c>
      <c r="O531" t="s">
        <v>26</v>
      </c>
      <c r="P531" t="s">
        <v>26</v>
      </c>
      <c r="Q531" s="3">
        <v>6</v>
      </c>
      <c r="R531" t="s">
        <v>27</v>
      </c>
      <c r="S531" t="s">
        <v>88</v>
      </c>
    </row>
    <row r="532" spans="1:19" x14ac:dyDescent="0.25">
      <c r="A532">
        <v>531</v>
      </c>
      <c r="B532">
        <v>48</v>
      </c>
      <c r="C532" t="s">
        <v>19</v>
      </c>
      <c r="D532" t="s">
        <v>64</v>
      </c>
      <c r="E532" t="s">
        <v>65</v>
      </c>
      <c r="F532" s="1">
        <v>37</v>
      </c>
      <c r="G532" t="s">
        <v>57</v>
      </c>
      <c r="H532" t="s">
        <v>92</v>
      </c>
      <c r="I532" t="s">
        <v>136</v>
      </c>
      <c r="J532" t="s">
        <v>25</v>
      </c>
      <c r="K532" s="2">
        <v>3.2</v>
      </c>
      <c r="L532" t="s">
        <v>26</v>
      </c>
      <c r="M532" t="s">
        <v>29</v>
      </c>
      <c r="N532" t="s">
        <v>76</v>
      </c>
      <c r="O532" t="s">
        <v>26</v>
      </c>
      <c r="P532" t="s">
        <v>26</v>
      </c>
      <c r="Q532" s="3">
        <v>25</v>
      </c>
      <c r="R532" t="s">
        <v>27</v>
      </c>
      <c r="S532" t="s">
        <v>77</v>
      </c>
    </row>
    <row r="533" spans="1:19" x14ac:dyDescent="0.25">
      <c r="A533">
        <v>532</v>
      </c>
      <c r="B533">
        <v>50</v>
      </c>
      <c r="C533" t="s">
        <v>19</v>
      </c>
      <c r="D533" t="s">
        <v>42</v>
      </c>
      <c r="E533" t="s">
        <v>43</v>
      </c>
      <c r="F533" s="1">
        <v>51</v>
      </c>
      <c r="G533" t="s">
        <v>129</v>
      </c>
      <c r="H533" t="s">
        <v>23</v>
      </c>
      <c r="I533" t="s">
        <v>75</v>
      </c>
      <c r="J533" t="s">
        <v>58</v>
      </c>
      <c r="K533" s="2">
        <v>3.4</v>
      </c>
      <c r="L533" t="s">
        <v>26</v>
      </c>
      <c r="M533" t="s">
        <v>34</v>
      </c>
      <c r="N533" t="s">
        <v>47</v>
      </c>
      <c r="O533" t="s">
        <v>26</v>
      </c>
      <c r="P533" t="s">
        <v>26</v>
      </c>
      <c r="Q533" s="3">
        <v>42</v>
      </c>
      <c r="R533" t="s">
        <v>35</v>
      </c>
      <c r="S533" t="s">
        <v>41</v>
      </c>
    </row>
    <row r="534" spans="1:19" x14ac:dyDescent="0.25">
      <c r="A534">
        <v>533</v>
      </c>
      <c r="B534">
        <v>26</v>
      </c>
      <c r="C534" t="s">
        <v>19</v>
      </c>
      <c r="D534" t="s">
        <v>95</v>
      </c>
      <c r="E534" t="s">
        <v>21</v>
      </c>
      <c r="F534" s="1">
        <v>76</v>
      </c>
      <c r="G534" t="s">
        <v>105</v>
      </c>
      <c r="H534" t="s">
        <v>23</v>
      </c>
      <c r="I534" t="s">
        <v>94</v>
      </c>
      <c r="J534" t="s">
        <v>25</v>
      </c>
      <c r="K534" s="2">
        <v>4.0999999999999996</v>
      </c>
      <c r="L534" t="s">
        <v>26</v>
      </c>
      <c r="M534" t="s">
        <v>34</v>
      </c>
      <c r="N534" t="s">
        <v>28</v>
      </c>
      <c r="O534" t="s">
        <v>26</v>
      </c>
      <c r="P534" t="s">
        <v>26</v>
      </c>
      <c r="Q534" s="3">
        <v>35</v>
      </c>
      <c r="R534" t="s">
        <v>34</v>
      </c>
      <c r="S534" t="s">
        <v>97</v>
      </c>
    </row>
    <row r="535" spans="1:19" x14ac:dyDescent="0.25">
      <c r="A535">
        <v>534</v>
      </c>
      <c r="B535">
        <v>57</v>
      </c>
      <c r="C535" t="s">
        <v>19</v>
      </c>
      <c r="D535" t="s">
        <v>42</v>
      </c>
      <c r="E535" t="s">
        <v>43</v>
      </c>
      <c r="F535" s="1">
        <v>60</v>
      </c>
      <c r="G535" t="s">
        <v>98</v>
      </c>
      <c r="H535" t="s">
        <v>23</v>
      </c>
      <c r="I535" t="s">
        <v>71</v>
      </c>
      <c r="J535" t="s">
        <v>39</v>
      </c>
      <c r="K535" s="2">
        <v>4.5</v>
      </c>
      <c r="L535" t="s">
        <v>26</v>
      </c>
      <c r="M535" t="s">
        <v>46</v>
      </c>
      <c r="N535" t="s">
        <v>47</v>
      </c>
      <c r="O535" t="s">
        <v>26</v>
      </c>
      <c r="P535" t="s">
        <v>26</v>
      </c>
      <c r="Q535" s="3">
        <v>17</v>
      </c>
      <c r="R535" t="s">
        <v>59</v>
      </c>
      <c r="S535" t="s">
        <v>41</v>
      </c>
    </row>
    <row r="536" spans="1:19" x14ac:dyDescent="0.25">
      <c r="A536">
        <v>535</v>
      </c>
      <c r="B536">
        <v>65</v>
      </c>
      <c r="C536" t="s">
        <v>19</v>
      </c>
      <c r="D536" t="s">
        <v>143</v>
      </c>
      <c r="E536" t="s">
        <v>69</v>
      </c>
      <c r="F536" s="1">
        <v>72</v>
      </c>
      <c r="G536" t="s">
        <v>103</v>
      </c>
      <c r="H536" t="s">
        <v>23</v>
      </c>
      <c r="I536" t="s">
        <v>71</v>
      </c>
      <c r="J536" t="s">
        <v>58</v>
      </c>
      <c r="K536" s="2">
        <v>4.5</v>
      </c>
      <c r="L536" t="s">
        <v>26</v>
      </c>
      <c r="M536" t="s">
        <v>34</v>
      </c>
      <c r="N536" t="s">
        <v>47</v>
      </c>
      <c r="O536" t="s">
        <v>26</v>
      </c>
      <c r="P536" t="s">
        <v>26</v>
      </c>
      <c r="Q536" s="3">
        <v>4</v>
      </c>
      <c r="R536" t="s">
        <v>46</v>
      </c>
      <c r="S536" t="s">
        <v>60</v>
      </c>
    </row>
    <row r="537" spans="1:19" x14ac:dyDescent="0.25">
      <c r="A537">
        <v>536</v>
      </c>
      <c r="B537">
        <v>56</v>
      </c>
      <c r="C537" t="s">
        <v>19</v>
      </c>
      <c r="D537" t="s">
        <v>113</v>
      </c>
      <c r="E537" t="s">
        <v>21</v>
      </c>
      <c r="F537" s="1">
        <v>45</v>
      </c>
      <c r="G537" t="s">
        <v>66</v>
      </c>
      <c r="H537" t="s">
        <v>23</v>
      </c>
      <c r="I537" t="s">
        <v>33</v>
      </c>
      <c r="J537" t="s">
        <v>39</v>
      </c>
      <c r="K537" s="2">
        <v>3.2</v>
      </c>
      <c r="L537" t="s">
        <v>26</v>
      </c>
      <c r="M537" t="s">
        <v>27</v>
      </c>
      <c r="N537" t="s">
        <v>40</v>
      </c>
      <c r="O537" t="s">
        <v>26</v>
      </c>
      <c r="P537" t="s">
        <v>26</v>
      </c>
      <c r="Q537" s="3">
        <v>24</v>
      </c>
      <c r="R537" t="s">
        <v>34</v>
      </c>
      <c r="S537" t="s">
        <v>41</v>
      </c>
    </row>
    <row r="538" spans="1:19" x14ac:dyDescent="0.25">
      <c r="A538">
        <v>537</v>
      </c>
      <c r="B538">
        <v>44</v>
      </c>
      <c r="C538" t="s">
        <v>19</v>
      </c>
      <c r="D538" t="s">
        <v>102</v>
      </c>
      <c r="E538" t="s">
        <v>65</v>
      </c>
      <c r="F538" s="1">
        <v>84</v>
      </c>
      <c r="G538" t="s">
        <v>115</v>
      </c>
      <c r="H538" t="s">
        <v>38</v>
      </c>
      <c r="I538" t="s">
        <v>33</v>
      </c>
      <c r="J538" t="s">
        <v>58</v>
      </c>
      <c r="K538" s="2">
        <v>4.4000000000000004</v>
      </c>
      <c r="L538" t="s">
        <v>26</v>
      </c>
      <c r="M538" t="s">
        <v>59</v>
      </c>
      <c r="N538" t="s">
        <v>76</v>
      </c>
      <c r="O538" t="s">
        <v>26</v>
      </c>
      <c r="P538" t="s">
        <v>26</v>
      </c>
      <c r="Q538" s="3">
        <v>16</v>
      </c>
      <c r="R538" t="s">
        <v>59</v>
      </c>
      <c r="S538" t="s">
        <v>97</v>
      </c>
    </row>
    <row r="539" spans="1:19" x14ac:dyDescent="0.25">
      <c r="A539">
        <v>538</v>
      </c>
      <c r="B539">
        <v>50</v>
      </c>
      <c r="C539" t="s">
        <v>19</v>
      </c>
      <c r="D539" t="s">
        <v>20</v>
      </c>
      <c r="E539" t="s">
        <v>21</v>
      </c>
      <c r="F539" s="1">
        <v>49</v>
      </c>
      <c r="G539" t="s">
        <v>141</v>
      </c>
      <c r="H539" t="s">
        <v>38</v>
      </c>
      <c r="I539" t="s">
        <v>49</v>
      </c>
      <c r="J539" t="s">
        <v>54</v>
      </c>
      <c r="K539" s="2">
        <v>3</v>
      </c>
      <c r="L539" t="s">
        <v>26</v>
      </c>
      <c r="M539" t="s">
        <v>27</v>
      </c>
      <c r="N539" t="s">
        <v>76</v>
      </c>
      <c r="O539" t="s">
        <v>26</v>
      </c>
      <c r="P539" t="s">
        <v>26</v>
      </c>
      <c r="Q539" s="3">
        <v>14</v>
      </c>
      <c r="R539" t="s">
        <v>59</v>
      </c>
      <c r="S539" t="s">
        <v>50</v>
      </c>
    </row>
    <row r="540" spans="1:19" x14ac:dyDescent="0.25">
      <c r="A540">
        <v>539</v>
      </c>
      <c r="B540">
        <v>27</v>
      </c>
      <c r="C540" t="s">
        <v>19</v>
      </c>
      <c r="D540" t="s">
        <v>125</v>
      </c>
      <c r="E540" t="s">
        <v>21</v>
      </c>
      <c r="F540" s="1">
        <v>22</v>
      </c>
      <c r="G540" t="s">
        <v>141</v>
      </c>
      <c r="H540" t="s">
        <v>92</v>
      </c>
      <c r="I540" t="s">
        <v>96</v>
      </c>
      <c r="J540" t="s">
        <v>39</v>
      </c>
      <c r="K540" s="2">
        <v>3.2</v>
      </c>
      <c r="L540" t="s">
        <v>26</v>
      </c>
      <c r="M540" t="s">
        <v>46</v>
      </c>
      <c r="N540" t="s">
        <v>40</v>
      </c>
      <c r="O540" t="s">
        <v>26</v>
      </c>
      <c r="P540" t="s">
        <v>26</v>
      </c>
      <c r="Q540" s="3">
        <v>43</v>
      </c>
      <c r="R540" t="s">
        <v>35</v>
      </c>
      <c r="S540" t="s">
        <v>41</v>
      </c>
    </row>
    <row r="541" spans="1:19" x14ac:dyDescent="0.25">
      <c r="A541">
        <v>540</v>
      </c>
      <c r="B541">
        <v>49</v>
      </c>
      <c r="C541" t="s">
        <v>19</v>
      </c>
      <c r="D541" t="s">
        <v>64</v>
      </c>
      <c r="E541" t="s">
        <v>65</v>
      </c>
      <c r="F541" s="1">
        <v>48</v>
      </c>
      <c r="G541" t="s">
        <v>52</v>
      </c>
      <c r="H541" t="s">
        <v>45</v>
      </c>
      <c r="I541" t="s">
        <v>84</v>
      </c>
      <c r="J541" t="s">
        <v>25</v>
      </c>
      <c r="K541" s="2">
        <v>4</v>
      </c>
      <c r="L541" t="s">
        <v>26</v>
      </c>
      <c r="M541" t="s">
        <v>35</v>
      </c>
      <c r="N541" t="s">
        <v>76</v>
      </c>
      <c r="O541" t="s">
        <v>26</v>
      </c>
      <c r="P541" t="s">
        <v>26</v>
      </c>
      <c r="Q541" s="3">
        <v>49</v>
      </c>
      <c r="R541" t="s">
        <v>59</v>
      </c>
      <c r="S541" t="s">
        <v>41</v>
      </c>
    </row>
    <row r="542" spans="1:19" x14ac:dyDescent="0.25">
      <c r="A542">
        <v>541</v>
      </c>
      <c r="B542">
        <v>49</v>
      </c>
      <c r="C542" t="s">
        <v>19</v>
      </c>
      <c r="D542" t="s">
        <v>82</v>
      </c>
      <c r="E542" t="s">
        <v>21</v>
      </c>
      <c r="F542" s="1">
        <v>37</v>
      </c>
      <c r="G542" t="s">
        <v>131</v>
      </c>
      <c r="H542" t="s">
        <v>45</v>
      </c>
      <c r="I542" t="s">
        <v>93</v>
      </c>
      <c r="J542" t="s">
        <v>39</v>
      </c>
      <c r="K542" s="2">
        <v>3.1</v>
      </c>
      <c r="L542" t="s">
        <v>26</v>
      </c>
      <c r="M542" t="s">
        <v>29</v>
      </c>
      <c r="N542" t="s">
        <v>47</v>
      </c>
      <c r="O542" t="s">
        <v>26</v>
      </c>
      <c r="P542" t="s">
        <v>26</v>
      </c>
      <c r="Q542" s="3">
        <v>33</v>
      </c>
      <c r="R542" t="s">
        <v>35</v>
      </c>
      <c r="S542" t="s">
        <v>97</v>
      </c>
    </row>
    <row r="543" spans="1:19" x14ac:dyDescent="0.25">
      <c r="A543">
        <v>542</v>
      </c>
      <c r="B543">
        <v>52</v>
      </c>
      <c r="C543" t="s">
        <v>19</v>
      </c>
      <c r="D543" t="s">
        <v>102</v>
      </c>
      <c r="E543" t="s">
        <v>65</v>
      </c>
      <c r="F543" s="1">
        <v>27</v>
      </c>
      <c r="G543" t="s">
        <v>139</v>
      </c>
      <c r="H543" t="s">
        <v>23</v>
      </c>
      <c r="I543" t="s">
        <v>24</v>
      </c>
      <c r="J543" t="s">
        <v>58</v>
      </c>
      <c r="K543" s="2">
        <v>2.8</v>
      </c>
      <c r="L543" t="s">
        <v>26</v>
      </c>
      <c r="M543" t="s">
        <v>34</v>
      </c>
      <c r="N543" t="s">
        <v>47</v>
      </c>
      <c r="O543" t="s">
        <v>26</v>
      </c>
      <c r="P543" t="s">
        <v>26</v>
      </c>
      <c r="Q543" s="3">
        <v>45</v>
      </c>
      <c r="R543" t="s">
        <v>35</v>
      </c>
      <c r="S543" t="s">
        <v>77</v>
      </c>
    </row>
    <row r="544" spans="1:19" x14ac:dyDescent="0.25">
      <c r="A544">
        <v>543</v>
      </c>
      <c r="B544">
        <v>27</v>
      </c>
      <c r="C544" t="s">
        <v>19</v>
      </c>
      <c r="D544" t="s">
        <v>137</v>
      </c>
      <c r="E544" t="s">
        <v>43</v>
      </c>
      <c r="F544" s="1">
        <v>79</v>
      </c>
      <c r="G544" t="s">
        <v>115</v>
      </c>
      <c r="H544" t="s">
        <v>92</v>
      </c>
      <c r="I544" t="s">
        <v>86</v>
      </c>
      <c r="J544" t="s">
        <v>39</v>
      </c>
      <c r="K544" s="2">
        <v>4.5999999999999996</v>
      </c>
      <c r="L544" t="s">
        <v>26</v>
      </c>
      <c r="M544" t="s">
        <v>29</v>
      </c>
      <c r="N544" t="s">
        <v>47</v>
      </c>
      <c r="O544" t="s">
        <v>26</v>
      </c>
      <c r="P544" t="s">
        <v>26</v>
      </c>
      <c r="Q544" s="3">
        <v>35</v>
      </c>
      <c r="R544" t="s">
        <v>35</v>
      </c>
      <c r="S544" t="s">
        <v>77</v>
      </c>
    </row>
    <row r="545" spans="1:19" x14ac:dyDescent="0.25">
      <c r="A545">
        <v>544</v>
      </c>
      <c r="B545">
        <v>53</v>
      </c>
      <c r="C545" t="s">
        <v>19</v>
      </c>
      <c r="D545" t="s">
        <v>87</v>
      </c>
      <c r="E545" t="s">
        <v>21</v>
      </c>
      <c r="F545" s="1">
        <v>98</v>
      </c>
      <c r="G545" t="s">
        <v>90</v>
      </c>
      <c r="H545" t="s">
        <v>38</v>
      </c>
      <c r="I545" t="s">
        <v>108</v>
      </c>
      <c r="J545" t="s">
        <v>39</v>
      </c>
      <c r="K545" s="2">
        <v>4.3</v>
      </c>
      <c r="L545" t="s">
        <v>26</v>
      </c>
      <c r="M545" t="s">
        <v>59</v>
      </c>
      <c r="N545" t="s">
        <v>28</v>
      </c>
      <c r="O545" t="s">
        <v>26</v>
      </c>
      <c r="P545" t="s">
        <v>26</v>
      </c>
      <c r="Q545" s="3">
        <v>11</v>
      </c>
      <c r="R545" t="s">
        <v>27</v>
      </c>
      <c r="S545" t="s">
        <v>88</v>
      </c>
    </row>
    <row r="546" spans="1:19" x14ac:dyDescent="0.25">
      <c r="A546">
        <v>545</v>
      </c>
      <c r="B546">
        <v>34</v>
      </c>
      <c r="C546" t="s">
        <v>19</v>
      </c>
      <c r="D546" t="s">
        <v>42</v>
      </c>
      <c r="E546" t="s">
        <v>43</v>
      </c>
      <c r="F546" s="1">
        <v>64</v>
      </c>
      <c r="G546" t="s">
        <v>149</v>
      </c>
      <c r="H546" t="s">
        <v>38</v>
      </c>
      <c r="I546" t="s">
        <v>134</v>
      </c>
      <c r="J546" t="s">
        <v>54</v>
      </c>
      <c r="K546" s="2">
        <v>3.3</v>
      </c>
      <c r="L546" t="s">
        <v>26</v>
      </c>
      <c r="M546" t="s">
        <v>35</v>
      </c>
      <c r="N546" t="s">
        <v>55</v>
      </c>
      <c r="O546" t="s">
        <v>26</v>
      </c>
      <c r="P546" t="s">
        <v>26</v>
      </c>
      <c r="Q546" s="3">
        <v>30</v>
      </c>
      <c r="R546" t="s">
        <v>34</v>
      </c>
      <c r="S546" t="s">
        <v>97</v>
      </c>
    </row>
    <row r="547" spans="1:19" x14ac:dyDescent="0.25">
      <c r="A547">
        <v>546</v>
      </c>
      <c r="B547">
        <v>33</v>
      </c>
      <c r="C547" t="s">
        <v>19</v>
      </c>
      <c r="D547" t="s">
        <v>64</v>
      </c>
      <c r="E547" t="s">
        <v>65</v>
      </c>
      <c r="F547" s="1">
        <v>32</v>
      </c>
      <c r="G547" t="s">
        <v>90</v>
      </c>
      <c r="H547" t="s">
        <v>23</v>
      </c>
      <c r="I547" t="s">
        <v>136</v>
      </c>
      <c r="J547" t="s">
        <v>54</v>
      </c>
      <c r="K547" s="2">
        <v>3.5</v>
      </c>
      <c r="L547" t="s">
        <v>26</v>
      </c>
      <c r="M547" t="s">
        <v>34</v>
      </c>
      <c r="N547" t="s">
        <v>72</v>
      </c>
      <c r="O547" t="s">
        <v>26</v>
      </c>
      <c r="P547" t="s">
        <v>26</v>
      </c>
      <c r="Q547" s="3">
        <v>48</v>
      </c>
      <c r="R547" t="s">
        <v>59</v>
      </c>
      <c r="S547" t="s">
        <v>50</v>
      </c>
    </row>
    <row r="548" spans="1:19" x14ac:dyDescent="0.25">
      <c r="A548">
        <v>547</v>
      </c>
      <c r="B548">
        <v>62</v>
      </c>
      <c r="C548" t="s">
        <v>19</v>
      </c>
      <c r="D548" t="s">
        <v>104</v>
      </c>
      <c r="E548" t="s">
        <v>21</v>
      </c>
      <c r="F548" s="1">
        <v>74</v>
      </c>
      <c r="G548" t="s">
        <v>130</v>
      </c>
      <c r="H548" t="s">
        <v>45</v>
      </c>
      <c r="I548" t="s">
        <v>110</v>
      </c>
      <c r="J548" t="s">
        <v>25</v>
      </c>
      <c r="K548" s="2">
        <v>3.4</v>
      </c>
      <c r="L548" t="s">
        <v>26</v>
      </c>
      <c r="M548" t="s">
        <v>35</v>
      </c>
      <c r="N548" t="s">
        <v>40</v>
      </c>
      <c r="O548" t="s">
        <v>26</v>
      </c>
      <c r="P548" t="s">
        <v>26</v>
      </c>
      <c r="Q548" s="3">
        <v>45</v>
      </c>
      <c r="R548" t="s">
        <v>29</v>
      </c>
      <c r="S548" t="s">
        <v>77</v>
      </c>
    </row>
    <row r="549" spans="1:19" x14ac:dyDescent="0.25">
      <c r="A549">
        <v>548</v>
      </c>
      <c r="B549">
        <v>38</v>
      </c>
      <c r="C549" t="s">
        <v>19</v>
      </c>
      <c r="D549" t="s">
        <v>102</v>
      </c>
      <c r="E549" t="s">
        <v>65</v>
      </c>
      <c r="F549" s="1">
        <v>50</v>
      </c>
      <c r="G549" t="s">
        <v>107</v>
      </c>
      <c r="H549" t="s">
        <v>45</v>
      </c>
      <c r="I549" t="s">
        <v>144</v>
      </c>
      <c r="J549" t="s">
        <v>25</v>
      </c>
      <c r="K549" s="2">
        <v>2.8</v>
      </c>
      <c r="L549" t="s">
        <v>26</v>
      </c>
      <c r="M549" t="s">
        <v>59</v>
      </c>
      <c r="N549" t="s">
        <v>40</v>
      </c>
      <c r="O549" t="s">
        <v>26</v>
      </c>
      <c r="P549" t="s">
        <v>26</v>
      </c>
      <c r="Q549" s="3">
        <v>26</v>
      </c>
      <c r="R549" t="s">
        <v>29</v>
      </c>
      <c r="S549" t="s">
        <v>41</v>
      </c>
    </row>
    <row r="550" spans="1:19" x14ac:dyDescent="0.25">
      <c r="A550">
        <v>549</v>
      </c>
      <c r="B550">
        <v>36</v>
      </c>
      <c r="C550" t="s">
        <v>19</v>
      </c>
      <c r="D550" t="s">
        <v>132</v>
      </c>
      <c r="E550" t="s">
        <v>69</v>
      </c>
      <c r="F550" s="1">
        <v>64</v>
      </c>
      <c r="G550" t="s">
        <v>145</v>
      </c>
      <c r="H550" t="s">
        <v>45</v>
      </c>
      <c r="I550" t="s">
        <v>94</v>
      </c>
      <c r="J550" t="s">
        <v>25</v>
      </c>
      <c r="K550" s="2">
        <v>4.5999999999999996</v>
      </c>
      <c r="L550" t="s">
        <v>26</v>
      </c>
      <c r="M550" t="s">
        <v>46</v>
      </c>
      <c r="N550" t="s">
        <v>76</v>
      </c>
      <c r="O550" t="s">
        <v>26</v>
      </c>
      <c r="P550" t="s">
        <v>26</v>
      </c>
      <c r="Q550" s="3">
        <v>41</v>
      </c>
      <c r="R550" t="s">
        <v>59</v>
      </c>
      <c r="S550" t="s">
        <v>97</v>
      </c>
    </row>
    <row r="551" spans="1:19" x14ac:dyDescent="0.25">
      <c r="A551">
        <v>550</v>
      </c>
      <c r="B551">
        <v>31</v>
      </c>
      <c r="C551" t="s">
        <v>19</v>
      </c>
      <c r="D551" t="s">
        <v>132</v>
      </c>
      <c r="E551" t="s">
        <v>69</v>
      </c>
      <c r="F551" s="1">
        <v>29</v>
      </c>
      <c r="G551" t="s">
        <v>117</v>
      </c>
      <c r="H551" t="s">
        <v>38</v>
      </c>
      <c r="I551" t="s">
        <v>79</v>
      </c>
      <c r="J551" t="s">
        <v>58</v>
      </c>
      <c r="K551" s="2">
        <v>3.6</v>
      </c>
      <c r="L551" t="s">
        <v>26</v>
      </c>
      <c r="M551" t="s">
        <v>35</v>
      </c>
      <c r="N551" t="s">
        <v>28</v>
      </c>
      <c r="O551" t="s">
        <v>26</v>
      </c>
      <c r="P551" t="s">
        <v>26</v>
      </c>
      <c r="Q551" s="3">
        <v>37</v>
      </c>
      <c r="R551" t="s">
        <v>29</v>
      </c>
      <c r="S551" t="s">
        <v>77</v>
      </c>
    </row>
    <row r="552" spans="1:19" x14ac:dyDescent="0.25">
      <c r="A552">
        <v>551</v>
      </c>
      <c r="B552">
        <v>62</v>
      </c>
      <c r="C552" t="s">
        <v>19</v>
      </c>
      <c r="D552" t="s">
        <v>133</v>
      </c>
      <c r="E552" t="s">
        <v>69</v>
      </c>
      <c r="F552" s="1">
        <v>62</v>
      </c>
      <c r="G552" t="s">
        <v>142</v>
      </c>
      <c r="H552" t="s">
        <v>45</v>
      </c>
      <c r="I552" t="s">
        <v>79</v>
      </c>
      <c r="J552" t="s">
        <v>54</v>
      </c>
      <c r="K552" s="2">
        <v>3.3</v>
      </c>
      <c r="L552" t="s">
        <v>26</v>
      </c>
      <c r="M552" t="s">
        <v>35</v>
      </c>
      <c r="N552" t="s">
        <v>76</v>
      </c>
      <c r="O552" t="s">
        <v>26</v>
      </c>
      <c r="P552" t="s">
        <v>26</v>
      </c>
      <c r="Q552" s="3">
        <v>12</v>
      </c>
      <c r="R552" t="s">
        <v>46</v>
      </c>
      <c r="S552" t="s">
        <v>41</v>
      </c>
    </row>
    <row r="553" spans="1:19" x14ac:dyDescent="0.25">
      <c r="A553">
        <v>552</v>
      </c>
      <c r="B553">
        <v>29</v>
      </c>
      <c r="C553" t="s">
        <v>19</v>
      </c>
      <c r="D553" t="s">
        <v>64</v>
      </c>
      <c r="E553" t="s">
        <v>65</v>
      </c>
      <c r="F553" s="1">
        <v>78</v>
      </c>
      <c r="G553" t="s">
        <v>135</v>
      </c>
      <c r="H553" t="s">
        <v>92</v>
      </c>
      <c r="I553" t="s">
        <v>96</v>
      </c>
      <c r="J553" t="s">
        <v>58</v>
      </c>
      <c r="K553" s="2">
        <v>3.1</v>
      </c>
      <c r="L553" t="s">
        <v>26</v>
      </c>
      <c r="M553" t="s">
        <v>29</v>
      </c>
      <c r="N553" t="s">
        <v>72</v>
      </c>
      <c r="O553" t="s">
        <v>26</v>
      </c>
      <c r="P553" t="s">
        <v>26</v>
      </c>
      <c r="Q553" s="3">
        <v>27</v>
      </c>
      <c r="R553" t="s">
        <v>35</v>
      </c>
      <c r="S553" t="s">
        <v>77</v>
      </c>
    </row>
    <row r="554" spans="1:19" x14ac:dyDescent="0.25">
      <c r="A554">
        <v>553</v>
      </c>
      <c r="B554">
        <v>24</v>
      </c>
      <c r="C554" t="s">
        <v>19</v>
      </c>
      <c r="D554" t="s">
        <v>113</v>
      </c>
      <c r="E554" t="s">
        <v>21</v>
      </c>
      <c r="F554" s="1">
        <v>94</v>
      </c>
      <c r="G554" t="s">
        <v>70</v>
      </c>
      <c r="H554" t="s">
        <v>45</v>
      </c>
      <c r="I554" t="s">
        <v>100</v>
      </c>
      <c r="J554" t="s">
        <v>58</v>
      </c>
      <c r="K554" s="2">
        <v>3.5</v>
      </c>
      <c r="L554" t="s">
        <v>26</v>
      </c>
      <c r="M554" t="s">
        <v>34</v>
      </c>
      <c r="N554" t="s">
        <v>28</v>
      </c>
      <c r="O554" t="s">
        <v>26</v>
      </c>
      <c r="P554" t="s">
        <v>26</v>
      </c>
      <c r="Q554" s="3">
        <v>18</v>
      </c>
      <c r="R554" t="s">
        <v>34</v>
      </c>
      <c r="S554" t="s">
        <v>41</v>
      </c>
    </row>
    <row r="555" spans="1:19" x14ac:dyDescent="0.25">
      <c r="A555">
        <v>554</v>
      </c>
      <c r="B555">
        <v>63</v>
      </c>
      <c r="C555" t="s">
        <v>19</v>
      </c>
      <c r="D555" t="s">
        <v>89</v>
      </c>
      <c r="E555" t="s">
        <v>69</v>
      </c>
      <c r="F555" s="1">
        <v>59</v>
      </c>
      <c r="G555" t="s">
        <v>103</v>
      </c>
      <c r="H555" t="s">
        <v>45</v>
      </c>
      <c r="I555" t="s">
        <v>53</v>
      </c>
      <c r="J555" t="s">
        <v>25</v>
      </c>
      <c r="K555" s="2">
        <v>3.2</v>
      </c>
      <c r="L555" t="s">
        <v>26</v>
      </c>
      <c r="M555" t="s">
        <v>29</v>
      </c>
      <c r="N555" t="s">
        <v>28</v>
      </c>
      <c r="O555" t="s">
        <v>26</v>
      </c>
      <c r="P555" t="s">
        <v>26</v>
      </c>
      <c r="Q555" s="3">
        <v>15</v>
      </c>
      <c r="R555" t="s">
        <v>27</v>
      </c>
      <c r="S555" t="s">
        <v>60</v>
      </c>
    </row>
    <row r="556" spans="1:19" x14ac:dyDescent="0.25">
      <c r="A556">
        <v>555</v>
      </c>
      <c r="B556">
        <v>56</v>
      </c>
      <c r="C556" t="s">
        <v>19</v>
      </c>
      <c r="D556" t="s">
        <v>51</v>
      </c>
      <c r="E556" t="s">
        <v>43</v>
      </c>
      <c r="F556" s="1">
        <v>47</v>
      </c>
      <c r="G556" t="s">
        <v>148</v>
      </c>
      <c r="H556" t="s">
        <v>45</v>
      </c>
      <c r="I556" t="s">
        <v>108</v>
      </c>
      <c r="J556" t="s">
        <v>54</v>
      </c>
      <c r="K556" s="2">
        <v>3</v>
      </c>
      <c r="L556" t="s">
        <v>26</v>
      </c>
      <c r="M556" t="s">
        <v>46</v>
      </c>
      <c r="N556" t="s">
        <v>28</v>
      </c>
      <c r="O556" t="s">
        <v>26</v>
      </c>
      <c r="P556" t="s">
        <v>26</v>
      </c>
      <c r="Q556" s="3">
        <v>34</v>
      </c>
      <c r="R556" t="s">
        <v>34</v>
      </c>
      <c r="S556" t="s">
        <v>41</v>
      </c>
    </row>
    <row r="557" spans="1:19" x14ac:dyDescent="0.25">
      <c r="A557">
        <v>556</v>
      </c>
      <c r="B557">
        <v>63</v>
      </c>
      <c r="C557" t="s">
        <v>19</v>
      </c>
      <c r="D557" t="s">
        <v>143</v>
      </c>
      <c r="E557" t="s">
        <v>69</v>
      </c>
      <c r="F557" s="1">
        <v>57</v>
      </c>
      <c r="G557" t="s">
        <v>32</v>
      </c>
      <c r="H557" t="s">
        <v>45</v>
      </c>
      <c r="I557" t="s">
        <v>53</v>
      </c>
      <c r="J557" t="s">
        <v>58</v>
      </c>
      <c r="K557" s="2">
        <v>4.8</v>
      </c>
      <c r="L557" t="s">
        <v>26</v>
      </c>
      <c r="M557" t="s">
        <v>34</v>
      </c>
      <c r="N557" t="s">
        <v>28</v>
      </c>
      <c r="O557" t="s">
        <v>26</v>
      </c>
      <c r="P557" t="s">
        <v>26</v>
      </c>
      <c r="Q557" s="3">
        <v>37</v>
      </c>
      <c r="R557" t="s">
        <v>29</v>
      </c>
      <c r="S557" t="s">
        <v>50</v>
      </c>
    </row>
    <row r="558" spans="1:19" x14ac:dyDescent="0.25">
      <c r="A558">
        <v>557</v>
      </c>
      <c r="B558">
        <v>40</v>
      </c>
      <c r="C558" t="s">
        <v>19</v>
      </c>
      <c r="D558" t="s">
        <v>64</v>
      </c>
      <c r="E558" t="s">
        <v>65</v>
      </c>
      <c r="F558" s="1">
        <v>90</v>
      </c>
      <c r="G558" t="s">
        <v>57</v>
      </c>
      <c r="H558" t="s">
        <v>23</v>
      </c>
      <c r="I558" t="s">
        <v>126</v>
      </c>
      <c r="J558" t="s">
        <v>25</v>
      </c>
      <c r="K558" s="2">
        <v>5</v>
      </c>
      <c r="L558" t="s">
        <v>26</v>
      </c>
      <c r="M558" t="s">
        <v>27</v>
      </c>
      <c r="N558" t="s">
        <v>76</v>
      </c>
      <c r="O558" t="s">
        <v>26</v>
      </c>
      <c r="P558" t="s">
        <v>26</v>
      </c>
      <c r="Q558" s="3">
        <v>21</v>
      </c>
      <c r="R558" t="s">
        <v>35</v>
      </c>
      <c r="S558" t="s">
        <v>30</v>
      </c>
    </row>
    <row r="559" spans="1:19" x14ac:dyDescent="0.25">
      <c r="A559">
        <v>558</v>
      </c>
      <c r="B559">
        <v>18</v>
      </c>
      <c r="C559" t="s">
        <v>19</v>
      </c>
      <c r="D559" t="s">
        <v>56</v>
      </c>
      <c r="E559" t="s">
        <v>21</v>
      </c>
      <c r="F559" s="1">
        <v>60</v>
      </c>
      <c r="G559" t="s">
        <v>120</v>
      </c>
      <c r="H559" t="s">
        <v>45</v>
      </c>
      <c r="I559" t="s">
        <v>53</v>
      </c>
      <c r="J559" t="s">
        <v>39</v>
      </c>
      <c r="K559" s="2">
        <v>2.9</v>
      </c>
      <c r="L559" t="s">
        <v>26</v>
      </c>
      <c r="M559" t="s">
        <v>46</v>
      </c>
      <c r="N559" t="s">
        <v>40</v>
      </c>
      <c r="O559" t="s">
        <v>26</v>
      </c>
      <c r="P559" t="s">
        <v>26</v>
      </c>
      <c r="Q559" s="3">
        <v>31</v>
      </c>
      <c r="R559" t="s">
        <v>59</v>
      </c>
      <c r="S559" t="s">
        <v>41</v>
      </c>
    </row>
    <row r="560" spans="1:19" x14ac:dyDescent="0.25">
      <c r="A560">
        <v>559</v>
      </c>
      <c r="B560">
        <v>50</v>
      </c>
      <c r="C560" t="s">
        <v>19</v>
      </c>
      <c r="D560" t="s">
        <v>51</v>
      </c>
      <c r="E560" t="s">
        <v>43</v>
      </c>
      <c r="F560" s="1">
        <v>77</v>
      </c>
      <c r="G560" t="s">
        <v>146</v>
      </c>
      <c r="H560" t="s">
        <v>23</v>
      </c>
      <c r="I560" t="s">
        <v>86</v>
      </c>
      <c r="J560" t="s">
        <v>58</v>
      </c>
      <c r="K560" s="2">
        <v>3.2</v>
      </c>
      <c r="L560" t="s">
        <v>26</v>
      </c>
      <c r="M560" t="s">
        <v>29</v>
      </c>
      <c r="N560" t="s">
        <v>28</v>
      </c>
      <c r="O560" t="s">
        <v>26</v>
      </c>
      <c r="P560" t="s">
        <v>26</v>
      </c>
      <c r="Q560" s="3">
        <v>43</v>
      </c>
      <c r="R560" t="s">
        <v>59</v>
      </c>
      <c r="S560" t="s">
        <v>97</v>
      </c>
    </row>
    <row r="561" spans="1:19" x14ac:dyDescent="0.25">
      <c r="A561">
        <v>560</v>
      </c>
      <c r="B561">
        <v>66</v>
      </c>
      <c r="C561" t="s">
        <v>19</v>
      </c>
      <c r="D561" t="s">
        <v>119</v>
      </c>
      <c r="E561" t="s">
        <v>69</v>
      </c>
      <c r="F561" s="1">
        <v>41</v>
      </c>
      <c r="G561" t="s">
        <v>117</v>
      </c>
      <c r="H561" t="s">
        <v>45</v>
      </c>
      <c r="I561" t="s">
        <v>126</v>
      </c>
      <c r="J561" t="s">
        <v>58</v>
      </c>
      <c r="K561" s="2">
        <v>2.9</v>
      </c>
      <c r="L561" t="s">
        <v>26</v>
      </c>
      <c r="M561" t="s">
        <v>34</v>
      </c>
      <c r="N561" t="s">
        <v>76</v>
      </c>
      <c r="O561" t="s">
        <v>26</v>
      </c>
      <c r="P561" t="s">
        <v>26</v>
      </c>
      <c r="Q561" s="3">
        <v>22</v>
      </c>
      <c r="R561" t="s">
        <v>34</v>
      </c>
      <c r="S561" t="s">
        <v>88</v>
      </c>
    </row>
    <row r="562" spans="1:19" x14ac:dyDescent="0.25">
      <c r="A562">
        <v>561</v>
      </c>
      <c r="B562">
        <v>25</v>
      </c>
      <c r="C562" t="s">
        <v>19</v>
      </c>
      <c r="D562" t="s">
        <v>106</v>
      </c>
      <c r="E562" t="s">
        <v>69</v>
      </c>
      <c r="F562" s="1">
        <v>48</v>
      </c>
      <c r="G562" t="s">
        <v>62</v>
      </c>
      <c r="H562" t="s">
        <v>23</v>
      </c>
      <c r="I562" t="s">
        <v>108</v>
      </c>
      <c r="J562" t="s">
        <v>58</v>
      </c>
      <c r="K562" s="2">
        <v>3.3</v>
      </c>
      <c r="L562" t="s">
        <v>26</v>
      </c>
      <c r="M562" t="s">
        <v>46</v>
      </c>
      <c r="N562" t="s">
        <v>40</v>
      </c>
      <c r="O562" t="s">
        <v>26</v>
      </c>
      <c r="P562" t="s">
        <v>26</v>
      </c>
      <c r="Q562" s="3">
        <v>12</v>
      </c>
      <c r="R562" t="s">
        <v>59</v>
      </c>
      <c r="S562" t="s">
        <v>50</v>
      </c>
    </row>
    <row r="563" spans="1:19" x14ac:dyDescent="0.25">
      <c r="A563">
        <v>562</v>
      </c>
      <c r="B563">
        <v>65</v>
      </c>
      <c r="C563" t="s">
        <v>19</v>
      </c>
      <c r="D563" t="s">
        <v>102</v>
      </c>
      <c r="E563" t="s">
        <v>65</v>
      </c>
      <c r="F563" s="1">
        <v>65</v>
      </c>
      <c r="G563" t="s">
        <v>90</v>
      </c>
      <c r="H563" t="s">
        <v>45</v>
      </c>
      <c r="I563" t="s">
        <v>144</v>
      </c>
      <c r="J563" t="s">
        <v>58</v>
      </c>
      <c r="K563" s="2">
        <v>2.6</v>
      </c>
      <c r="L563" t="s">
        <v>26</v>
      </c>
      <c r="M563" t="s">
        <v>27</v>
      </c>
      <c r="N563" t="s">
        <v>47</v>
      </c>
      <c r="O563" t="s">
        <v>26</v>
      </c>
      <c r="P563" t="s">
        <v>26</v>
      </c>
      <c r="Q563" s="3">
        <v>25</v>
      </c>
      <c r="R563" t="s">
        <v>46</v>
      </c>
      <c r="S563" t="s">
        <v>30</v>
      </c>
    </row>
    <row r="564" spans="1:19" x14ac:dyDescent="0.25">
      <c r="A564">
        <v>563</v>
      </c>
      <c r="B564">
        <v>53</v>
      </c>
      <c r="C564" t="s">
        <v>19</v>
      </c>
      <c r="D564" t="s">
        <v>36</v>
      </c>
      <c r="E564" t="s">
        <v>21</v>
      </c>
      <c r="F564" s="1">
        <v>62</v>
      </c>
      <c r="G564" t="s">
        <v>70</v>
      </c>
      <c r="H564" t="s">
        <v>45</v>
      </c>
      <c r="I564" t="s">
        <v>144</v>
      </c>
      <c r="J564" t="s">
        <v>54</v>
      </c>
      <c r="K564" s="2">
        <v>3.5</v>
      </c>
      <c r="L564" t="s">
        <v>26</v>
      </c>
      <c r="M564" t="s">
        <v>46</v>
      </c>
      <c r="N564" t="s">
        <v>55</v>
      </c>
      <c r="O564" t="s">
        <v>26</v>
      </c>
      <c r="P564" t="s">
        <v>26</v>
      </c>
      <c r="Q564" s="3">
        <v>40</v>
      </c>
      <c r="R564" t="s">
        <v>59</v>
      </c>
      <c r="S564" t="s">
        <v>50</v>
      </c>
    </row>
    <row r="565" spans="1:19" x14ac:dyDescent="0.25">
      <c r="A565">
        <v>564</v>
      </c>
      <c r="B565">
        <v>61</v>
      </c>
      <c r="C565" t="s">
        <v>19</v>
      </c>
      <c r="D565" t="s">
        <v>73</v>
      </c>
      <c r="E565" t="s">
        <v>43</v>
      </c>
      <c r="F565" s="1">
        <v>99</v>
      </c>
      <c r="G565" t="s">
        <v>135</v>
      </c>
      <c r="H565" t="s">
        <v>45</v>
      </c>
      <c r="I565" t="s">
        <v>94</v>
      </c>
      <c r="J565" t="s">
        <v>58</v>
      </c>
      <c r="K565" s="2">
        <v>4.4000000000000004</v>
      </c>
      <c r="L565" t="s">
        <v>26</v>
      </c>
      <c r="M565" t="s">
        <v>46</v>
      </c>
      <c r="N565" t="s">
        <v>55</v>
      </c>
      <c r="O565" t="s">
        <v>26</v>
      </c>
      <c r="P565" t="s">
        <v>26</v>
      </c>
      <c r="Q565" s="3">
        <v>16</v>
      </c>
      <c r="R565" t="s">
        <v>59</v>
      </c>
      <c r="S565" t="s">
        <v>60</v>
      </c>
    </row>
    <row r="566" spans="1:19" x14ac:dyDescent="0.25">
      <c r="A566">
        <v>565</v>
      </c>
      <c r="B566">
        <v>67</v>
      </c>
      <c r="C566" t="s">
        <v>19</v>
      </c>
      <c r="D566" t="s">
        <v>104</v>
      </c>
      <c r="E566" t="s">
        <v>21</v>
      </c>
      <c r="F566" s="1">
        <v>58</v>
      </c>
      <c r="G566" t="s">
        <v>103</v>
      </c>
      <c r="H566" t="s">
        <v>45</v>
      </c>
      <c r="I566" t="s">
        <v>79</v>
      </c>
      <c r="J566" t="s">
        <v>25</v>
      </c>
      <c r="K566" s="2">
        <v>3.4</v>
      </c>
      <c r="L566" t="s">
        <v>26</v>
      </c>
      <c r="M566" t="s">
        <v>35</v>
      </c>
      <c r="N566" t="s">
        <v>47</v>
      </c>
      <c r="O566" t="s">
        <v>26</v>
      </c>
      <c r="P566" t="s">
        <v>26</v>
      </c>
      <c r="Q566" s="3">
        <v>30</v>
      </c>
      <c r="R566" t="s">
        <v>34</v>
      </c>
      <c r="S566" t="s">
        <v>41</v>
      </c>
    </row>
    <row r="567" spans="1:19" x14ac:dyDescent="0.25">
      <c r="A567">
        <v>566</v>
      </c>
      <c r="B567">
        <v>59</v>
      </c>
      <c r="C567" t="s">
        <v>19</v>
      </c>
      <c r="D567" t="s">
        <v>132</v>
      </c>
      <c r="E567" t="s">
        <v>69</v>
      </c>
      <c r="F567" s="1">
        <v>43</v>
      </c>
      <c r="G567" t="s">
        <v>135</v>
      </c>
      <c r="H567" t="s">
        <v>23</v>
      </c>
      <c r="I567" t="s">
        <v>93</v>
      </c>
      <c r="J567" t="s">
        <v>58</v>
      </c>
      <c r="K567" s="2">
        <v>4.2</v>
      </c>
      <c r="L567" t="s">
        <v>26</v>
      </c>
      <c r="M567" t="s">
        <v>34</v>
      </c>
      <c r="N567" t="s">
        <v>76</v>
      </c>
      <c r="O567" t="s">
        <v>26</v>
      </c>
      <c r="P567" t="s">
        <v>26</v>
      </c>
      <c r="Q567" s="3">
        <v>10</v>
      </c>
      <c r="R567" t="s">
        <v>29</v>
      </c>
      <c r="S567" t="s">
        <v>41</v>
      </c>
    </row>
    <row r="568" spans="1:19" x14ac:dyDescent="0.25">
      <c r="A568">
        <v>567</v>
      </c>
      <c r="B568">
        <v>55</v>
      </c>
      <c r="C568" t="s">
        <v>19</v>
      </c>
      <c r="D568" t="s">
        <v>51</v>
      </c>
      <c r="E568" t="s">
        <v>43</v>
      </c>
      <c r="F568" s="1">
        <v>93</v>
      </c>
      <c r="G568" t="s">
        <v>90</v>
      </c>
      <c r="H568" t="s">
        <v>45</v>
      </c>
      <c r="I568" t="s">
        <v>126</v>
      </c>
      <c r="J568" t="s">
        <v>39</v>
      </c>
      <c r="K568" s="2">
        <v>3.6</v>
      </c>
      <c r="L568" t="s">
        <v>26</v>
      </c>
      <c r="M568" t="s">
        <v>46</v>
      </c>
      <c r="N568" t="s">
        <v>76</v>
      </c>
      <c r="O568" t="s">
        <v>26</v>
      </c>
      <c r="P568" t="s">
        <v>26</v>
      </c>
      <c r="Q568" s="3">
        <v>1</v>
      </c>
      <c r="R568" t="s">
        <v>59</v>
      </c>
      <c r="S568" t="s">
        <v>30</v>
      </c>
    </row>
    <row r="569" spans="1:19" x14ac:dyDescent="0.25">
      <c r="A569">
        <v>568</v>
      </c>
      <c r="B569">
        <v>21</v>
      </c>
      <c r="C569" t="s">
        <v>19</v>
      </c>
      <c r="D569" t="s">
        <v>20</v>
      </c>
      <c r="E569" t="s">
        <v>21</v>
      </c>
      <c r="F569" s="1">
        <v>50</v>
      </c>
      <c r="G569" t="s">
        <v>83</v>
      </c>
      <c r="H569" t="s">
        <v>38</v>
      </c>
      <c r="I569" t="s">
        <v>108</v>
      </c>
      <c r="J569" t="s">
        <v>25</v>
      </c>
      <c r="K569" s="2">
        <v>3</v>
      </c>
      <c r="L569" t="s">
        <v>26</v>
      </c>
      <c r="M569" t="s">
        <v>29</v>
      </c>
      <c r="N569" t="s">
        <v>47</v>
      </c>
      <c r="O569" t="s">
        <v>26</v>
      </c>
      <c r="P569" t="s">
        <v>26</v>
      </c>
      <c r="Q569" s="3">
        <v>24</v>
      </c>
      <c r="R569" t="s">
        <v>29</v>
      </c>
      <c r="S569" t="s">
        <v>30</v>
      </c>
    </row>
    <row r="570" spans="1:19" x14ac:dyDescent="0.25">
      <c r="A570">
        <v>569</v>
      </c>
      <c r="B570">
        <v>44</v>
      </c>
      <c r="C570" t="s">
        <v>19</v>
      </c>
      <c r="D570" t="s">
        <v>95</v>
      </c>
      <c r="E570" t="s">
        <v>21</v>
      </c>
      <c r="F570" s="1">
        <v>88</v>
      </c>
      <c r="G570" t="s">
        <v>140</v>
      </c>
      <c r="H570" t="s">
        <v>23</v>
      </c>
      <c r="I570" t="s">
        <v>108</v>
      </c>
      <c r="J570" t="s">
        <v>54</v>
      </c>
      <c r="K570" s="2">
        <v>4</v>
      </c>
      <c r="L570" t="s">
        <v>26</v>
      </c>
      <c r="M570" t="s">
        <v>34</v>
      </c>
      <c r="N570" t="s">
        <v>40</v>
      </c>
      <c r="O570" t="s">
        <v>26</v>
      </c>
      <c r="P570" t="s">
        <v>26</v>
      </c>
      <c r="Q570" s="3">
        <v>36</v>
      </c>
      <c r="R570" t="s">
        <v>46</v>
      </c>
      <c r="S570" t="s">
        <v>88</v>
      </c>
    </row>
    <row r="571" spans="1:19" x14ac:dyDescent="0.25">
      <c r="A571">
        <v>570</v>
      </c>
      <c r="B571">
        <v>65</v>
      </c>
      <c r="C571" t="s">
        <v>19</v>
      </c>
      <c r="D571" t="s">
        <v>87</v>
      </c>
      <c r="E571" t="s">
        <v>21</v>
      </c>
      <c r="F571" s="1">
        <v>33</v>
      </c>
      <c r="G571" t="s">
        <v>90</v>
      </c>
      <c r="H571" t="s">
        <v>45</v>
      </c>
      <c r="I571" t="s">
        <v>71</v>
      </c>
      <c r="J571" t="s">
        <v>58</v>
      </c>
      <c r="K571" s="2">
        <v>4.4000000000000004</v>
      </c>
      <c r="L571" t="s">
        <v>26</v>
      </c>
      <c r="M571" t="s">
        <v>46</v>
      </c>
      <c r="N571" t="s">
        <v>28</v>
      </c>
      <c r="O571" t="s">
        <v>26</v>
      </c>
      <c r="P571" t="s">
        <v>26</v>
      </c>
      <c r="Q571" s="3">
        <v>46</v>
      </c>
      <c r="R571" t="s">
        <v>27</v>
      </c>
      <c r="S571" t="s">
        <v>97</v>
      </c>
    </row>
    <row r="572" spans="1:19" x14ac:dyDescent="0.25">
      <c r="A572">
        <v>571</v>
      </c>
      <c r="B572">
        <v>65</v>
      </c>
      <c r="C572" t="s">
        <v>19</v>
      </c>
      <c r="D572" t="s">
        <v>113</v>
      </c>
      <c r="E572" t="s">
        <v>21</v>
      </c>
      <c r="F572" s="1">
        <v>99</v>
      </c>
      <c r="G572" t="s">
        <v>146</v>
      </c>
      <c r="H572" t="s">
        <v>92</v>
      </c>
      <c r="I572" t="s">
        <v>75</v>
      </c>
      <c r="J572" t="s">
        <v>58</v>
      </c>
      <c r="K572" s="2">
        <v>4.0999999999999996</v>
      </c>
      <c r="L572" t="s">
        <v>26</v>
      </c>
      <c r="M572" t="s">
        <v>27</v>
      </c>
      <c r="N572" t="s">
        <v>55</v>
      </c>
      <c r="O572" t="s">
        <v>26</v>
      </c>
      <c r="P572" t="s">
        <v>26</v>
      </c>
      <c r="Q572" s="3">
        <v>20</v>
      </c>
      <c r="R572" t="s">
        <v>35</v>
      </c>
      <c r="S572" t="s">
        <v>50</v>
      </c>
    </row>
    <row r="573" spans="1:19" x14ac:dyDescent="0.25">
      <c r="A573">
        <v>572</v>
      </c>
      <c r="B573">
        <v>54</v>
      </c>
      <c r="C573" t="s">
        <v>19</v>
      </c>
      <c r="D573" t="s">
        <v>102</v>
      </c>
      <c r="E573" t="s">
        <v>65</v>
      </c>
      <c r="F573" s="1">
        <v>76</v>
      </c>
      <c r="G573" t="s">
        <v>22</v>
      </c>
      <c r="H573" t="s">
        <v>92</v>
      </c>
      <c r="I573" t="s">
        <v>109</v>
      </c>
      <c r="J573" t="s">
        <v>39</v>
      </c>
      <c r="K573" s="2">
        <v>3.6</v>
      </c>
      <c r="L573" t="s">
        <v>26</v>
      </c>
      <c r="M573" t="s">
        <v>29</v>
      </c>
      <c r="N573" t="s">
        <v>40</v>
      </c>
      <c r="O573" t="s">
        <v>26</v>
      </c>
      <c r="P573" t="s">
        <v>26</v>
      </c>
      <c r="Q573" s="3">
        <v>37</v>
      </c>
      <c r="R573" t="s">
        <v>29</v>
      </c>
      <c r="S573" t="s">
        <v>41</v>
      </c>
    </row>
    <row r="574" spans="1:19" x14ac:dyDescent="0.25">
      <c r="A574">
        <v>573</v>
      </c>
      <c r="B574">
        <v>56</v>
      </c>
      <c r="C574" t="s">
        <v>19</v>
      </c>
      <c r="D574" t="s">
        <v>119</v>
      </c>
      <c r="E574" t="s">
        <v>69</v>
      </c>
      <c r="F574" s="1">
        <v>97</v>
      </c>
      <c r="G574" t="s">
        <v>131</v>
      </c>
      <c r="H574" t="s">
        <v>92</v>
      </c>
      <c r="I574" t="s">
        <v>109</v>
      </c>
      <c r="J574" t="s">
        <v>54</v>
      </c>
      <c r="K574" s="2">
        <v>4.5999999999999996</v>
      </c>
      <c r="L574" t="s">
        <v>26</v>
      </c>
      <c r="M574" t="s">
        <v>27</v>
      </c>
      <c r="N574" t="s">
        <v>47</v>
      </c>
      <c r="O574" t="s">
        <v>26</v>
      </c>
      <c r="P574" t="s">
        <v>26</v>
      </c>
      <c r="Q574" s="3">
        <v>26</v>
      </c>
      <c r="R574" t="s">
        <v>34</v>
      </c>
      <c r="S574" t="s">
        <v>50</v>
      </c>
    </row>
    <row r="575" spans="1:19" x14ac:dyDescent="0.25">
      <c r="A575">
        <v>574</v>
      </c>
      <c r="B575">
        <v>58</v>
      </c>
      <c r="C575" t="s">
        <v>19</v>
      </c>
      <c r="D575" t="s">
        <v>95</v>
      </c>
      <c r="E575" t="s">
        <v>21</v>
      </c>
      <c r="F575" s="1">
        <v>68</v>
      </c>
      <c r="G575" t="s">
        <v>99</v>
      </c>
      <c r="H575" t="s">
        <v>45</v>
      </c>
      <c r="I575" t="s">
        <v>63</v>
      </c>
      <c r="J575" t="s">
        <v>54</v>
      </c>
      <c r="K575" s="2">
        <v>3.2</v>
      </c>
      <c r="L575" t="s">
        <v>26</v>
      </c>
      <c r="M575" t="s">
        <v>35</v>
      </c>
      <c r="N575" t="s">
        <v>72</v>
      </c>
      <c r="O575" t="s">
        <v>26</v>
      </c>
      <c r="P575" t="s">
        <v>26</v>
      </c>
      <c r="Q575" s="3">
        <v>23</v>
      </c>
      <c r="R575" t="s">
        <v>27</v>
      </c>
      <c r="S575" t="s">
        <v>77</v>
      </c>
    </row>
    <row r="576" spans="1:19" x14ac:dyDescent="0.25">
      <c r="A576">
        <v>575</v>
      </c>
      <c r="B576">
        <v>54</v>
      </c>
      <c r="C576" t="s">
        <v>19</v>
      </c>
      <c r="D576" t="s">
        <v>51</v>
      </c>
      <c r="E576" t="s">
        <v>43</v>
      </c>
      <c r="F576" s="1">
        <v>79</v>
      </c>
      <c r="G576" t="s">
        <v>32</v>
      </c>
      <c r="H576" t="s">
        <v>23</v>
      </c>
      <c r="I576" t="s">
        <v>108</v>
      </c>
      <c r="J576" t="s">
        <v>58</v>
      </c>
      <c r="K576" s="2">
        <v>4.8</v>
      </c>
      <c r="L576" t="s">
        <v>26</v>
      </c>
      <c r="M576" t="s">
        <v>46</v>
      </c>
      <c r="N576" t="s">
        <v>40</v>
      </c>
      <c r="O576" t="s">
        <v>26</v>
      </c>
      <c r="P576" t="s">
        <v>26</v>
      </c>
      <c r="Q576" s="3">
        <v>20</v>
      </c>
      <c r="R576" t="s">
        <v>34</v>
      </c>
      <c r="S576" t="s">
        <v>77</v>
      </c>
    </row>
    <row r="577" spans="1:19" x14ac:dyDescent="0.25">
      <c r="A577">
        <v>576</v>
      </c>
      <c r="B577">
        <v>58</v>
      </c>
      <c r="C577" t="s">
        <v>19</v>
      </c>
      <c r="D577" t="s">
        <v>36</v>
      </c>
      <c r="E577" t="s">
        <v>21</v>
      </c>
      <c r="F577" s="1">
        <v>86</v>
      </c>
      <c r="G577" t="s">
        <v>145</v>
      </c>
      <c r="H577" t="s">
        <v>45</v>
      </c>
      <c r="I577" t="s">
        <v>100</v>
      </c>
      <c r="J577" t="s">
        <v>58</v>
      </c>
      <c r="K577" s="2">
        <v>4.8</v>
      </c>
      <c r="L577" t="s">
        <v>26</v>
      </c>
      <c r="M577" t="s">
        <v>29</v>
      </c>
      <c r="N577" t="s">
        <v>28</v>
      </c>
      <c r="O577" t="s">
        <v>26</v>
      </c>
      <c r="P577" t="s">
        <v>26</v>
      </c>
      <c r="Q577" s="3">
        <v>38</v>
      </c>
      <c r="R577" t="s">
        <v>46</v>
      </c>
      <c r="S577" t="s">
        <v>88</v>
      </c>
    </row>
    <row r="578" spans="1:19" x14ac:dyDescent="0.25">
      <c r="A578">
        <v>577</v>
      </c>
      <c r="B578">
        <v>48</v>
      </c>
      <c r="C578" t="s">
        <v>19</v>
      </c>
      <c r="D578" t="s">
        <v>124</v>
      </c>
      <c r="E578" t="s">
        <v>69</v>
      </c>
      <c r="F578" s="1">
        <v>68</v>
      </c>
      <c r="G578" t="s">
        <v>149</v>
      </c>
      <c r="H578" t="s">
        <v>45</v>
      </c>
      <c r="I578" t="s">
        <v>94</v>
      </c>
      <c r="J578" t="s">
        <v>25</v>
      </c>
      <c r="K578" s="2">
        <v>5</v>
      </c>
      <c r="L578" t="s">
        <v>26</v>
      </c>
      <c r="M578" t="s">
        <v>29</v>
      </c>
      <c r="N578" t="s">
        <v>72</v>
      </c>
      <c r="O578" t="s">
        <v>26</v>
      </c>
      <c r="P578" t="s">
        <v>26</v>
      </c>
      <c r="Q578" s="3">
        <v>5</v>
      </c>
      <c r="R578" t="s">
        <v>27</v>
      </c>
      <c r="S578" t="s">
        <v>97</v>
      </c>
    </row>
    <row r="579" spans="1:19" x14ac:dyDescent="0.25">
      <c r="A579">
        <v>578</v>
      </c>
      <c r="B579">
        <v>19</v>
      </c>
      <c r="C579" t="s">
        <v>19</v>
      </c>
      <c r="D579" t="s">
        <v>87</v>
      </c>
      <c r="E579" t="s">
        <v>21</v>
      </c>
      <c r="F579" s="1">
        <v>52</v>
      </c>
      <c r="G579" t="s">
        <v>90</v>
      </c>
      <c r="H579" t="s">
        <v>45</v>
      </c>
      <c r="I579" t="s">
        <v>94</v>
      </c>
      <c r="J579" t="s">
        <v>58</v>
      </c>
      <c r="K579" s="2">
        <v>3.7</v>
      </c>
      <c r="L579" t="s">
        <v>26</v>
      </c>
      <c r="M579" t="s">
        <v>46</v>
      </c>
      <c r="N579" t="s">
        <v>76</v>
      </c>
      <c r="O579" t="s">
        <v>26</v>
      </c>
      <c r="P579" t="s">
        <v>26</v>
      </c>
      <c r="Q579" s="3">
        <v>41</v>
      </c>
      <c r="R579" t="s">
        <v>29</v>
      </c>
      <c r="S579" t="s">
        <v>50</v>
      </c>
    </row>
    <row r="580" spans="1:19" x14ac:dyDescent="0.25">
      <c r="A580">
        <v>579</v>
      </c>
      <c r="B580">
        <v>69</v>
      </c>
      <c r="C580" t="s">
        <v>19</v>
      </c>
      <c r="D580" t="s">
        <v>42</v>
      </c>
      <c r="E580" t="s">
        <v>43</v>
      </c>
      <c r="F580" s="1">
        <v>90</v>
      </c>
      <c r="G580" t="s">
        <v>32</v>
      </c>
      <c r="H580" t="s">
        <v>45</v>
      </c>
      <c r="I580" t="s">
        <v>75</v>
      </c>
      <c r="J580" t="s">
        <v>58</v>
      </c>
      <c r="K580" s="2">
        <v>4.5999999999999996</v>
      </c>
      <c r="L580" t="s">
        <v>26</v>
      </c>
      <c r="M580" t="s">
        <v>59</v>
      </c>
      <c r="N580" t="s">
        <v>47</v>
      </c>
      <c r="O580" t="s">
        <v>26</v>
      </c>
      <c r="P580" t="s">
        <v>26</v>
      </c>
      <c r="Q580" s="3">
        <v>22</v>
      </c>
      <c r="R580" t="s">
        <v>27</v>
      </c>
      <c r="S580" t="s">
        <v>30</v>
      </c>
    </row>
    <row r="581" spans="1:19" x14ac:dyDescent="0.25">
      <c r="A581">
        <v>580</v>
      </c>
      <c r="B581">
        <v>58</v>
      </c>
      <c r="C581" t="s">
        <v>19</v>
      </c>
      <c r="D581" t="s">
        <v>42</v>
      </c>
      <c r="E581" t="s">
        <v>43</v>
      </c>
      <c r="F581" s="1">
        <v>41</v>
      </c>
      <c r="G581" t="s">
        <v>99</v>
      </c>
      <c r="H581" t="s">
        <v>45</v>
      </c>
      <c r="I581" t="s">
        <v>84</v>
      </c>
      <c r="J581" t="s">
        <v>25</v>
      </c>
      <c r="K581" s="2">
        <v>3.7</v>
      </c>
      <c r="L581" t="s">
        <v>26</v>
      </c>
      <c r="M581" t="s">
        <v>59</v>
      </c>
      <c r="N581" t="s">
        <v>40</v>
      </c>
      <c r="O581" t="s">
        <v>26</v>
      </c>
      <c r="P581" t="s">
        <v>26</v>
      </c>
      <c r="Q581" s="3">
        <v>48</v>
      </c>
      <c r="R581" t="s">
        <v>27</v>
      </c>
      <c r="S581" t="s">
        <v>50</v>
      </c>
    </row>
    <row r="582" spans="1:19" x14ac:dyDescent="0.25">
      <c r="A582">
        <v>581</v>
      </c>
      <c r="B582">
        <v>49</v>
      </c>
      <c r="C582" t="s">
        <v>19</v>
      </c>
      <c r="D582" t="s">
        <v>31</v>
      </c>
      <c r="E582" t="s">
        <v>21</v>
      </c>
      <c r="F582" s="1">
        <v>80</v>
      </c>
      <c r="G582" t="s">
        <v>146</v>
      </c>
      <c r="H582" t="s">
        <v>45</v>
      </c>
      <c r="I582" t="s">
        <v>121</v>
      </c>
      <c r="J582" t="s">
        <v>39</v>
      </c>
      <c r="K582" s="2">
        <v>4.0999999999999996</v>
      </c>
      <c r="L582" t="s">
        <v>26</v>
      </c>
      <c r="M582" t="s">
        <v>46</v>
      </c>
      <c r="N582" t="s">
        <v>40</v>
      </c>
      <c r="O582" t="s">
        <v>26</v>
      </c>
      <c r="P582" t="s">
        <v>26</v>
      </c>
      <c r="Q582" s="3">
        <v>10</v>
      </c>
      <c r="R582" t="s">
        <v>46</v>
      </c>
      <c r="S582" t="s">
        <v>41</v>
      </c>
    </row>
    <row r="583" spans="1:19" x14ac:dyDescent="0.25">
      <c r="A583">
        <v>582</v>
      </c>
      <c r="B583">
        <v>32</v>
      </c>
      <c r="C583" t="s">
        <v>19</v>
      </c>
      <c r="D583" t="s">
        <v>31</v>
      </c>
      <c r="E583" t="s">
        <v>21</v>
      </c>
      <c r="F583" s="1">
        <v>100</v>
      </c>
      <c r="G583" t="s">
        <v>146</v>
      </c>
      <c r="H583" t="s">
        <v>92</v>
      </c>
      <c r="I583" t="s">
        <v>63</v>
      </c>
      <c r="J583" t="s">
        <v>25</v>
      </c>
      <c r="K583" s="2">
        <v>2.7</v>
      </c>
      <c r="L583" t="s">
        <v>26</v>
      </c>
      <c r="M583" t="s">
        <v>27</v>
      </c>
      <c r="N583" t="s">
        <v>76</v>
      </c>
      <c r="O583" t="s">
        <v>26</v>
      </c>
      <c r="P583" t="s">
        <v>26</v>
      </c>
      <c r="Q583" s="3">
        <v>12</v>
      </c>
      <c r="R583" t="s">
        <v>34</v>
      </c>
      <c r="S583" t="s">
        <v>97</v>
      </c>
    </row>
    <row r="584" spans="1:19" x14ac:dyDescent="0.25">
      <c r="A584">
        <v>583</v>
      </c>
      <c r="B584">
        <v>40</v>
      </c>
      <c r="C584" t="s">
        <v>19</v>
      </c>
      <c r="D584" t="s">
        <v>102</v>
      </c>
      <c r="E584" t="s">
        <v>65</v>
      </c>
      <c r="F584" s="1">
        <v>77</v>
      </c>
      <c r="G584" t="s">
        <v>112</v>
      </c>
      <c r="H584" t="s">
        <v>23</v>
      </c>
      <c r="I584" t="s">
        <v>49</v>
      </c>
      <c r="J584" t="s">
        <v>39</v>
      </c>
      <c r="K584" s="2">
        <v>4.9000000000000004</v>
      </c>
      <c r="L584" t="s">
        <v>26</v>
      </c>
      <c r="M584" t="s">
        <v>59</v>
      </c>
      <c r="N584" t="s">
        <v>76</v>
      </c>
      <c r="O584" t="s">
        <v>26</v>
      </c>
      <c r="P584" t="s">
        <v>26</v>
      </c>
      <c r="Q584" s="3">
        <v>2</v>
      </c>
      <c r="R584" t="s">
        <v>34</v>
      </c>
      <c r="S584" t="s">
        <v>60</v>
      </c>
    </row>
    <row r="585" spans="1:19" x14ac:dyDescent="0.25">
      <c r="A585">
        <v>584</v>
      </c>
      <c r="B585">
        <v>25</v>
      </c>
      <c r="C585" t="s">
        <v>19</v>
      </c>
      <c r="D585" t="s">
        <v>61</v>
      </c>
      <c r="E585" t="s">
        <v>21</v>
      </c>
      <c r="F585" s="1">
        <v>78</v>
      </c>
      <c r="G585" t="s">
        <v>99</v>
      </c>
      <c r="H585" t="s">
        <v>23</v>
      </c>
      <c r="I585" t="s">
        <v>134</v>
      </c>
      <c r="J585" t="s">
        <v>39</v>
      </c>
      <c r="K585" s="2">
        <v>4</v>
      </c>
      <c r="L585" t="s">
        <v>26</v>
      </c>
      <c r="M585" t="s">
        <v>46</v>
      </c>
      <c r="N585" t="s">
        <v>76</v>
      </c>
      <c r="O585" t="s">
        <v>26</v>
      </c>
      <c r="P585" t="s">
        <v>26</v>
      </c>
      <c r="Q585" s="3">
        <v>38</v>
      </c>
      <c r="R585" t="s">
        <v>46</v>
      </c>
      <c r="S585" t="s">
        <v>88</v>
      </c>
    </row>
    <row r="586" spans="1:19" x14ac:dyDescent="0.25">
      <c r="A586">
        <v>585</v>
      </c>
      <c r="B586">
        <v>70</v>
      </c>
      <c r="C586" t="s">
        <v>19</v>
      </c>
      <c r="D586" t="s">
        <v>125</v>
      </c>
      <c r="E586" t="s">
        <v>21</v>
      </c>
      <c r="F586" s="1">
        <v>94</v>
      </c>
      <c r="G586" t="s">
        <v>116</v>
      </c>
      <c r="H586" t="s">
        <v>45</v>
      </c>
      <c r="I586" t="s">
        <v>53</v>
      </c>
      <c r="J586" t="s">
        <v>39</v>
      </c>
      <c r="K586" s="2">
        <v>4.7</v>
      </c>
      <c r="L586" t="s">
        <v>26</v>
      </c>
      <c r="M586" t="s">
        <v>46</v>
      </c>
      <c r="N586" t="s">
        <v>40</v>
      </c>
      <c r="O586" t="s">
        <v>26</v>
      </c>
      <c r="P586" t="s">
        <v>26</v>
      </c>
      <c r="Q586" s="3">
        <v>20</v>
      </c>
      <c r="R586" t="s">
        <v>59</v>
      </c>
      <c r="S586" t="s">
        <v>88</v>
      </c>
    </row>
    <row r="587" spans="1:19" x14ac:dyDescent="0.25">
      <c r="A587">
        <v>586</v>
      </c>
      <c r="B587">
        <v>69</v>
      </c>
      <c r="C587" t="s">
        <v>19</v>
      </c>
      <c r="D587" t="s">
        <v>125</v>
      </c>
      <c r="E587" t="s">
        <v>21</v>
      </c>
      <c r="F587" s="1">
        <v>23</v>
      </c>
      <c r="G587" t="s">
        <v>131</v>
      </c>
      <c r="H587" t="s">
        <v>45</v>
      </c>
      <c r="I587" t="s">
        <v>24</v>
      </c>
      <c r="J587" t="s">
        <v>58</v>
      </c>
      <c r="K587" s="2">
        <v>2.8</v>
      </c>
      <c r="L587" t="s">
        <v>26</v>
      </c>
      <c r="M587" t="s">
        <v>27</v>
      </c>
      <c r="N587" t="s">
        <v>47</v>
      </c>
      <c r="O587" t="s">
        <v>26</v>
      </c>
      <c r="P587" t="s">
        <v>26</v>
      </c>
      <c r="Q587" s="3">
        <v>5</v>
      </c>
      <c r="R587" t="s">
        <v>35</v>
      </c>
      <c r="S587" t="s">
        <v>97</v>
      </c>
    </row>
    <row r="588" spans="1:19" x14ac:dyDescent="0.25">
      <c r="A588">
        <v>587</v>
      </c>
      <c r="B588">
        <v>45</v>
      </c>
      <c r="C588" t="s">
        <v>19</v>
      </c>
      <c r="D588" t="s">
        <v>104</v>
      </c>
      <c r="E588" t="s">
        <v>21</v>
      </c>
      <c r="F588" s="1">
        <v>20</v>
      </c>
      <c r="G588" t="s">
        <v>150</v>
      </c>
      <c r="H588" t="s">
        <v>38</v>
      </c>
      <c r="I588" t="s">
        <v>144</v>
      </c>
      <c r="J588" t="s">
        <v>25</v>
      </c>
      <c r="K588" s="2">
        <v>4.9000000000000004</v>
      </c>
      <c r="L588" t="s">
        <v>26</v>
      </c>
      <c r="M588" t="s">
        <v>29</v>
      </c>
      <c r="N588" t="s">
        <v>72</v>
      </c>
      <c r="O588" t="s">
        <v>26</v>
      </c>
      <c r="P588" t="s">
        <v>26</v>
      </c>
      <c r="Q588" s="3">
        <v>9</v>
      </c>
      <c r="R588" t="s">
        <v>29</v>
      </c>
      <c r="S588" t="s">
        <v>50</v>
      </c>
    </row>
    <row r="589" spans="1:19" x14ac:dyDescent="0.25">
      <c r="A589">
        <v>588</v>
      </c>
      <c r="B589">
        <v>29</v>
      </c>
      <c r="C589" t="s">
        <v>19</v>
      </c>
      <c r="D589" t="s">
        <v>125</v>
      </c>
      <c r="E589" t="s">
        <v>21</v>
      </c>
      <c r="F589" s="1">
        <v>86</v>
      </c>
      <c r="G589" t="s">
        <v>149</v>
      </c>
      <c r="H589" t="s">
        <v>38</v>
      </c>
      <c r="I589" t="s">
        <v>33</v>
      </c>
      <c r="J589" t="s">
        <v>58</v>
      </c>
      <c r="K589" s="2">
        <v>4.2</v>
      </c>
      <c r="L589" t="s">
        <v>26</v>
      </c>
      <c r="M589" t="s">
        <v>46</v>
      </c>
      <c r="N589" t="s">
        <v>28</v>
      </c>
      <c r="O589" t="s">
        <v>26</v>
      </c>
      <c r="P589" t="s">
        <v>26</v>
      </c>
      <c r="Q589" s="3">
        <v>48</v>
      </c>
      <c r="R589" t="s">
        <v>59</v>
      </c>
      <c r="S589" t="s">
        <v>97</v>
      </c>
    </row>
    <row r="590" spans="1:19" x14ac:dyDescent="0.25">
      <c r="A590">
        <v>589</v>
      </c>
      <c r="B590">
        <v>47</v>
      </c>
      <c r="C590" t="s">
        <v>19</v>
      </c>
      <c r="D590" t="s">
        <v>137</v>
      </c>
      <c r="E590" t="s">
        <v>43</v>
      </c>
      <c r="F590" s="1">
        <v>60</v>
      </c>
      <c r="G590" t="s">
        <v>147</v>
      </c>
      <c r="H590" t="s">
        <v>45</v>
      </c>
      <c r="I590" t="s">
        <v>84</v>
      </c>
      <c r="J590" t="s">
        <v>58</v>
      </c>
      <c r="K590" s="2">
        <v>3</v>
      </c>
      <c r="L590" t="s">
        <v>26</v>
      </c>
      <c r="M590" t="s">
        <v>59</v>
      </c>
      <c r="N590" t="s">
        <v>55</v>
      </c>
      <c r="O590" t="s">
        <v>26</v>
      </c>
      <c r="P590" t="s">
        <v>26</v>
      </c>
      <c r="Q590" s="3">
        <v>9</v>
      </c>
      <c r="R590" t="s">
        <v>59</v>
      </c>
      <c r="S590" t="s">
        <v>60</v>
      </c>
    </row>
    <row r="591" spans="1:19" x14ac:dyDescent="0.25">
      <c r="A591">
        <v>590</v>
      </c>
      <c r="B591">
        <v>28</v>
      </c>
      <c r="C591" t="s">
        <v>19</v>
      </c>
      <c r="D591" t="s">
        <v>56</v>
      </c>
      <c r="E591" t="s">
        <v>21</v>
      </c>
      <c r="F591" s="1">
        <v>70</v>
      </c>
      <c r="G591" t="s">
        <v>148</v>
      </c>
      <c r="H591" t="s">
        <v>45</v>
      </c>
      <c r="I591" t="s">
        <v>121</v>
      </c>
      <c r="J591" t="s">
        <v>58</v>
      </c>
      <c r="K591" s="2">
        <v>3.4</v>
      </c>
      <c r="L591" t="s">
        <v>26</v>
      </c>
      <c r="M591" t="s">
        <v>59</v>
      </c>
      <c r="N591" t="s">
        <v>72</v>
      </c>
      <c r="O591" t="s">
        <v>26</v>
      </c>
      <c r="P591" t="s">
        <v>26</v>
      </c>
      <c r="Q591" s="3">
        <v>40</v>
      </c>
      <c r="R591" t="s">
        <v>46</v>
      </c>
      <c r="S591" t="s">
        <v>50</v>
      </c>
    </row>
    <row r="592" spans="1:19" x14ac:dyDescent="0.25">
      <c r="A592">
        <v>591</v>
      </c>
      <c r="B592">
        <v>64</v>
      </c>
      <c r="C592" t="s">
        <v>19</v>
      </c>
      <c r="D592" t="s">
        <v>133</v>
      </c>
      <c r="E592" t="s">
        <v>69</v>
      </c>
      <c r="F592" s="1">
        <v>39</v>
      </c>
      <c r="G592" t="s">
        <v>120</v>
      </c>
      <c r="H592" t="s">
        <v>38</v>
      </c>
      <c r="I592" t="s">
        <v>49</v>
      </c>
      <c r="J592" t="s">
        <v>58</v>
      </c>
      <c r="K592" s="2">
        <v>4.5999999999999996</v>
      </c>
      <c r="L592" t="s">
        <v>26</v>
      </c>
      <c r="M592" t="s">
        <v>27</v>
      </c>
      <c r="N592" t="s">
        <v>55</v>
      </c>
      <c r="O592" t="s">
        <v>26</v>
      </c>
      <c r="P592" t="s">
        <v>26</v>
      </c>
      <c r="Q592" s="3">
        <v>30</v>
      </c>
      <c r="R592" t="s">
        <v>29</v>
      </c>
      <c r="S592" t="s">
        <v>30</v>
      </c>
    </row>
    <row r="593" spans="1:19" x14ac:dyDescent="0.25">
      <c r="A593">
        <v>592</v>
      </c>
      <c r="B593">
        <v>47</v>
      </c>
      <c r="C593" t="s">
        <v>19</v>
      </c>
      <c r="D593" t="s">
        <v>132</v>
      </c>
      <c r="E593" t="s">
        <v>69</v>
      </c>
      <c r="F593" s="1">
        <v>37</v>
      </c>
      <c r="G593" t="s">
        <v>22</v>
      </c>
      <c r="H593" t="s">
        <v>23</v>
      </c>
      <c r="I593" t="s">
        <v>79</v>
      </c>
      <c r="J593" t="s">
        <v>58</v>
      </c>
      <c r="K593" s="2">
        <v>4.2</v>
      </c>
      <c r="L593" t="s">
        <v>26</v>
      </c>
      <c r="M593" t="s">
        <v>27</v>
      </c>
      <c r="N593" t="s">
        <v>76</v>
      </c>
      <c r="O593" t="s">
        <v>26</v>
      </c>
      <c r="P593" t="s">
        <v>26</v>
      </c>
      <c r="Q593" s="3">
        <v>6</v>
      </c>
      <c r="R593" t="s">
        <v>59</v>
      </c>
      <c r="S593" t="s">
        <v>77</v>
      </c>
    </row>
    <row r="594" spans="1:19" x14ac:dyDescent="0.25">
      <c r="A594">
        <v>593</v>
      </c>
      <c r="B594">
        <v>60</v>
      </c>
      <c r="C594" t="s">
        <v>19</v>
      </c>
      <c r="D594" t="s">
        <v>137</v>
      </c>
      <c r="E594" t="s">
        <v>43</v>
      </c>
      <c r="F594" s="1">
        <v>29</v>
      </c>
      <c r="G594" t="s">
        <v>114</v>
      </c>
      <c r="H594" t="s">
        <v>45</v>
      </c>
      <c r="I594" t="s">
        <v>110</v>
      </c>
      <c r="J594" t="s">
        <v>58</v>
      </c>
      <c r="K594" s="2">
        <v>3.2</v>
      </c>
      <c r="L594" t="s">
        <v>26</v>
      </c>
      <c r="M594" t="s">
        <v>29</v>
      </c>
      <c r="N594" t="s">
        <v>40</v>
      </c>
      <c r="O594" t="s">
        <v>26</v>
      </c>
      <c r="P594" t="s">
        <v>26</v>
      </c>
      <c r="Q594" s="3">
        <v>42</v>
      </c>
      <c r="R594" t="s">
        <v>29</v>
      </c>
      <c r="S594" t="s">
        <v>97</v>
      </c>
    </row>
    <row r="595" spans="1:19" x14ac:dyDescent="0.25">
      <c r="A595">
        <v>594</v>
      </c>
      <c r="B595">
        <v>67</v>
      </c>
      <c r="C595" t="s">
        <v>19</v>
      </c>
      <c r="D595" t="s">
        <v>64</v>
      </c>
      <c r="E595" t="s">
        <v>65</v>
      </c>
      <c r="F595" s="1">
        <v>35</v>
      </c>
      <c r="G595" t="s">
        <v>120</v>
      </c>
      <c r="H595" t="s">
        <v>38</v>
      </c>
      <c r="I595" t="s">
        <v>96</v>
      </c>
      <c r="J595" t="s">
        <v>25</v>
      </c>
      <c r="K595" s="2">
        <v>4.4000000000000004</v>
      </c>
      <c r="L595" t="s">
        <v>26</v>
      </c>
      <c r="M595" t="s">
        <v>35</v>
      </c>
      <c r="N595" t="s">
        <v>76</v>
      </c>
      <c r="O595" t="s">
        <v>26</v>
      </c>
      <c r="P595" t="s">
        <v>26</v>
      </c>
      <c r="Q595" s="3">
        <v>9</v>
      </c>
      <c r="R595" t="s">
        <v>46</v>
      </c>
      <c r="S595" t="s">
        <v>97</v>
      </c>
    </row>
    <row r="596" spans="1:19" x14ac:dyDescent="0.25">
      <c r="A596">
        <v>595</v>
      </c>
      <c r="B596">
        <v>35</v>
      </c>
      <c r="C596" t="s">
        <v>19</v>
      </c>
      <c r="D596" t="s">
        <v>104</v>
      </c>
      <c r="E596" t="s">
        <v>21</v>
      </c>
      <c r="F596" s="1">
        <v>83</v>
      </c>
      <c r="G596" t="s">
        <v>101</v>
      </c>
      <c r="H596" t="s">
        <v>38</v>
      </c>
      <c r="I596" t="s">
        <v>110</v>
      </c>
      <c r="J596" t="s">
        <v>25</v>
      </c>
      <c r="K596" s="2">
        <v>2.5</v>
      </c>
      <c r="L596" t="s">
        <v>26</v>
      </c>
      <c r="M596" t="s">
        <v>35</v>
      </c>
      <c r="N596" t="s">
        <v>47</v>
      </c>
      <c r="O596" t="s">
        <v>26</v>
      </c>
      <c r="P596" t="s">
        <v>26</v>
      </c>
      <c r="Q596" s="3">
        <v>6</v>
      </c>
      <c r="R596" t="s">
        <v>59</v>
      </c>
      <c r="S596" t="s">
        <v>88</v>
      </c>
    </row>
    <row r="597" spans="1:19" x14ac:dyDescent="0.25">
      <c r="A597">
        <v>596</v>
      </c>
      <c r="B597">
        <v>30</v>
      </c>
      <c r="C597" t="s">
        <v>19</v>
      </c>
      <c r="D597" t="s">
        <v>73</v>
      </c>
      <c r="E597" t="s">
        <v>43</v>
      </c>
      <c r="F597" s="1">
        <v>77</v>
      </c>
      <c r="G597" t="s">
        <v>80</v>
      </c>
      <c r="H597" t="s">
        <v>45</v>
      </c>
      <c r="I597" t="s">
        <v>67</v>
      </c>
      <c r="J597" t="s">
        <v>54</v>
      </c>
      <c r="K597" s="2">
        <v>3.6</v>
      </c>
      <c r="L597" t="s">
        <v>26</v>
      </c>
      <c r="M597" t="s">
        <v>27</v>
      </c>
      <c r="N597" t="s">
        <v>47</v>
      </c>
      <c r="O597" t="s">
        <v>26</v>
      </c>
      <c r="P597" t="s">
        <v>26</v>
      </c>
      <c r="Q597" s="3">
        <v>47</v>
      </c>
      <c r="R597" t="s">
        <v>46</v>
      </c>
      <c r="S597" t="s">
        <v>60</v>
      </c>
    </row>
    <row r="598" spans="1:19" x14ac:dyDescent="0.25">
      <c r="A598">
        <v>597</v>
      </c>
      <c r="B598">
        <v>23</v>
      </c>
      <c r="C598" t="s">
        <v>19</v>
      </c>
      <c r="D598" t="s">
        <v>73</v>
      </c>
      <c r="E598" t="s">
        <v>43</v>
      </c>
      <c r="F598" s="1">
        <v>37</v>
      </c>
      <c r="G598" t="s">
        <v>57</v>
      </c>
      <c r="H598" t="s">
        <v>92</v>
      </c>
      <c r="I598" t="s">
        <v>53</v>
      </c>
      <c r="J598" t="s">
        <v>54</v>
      </c>
      <c r="K598" s="2">
        <v>4.5</v>
      </c>
      <c r="L598" t="s">
        <v>26</v>
      </c>
      <c r="M598" t="s">
        <v>46</v>
      </c>
      <c r="N598" t="s">
        <v>76</v>
      </c>
      <c r="O598" t="s">
        <v>26</v>
      </c>
      <c r="P598" t="s">
        <v>26</v>
      </c>
      <c r="Q598" s="3">
        <v>36</v>
      </c>
      <c r="R598" t="s">
        <v>29</v>
      </c>
      <c r="S598" t="s">
        <v>50</v>
      </c>
    </row>
    <row r="599" spans="1:19" x14ac:dyDescent="0.25">
      <c r="A599">
        <v>598</v>
      </c>
      <c r="B599">
        <v>70</v>
      </c>
      <c r="C599" t="s">
        <v>19</v>
      </c>
      <c r="D599" t="s">
        <v>106</v>
      </c>
      <c r="E599" t="s">
        <v>69</v>
      </c>
      <c r="F599" s="1">
        <v>69</v>
      </c>
      <c r="G599" t="s">
        <v>120</v>
      </c>
      <c r="H599" t="s">
        <v>23</v>
      </c>
      <c r="I599" t="s">
        <v>81</v>
      </c>
      <c r="J599" t="s">
        <v>54</v>
      </c>
      <c r="K599" s="2">
        <v>3.4</v>
      </c>
      <c r="L599" t="s">
        <v>26</v>
      </c>
      <c r="M599" t="s">
        <v>34</v>
      </c>
      <c r="N599" t="s">
        <v>55</v>
      </c>
      <c r="O599" t="s">
        <v>26</v>
      </c>
      <c r="P599" t="s">
        <v>26</v>
      </c>
      <c r="Q599" s="3">
        <v>19</v>
      </c>
      <c r="R599" t="s">
        <v>34</v>
      </c>
      <c r="S599" t="s">
        <v>30</v>
      </c>
    </row>
    <row r="600" spans="1:19" x14ac:dyDescent="0.25">
      <c r="A600">
        <v>599</v>
      </c>
      <c r="B600">
        <v>21</v>
      </c>
      <c r="C600" t="s">
        <v>19</v>
      </c>
      <c r="D600" t="s">
        <v>82</v>
      </c>
      <c r="E600" t="s">
        <v>21</v>
      </c>
      <c r="F600" s="1">
        <v>66</v>
      </c>
      <c r="G600" t="s">
        <v>99</v>
      </c>
      <c r="H600" t="s">
        <v>23</v>
      </c>
      <c r="I600" t="s">
        <v>96</v>
      </c>
      <c r="J600" t="s">
        <v>25</v>
      </c>
      <c r="K600" s="2">
        <v>3.2</v>
      </c>
      <c r="L600" t="s">
        <v>26</v>
      </c>
      <c r="M600" t="s">
        <v>27</v>
      </c>
      <c r="N600" t="s">
        <v>72</v>
      </c>
      <c r="O600" t="s">
        <v>26</v>
      </c>
      <c r="P600" t="s">
        <v>26</v>
      </c>
      <c r="Q600" s="3">
        <v>30</v>
      </c>
      <c r="R600" t="s">
        <v>35</v>
      </c>
      <c r="S600" t="s">
        <v>97</v>
      </c>
    </row>
    <row r="601" spans="1:19" x14ac:dyDescent="0.25">
      <c r="A601">
        <v>600</v>
      </c>
      <c r="B601">
        <v>51</v>
      </c>
      <c r="C601" t="s">
        <v>19</v>
      </c>
      <c r="D601" t="s">
        <v>137</v>
      </c>
      <c r="E601" t="s">
        <v>43</v>
      </c>
      <c r="F601" s="1">
        <v>26</v>
      </c>
      <c r="G601" t="s">
        <v>37</v>
      </c>
      <c r="H601" t="s">
        <v>23</v>
      </c>
      <c r="I601" t="s">
        <v>86</v>
      </c>
      <c r="J601" t="s">
        <v>39</v>
      </c>
      <c r="K601" s="2">
        <v>4.2</v>
      </c>
      <c r="L601" t="s">
        <v>26</v>
      </c>
      <c r="M601" t="s">
        <v>35</v>
      </c>
      <c r="N601" t="s">
        <v>55</v>
      </c>
      <c r="O601" t="s">
        <v>26</v>
      </c>
      <c r="P601" t="s">
        <v>26</v>
      </c>
      <c r="Q601" s="3">
        <v>27</v>
      </c>
      <c r="R601" t="s">
        <v>59</v>
      </c>
      <c r="S601" t="s">
        <v>97</v>
      </c>
    </row>
    <row r="602" spans="1:19" x14ac:dyDescent="0.25">
      <c r="A602">
        <v>601</v>
      </c>
      <c r="B602">
        <v>22</v>
      </c>
      <c r="C602" t="s">
        <v>19</v>
      </c>
      <c r="D602" t="s">
        <v>124</v>
      </c>
      <c r="E602" t="s">
        <v>69</v>
      </c>
      <c r="F602" s="1">
        <v>63</v>
      </c>
      <c r="G602" t="s">
        <v>131</v>
      </c>
      <c r="H602" t="s">
        <v>45</v>
      </c>
      <c r="I602" t="s">
        <v>63</v>
      </c>
      <c r="J602" t="s">
        <v>39</v>
      </c>
      <c r="K602" s="2">
        <v>5</v>
      </c>
      <c r="L602" t="s">
        <v>26</v>
      </c>
      <c r="M602" t="s">
        <v>59</v>
      </c>
      <c r="N602" t="s">
        <v>72</v>
      </c>
      <c r="O602" t="s">
        <v>26</v>
      </c>
      <c r="P602" t="s">
        <v>26</v>
      </c>
      <c r="Q602" s="3">
        <v>25</v>
      </c>
      <c r="R602" t="s">
        <v>29</v>
      </c>
      <c r="S602" t="s">
        <v>88</v>
      </c>
    </row>
    <row r="603" spans="1:19" x14ac:dyDescent="0.25">
      <c r="A603">
        <v>602</v>
      </c>
      <c r="B603">
        <v>32</v>
      </c>
      <c r="C603" t="s">
        <v>19</v>
      </c>
      <c r="D603" t="s">
        <v>132</v>
      </c>
      <c r="E603" t="s">
        <v>69</v>
      </c>
      <c r="F603" s="1">
        <v>38</v>
      </c>
      <c r="G603" t="s">
        <v>66</v>
      </c>
      <c r="H603" t="s">
        <v>45</v>
      </c>
      <c r="I603" t="s">
        <v>33</v>
      </c>
      <c r="J603" t="s">
        <v>54</v>
      </c>
      <c r="K603" s="2">
        <v>4.7</v>
      </c>
      <c r="L603" t="s">
        <v>26</v>
      </c>
      <c r="M603" t="s">
        <v>35</v>
      </c>
      <c r="N603" t="s">
        <v>76</v>
      </c>
      <c r="O603" t="s">
        <v>26</v>
      </c>
      <c r="P603" t="s">
        <v>26</v>
      </c>
      <c r="Q603" s="3">
        <v>5</v>
      </c>
      <c r="R603" t="s">
        <v>35</v>
      </c>
      <c r="S603" t="s">
        <v>30</v>
      </c>
    </row>
    <row r="604" spans="1:19" x14ac:dyDescent="0.25">
      <c r="A604">
        <v>603</v>
      </c>
      <c r="B604">
        <v>37</v>
      </c>
      <c r="C604" t="s">
        <v>19</v>
      </c>
      <c r="D604" t="s">
        <v>73</v>
      </c>
      <c r="E604" t="s">
        <v>43</v>
      </c>
      <c r="F604" s="1">
        <v>58</v>
      </c>
      <c r="G604" t="s">
        <v>48</v>
      </c>
      <c r="H604" t="s">
        <v>23</v>
      </c>
      <c r="I604" t="s">
        <v>93</v>
      </c>
      <c r="J604" t="s">
        <v>54</v>
      </c>
      <c r="K604" s="2">
        <v>4.2</v>
      </c>
      <c r="L604" t="s">
        <v>26</v>
      </c>
      <c r="M604" t="s">
        <v>29</v>
      </c>
      <c r="N604" t="s">
        <v>47</v>
      </c>
      <c r="O604" t="s">
        <v>26</v>
      </c>
      <c r="P604" t="s">
        <v>26</v>
      </c>
      <c r="Q604" s="3">
        <v>10</v>
      </c>
      <c r="R604" t="s">
        <v>35</v>
      </c>
      <c r="S604" t="s">
        <v>97</v>
      </c>
    </row>
    <row r="605" spans="1:19" x14ac:dyDescent="0.25">
      <c r="A605">
        <v>604</v>
      </c>
      <c r="B605">
        <v>31</v>
      </c>
      <c r="C605" t="s">
        <v>19</v>
      </c>
      <c r="D605" t="s">
        <v>68</v>
      </c>
      <c r="E605" t="s">
        <v>69</v>
      </c>
      <c r="F605" s="1">
        <v>46</v>
      </c>
      <c r="G605" t="s">
        <v>37</v>
      </c>
      <c r="H605" t="s">
        <v>23</v>
      </c>
      <c r="I605" t="s">
        <v>96</v>
      </c>
      <c r="J605" t="s">
        <v>25</v>
      </c>
      <c r="K605" s="2">
        <v>3.4</v>
      </c>
      <c r="L605" t="s">
        <v>26</v>
      </c>
      <c r="M605" t="s">
        <v>59</v>
      </c>
      <c r="N605" t="s">
        <v>72</v>
      </c>
      <c r="O605" t="s">
        <v>26</v>
      </c>
      <c r="P605" t="s">
        <v>26</v>
      </c>
      <c r="Q605" s="3">
        <v>26</v>
      </c>
      <c r="R605" t="s">
        <v>46</v>
      </c>
      <c r="S605" t="s">
        <v>97</v>
      </c>
    </row>
    <row r="606" spans="1:19" x14ac:dyDescent="0.25">
      <c r="A606">
        <v>605</v>
      </c>
      <c r="B606">
        <v>44</v>
      </c>
      <c r="C606" t="s">
        <v>19</v>
      </c>
      <c r="D606" t="s">
        <v>89</v>
      </c>
      <c r="E606" t="s">
        <v>69</v>
      </c>
      <c r="F606" s="1">
        <v>92</v>
      </c>
      <c r="G606" t="s">
        <v>66</v>
      </c>
      <c r="H606" t="s">
        <v>38</v>
      </c>
      <c r="I606" t="s">
        <v>71</v>
      </c>
      <c r="J606" t="s">
        <v>58</v>
      </c>
      <c r="K606" s="2">
        <v>4.4000000000000004</v>
      </c>
      <c r="L606" t="s">
        <v>26</v>
      </c>
      <c r="M606" t="s">
        <v>34</v>
      </c>
      <c r="N606" t="s">
        <v>76</v>
      </c>
      <c r="O606" t="s">
        <v>26</v>
      </c>
      <c r="P606" t="s">
        <v>26</v>
      </c>
      <c r="Q606" s="3">
        <v>11</v>
      </c>
      <c r="R606" t="s">
        <v>27</v>
      </c>
      <c r="S606" t="s">
        <v>97</v>
      </c>
    </row>
    <row r="607" spans="1:19" x14ac:dyDescent="0.25">
      <c r="A607">
        <v>606</v>
      </c>
      <c r="B607">
        <v>40</v>
      </c>
      <c r="C607" t="s">
        <v>19</v>
      </c>
      <c r="D607" t="s">
        <v>124</v>
      </c>
      <c r="E607" t="s">
        <v>69</v>
      </c>
      <c r="F607" s="1">
        <v>32</v>
      </c>
      <c r="G607" t="s">
        <v>99</v>
      </c>
      <c r="H607" t="s">
        <v>92</v>
      </c>
      <c r="I607" t="s">
        <v>63</v>
      </c>
      <c r="J607" t="s">
        <v>25</v>
      </c>
      <c r="K607" s="2">
        <v>4.2</v>
      </c>
      <c r="L607" t="s">
        <v>26</v>
      </c>
      <c r="M607" t="s">
        <v>59</v>
      </c>
      <c r="N607" t="s">
        <v>55</v>
      </c>
      <c r="O607" t="s">
        <v>26</v>
      </c>
      <c r="P607" t="s">
        <v>26</v>
      </c>
      <c r="Q607" s="3">
        <v>17</v>
      </c>
      <c r="R607" t="s">
        <v>34</v>
      </c>
      <c r="S607" t="s">
        <v>41</v>
      </c>
    </row>
    <row r="608" spans="1:19" x14ac:dyDescent="0.25">
      <c r="A608">
        <v>607</v>
      </c>
      <c r="B608">
        <v>27</v>
      </c>
      <c r="C608" t="s">
        <v>19</v>
      </c>
      <c r="D608" t="s">
        <v>119</v>
      </c>
      <c r="E608" t="s">
        <v>69</v>
      </c>
      <c r="F608" s="1">
        <v>90</v>
      </c>
      <c r="G608" t="s">
        <v>112</v>
      </c>
      <c r="H608" t="s">
        <v>45</v>
      </c>
      <c r="I608" t="s">
        <v>144</v>
      </c>
      <c r="J608" t="s">
        <v>39</v>
      </c>
      <c r="K608" s="2">
        <v>4.5</v>
      </c>
      <c r="L608" t="s">
        <v>26</v>
      </c>
      <c r="M608" t="s">
        <v>27</v>
      </c>
      <c r="N608" t="s">
        <v>55</v>
      </c>
      <c r="O608" t="s">
        <v>26</v>
      </c>
      <c r="P608" t="s">
        <v>26</v>
      </c>
      <c r="Q608" s="3">
        <v>44</v>
      </c>
      <c r="R608" t="s">
        <v>46</v>
      </c>
      <c r="S608" t="s">
        <v>88</v>
      </c>
    </row>
    <row r="609" spans="1:19" x14ac:dyDescent="0.25">
      <c r="A609">
        <v>608</v>
      </c>
      <c r="B609">
        <v>47</v>
      </c>
      <c r="C609" t="s">
        <v>19</v>
      </c>
      <c r="D609" t="s">
        <v>104</v>
      </c>
      <c r="E609" t="s">
        <v>21</v>
      </c>
      <c r="F609" s="1">
        <v>23</v>
      </c>
      <c r="G609" t="s">
        <v>116</v>
      </c>
      <c r="H609" t="s">
        <v>23</v>
      </c>
      <c r="I609" t="s">
        <v>75</v>
      </c>
      <c r="J609" t="s">
        <v>58</v>
      </c>
      <c r="K609" s="2">
        <v>2.8</v>
      </c>
      <c r="L609" t="s">
        <v>26</v>
      </c>
      <c r="M609" t="s">
        <v>46</v>
      </c>
      <c r="N609" t="s">
        <v>47</v>
      </c>
      <c r="O609" t="s">
        <v>26</v>
      </c>
      <c r="P609" t="s">
        <v>26</v>
      </c>
      <c r="Q609" s="3">
        <v>44</v>
      </c>
      <c r="R609" t="s">
        <v>35</v>
      </c>
      <c r="S609" t="s">
        <v>88</v>
      </c>
    </row>
    <row r="610" spans="1:19" x14ac:dyDescent="0.25">
      <c r="A610">
        <v>609</v>
      </c>
      <c r="B610">
        <v>41</v>
      </c>
      <c r="C610" t="s">
        <v>19</v>
      </c>
      <c r="D610" t="s">
        <v>132</v>
      </c>
      <c r="E610" t="s">
        <v>69</v>
      </c>
      <c r="F610" s="1">
        <v>25</v>
      </c>
      <c r="G610" t="s">
        <v>80</v>
      </c>
      <c r="H610" t="s">
        <v>38</v>
      </c>
      <c r="I610" t="s">
        <v>81</v>
      </c>
      <c r="J610" t="s">
        <v>58</v>
      </c>
      <c r="K610" s="2">
        <v>3.3</v>
      </c>
      <c r="L610" t="s">
        <v>26</v>
      </c>
      <c r="M610" t="s">
        <v>59</v>
      </c>
      <c r="N610" t="s">
        <v>47</v>
      </c>
      <c r="O610" t="s">
        <v>26</v>
      </c>
      <c r="P610" t="s">
        <v>26</v>
      </c>
      <c r="Q610" s="3">
        <v>21</v>
      </c>
      <c r="R610" t="s">
        <v>29</v>
      </c>
      <c r="S610" t="s">
        <v>97</v>
      </c>
    </row>
    <row r="611" spans="1:19" x14ac:dyDescent="0.25">
      <c r="A611">
        <v>610</v>
      </c>
      <c r="B611">
        <v>51</v>
      </c>
      <c r="C611" t="s">
        <v>19</v>
      </c>
      <c r="D611" t="s">
        <v>31</v>
      </c>
      <c r="E611" t="s">
        <v>21</v>
      </c>
      <c r="F611" s="1">
        <v>54</v>
      </c>
      <c r="G611" t="s">
        <v>123</v>
      </c>
      <c r="H611" t="s">
        <v>23</v>
      </c>
      <c r="I611" t="s">
        <v>75</v>
      </c>
      <c r="J611" t="s">
        <v>58</v>
      </c>
      <c r="K611" s="2">
        <v>4.5999999999999996</v>
      </c>
      <c r="L611" t="s">
        <v>26</v>
      </c>
      <c r="M611" t="s">
        <v>35</v>
      </c>
      <c r="N611" t="s">
        <v>47</v>
      </c>
      <c r="O611" t="s">
        <v>26</v>
      </c>
      <c r="P611" t="s">
        <v>26</v>
      </c>
      <c r="Q611" s="3">
        <v>49</v>
      </c>
      <c r="R611" t="s">
        <v>27</v>
      </c>
      <c r="S611" t="s">
        <v>30</v>
      </c>
    </row>
    <row r="612" spans="1:19" x14ac:dyDescent="0.25">
      <c r="A612">
        <v>611</v>
      </c>
      <c r="B612">
        <v>53</v>
      </c>
      <c r="C612" t="s">
        <v>19</v>
      </c>
      <c r="D612" t="s">
        <v>61</v>
      </c>
      <c r="E612" t="s">
        <v>21</v>
      </c>
      <c r="F612" s="1">
        <v>72</v>
      </c>
      <c r="G612" t="s">
        <v>101</v>
      </c>
      <c r="H612" t="s">
        <v>45</v>
      </c>
      <c r="I612" t="s">
        <v>63</v>
      </c>
      <c r="J612" t="s">
        <v>54</v>
      </c>
      <c r="K612" s="2">
        <v>2.5</v>
      </c>
      <c r="L612" t="s">
        <v>26</v>
      </c>
      <c r="M612" t="s">
        <v>59</v>
      </c>
      <c r="N612" t="s">
        <v>40</v>
      </c>
      <c r="O612" t="s">
        <v>26</v>
      </c>
      <c r="P612" t="s">
        <v>26</v>
      </c>
      <c r="Q612" s="3">
        <v>27</v>
      </c>
      <c r="R612" t="s">
        <v>34</v>
      </c>
      <c r="S612" t="s">
        <v>97</v>
      </c>
    </row>
    <row r="613" spans="1:19" x14ac:dyDescent="0.25">
      <c r="A613">
        <v>612</v>
      </c>
      <c r="B613">
        <v>43</v>
      </c>
      <c r="C613" t="s">
        <v>19</v>
      </c>
      <c r="D613" t="s">
        <v>119</v>
      </c>
      <c r="E613" t="s">
        <v>69</v>
      </c>
      <c r="F613" s="1">
        <v>33</v>
      </c>
      <c r="G613" t="s">
        <v>99</v>
      </c>
      <c r="H613" t="s">
        <v>45</v>
      </c>
      <c r="I613" t="s">
        <v>94</v>
      </c>
      <c r="J613" t="s">
        <v>25</v>
      </c>
      <c r="K613" s="2">
        <v>4.7</v>
      </c>
      <c r="L613" t="s">
        <v>26</v>
      </c>
      <c r="M613" t="s">
        <v>27</v>
      </c>
      <c r="N613" t="s">
        <v>76</v>
      </c>
      <c r="O613" t="s">
        <v>26</v>
      </c>
      <c r="P613" t="s">
        <v>26</v>
      </c>
      <c r="Q613" s="3">
        <v>19</v>
      </c>
      <c r="R613" t="s">
        <v>35</v>
      </c>
      <c r="S613" t="s">
        <v>88</v>
      </c>
    </row>
    <row r="614" spans="1:19" x14ac:dyDescent="0.25">
      <c r="A614">
        <v>613</v>
      </c>
      <c r="B614">
        <v>67</v>
      </c>
      <c r="C614" t="s">
        <v>19</v>
      </c>
      <c r="D614" t="s">
        <v>124</v>
      </c>
      <c r="E614" t="s">
        <v>69</v>
      </c>
      <c r="F614" s="1">
        <v>43</v>
      </c>
      <c r="G614" t="s">
        <v>83</v>
      </c>
      <c r="H614" t="s">
        <v>23</v>
      </c>
      <c r="I614" t="s">
        <v>93</v>
      </c>
      <c r="J614" t="s">
        <v>58</v>
      </c>
      <c r="K614" s="2">
        <v>4.5999999999999996</v>
      </c>
      <c r="L614" t="s">
        <v>26</v>
      </c>
      <c r="M614" t="s">
        <v>46</v>
      </c>
      <c r="N614" t="s">
        <v>28</v>
      </c>
      <c r="O614" t="s">
        <v>26</v>
      </c>
      <c r="P614" t="s">
        <v>26</v>
      </c>
      <c r="Q614" s="3">
        <v>33</v>
      </c>
      <c r="R614" t="s">
        <v>27</v>
      </c>
      <c r="S614" t="s">
        <v>60</v>
      </c>
    </row>
    <row r="615" spans="1:19" x14ac:dyDescent="0.25">
      <c r="A615">
        <v>614</v>
      </c>
      <c r="B615">
        <v>61</v>
      </c>
      <c r="C615" t="s">
        <v>19</v>
      </c>
      <c r="D615" t="s">
        <v>64</v>
      </c>
      <c r="E615" t="s">
        <v>65</v>
      </c>
      <c r="F615" s="1">
        <v>51</v>
      </c>
      <c r="G615" t="s">
        <v>138</v>
      </c>
      <c r="H615" t="s">
        <v>23</v>
      </c>
      <c r="I615" t="s">
        <v>93</v>
      </c>
      <c r="J615" t="s">
        <v>58</v>
      </c>
      <c r="K615" s="2">
        <v>2.6</v>
      </c>
      <c r="L615" t="s">
        <v>26</v>
      </c>
      <c r="M615" t="s">
        <v>35</v>
      </c>
      <c r="N615" t="s">
        <v>55</v>
      </c>
      <c r="O615" t="s">
        <v>26</v>
      </c>
      <c r="P615" t="s">
        <v>26</v>
      </c>
      <c r="Q615" s="3">
        <v>46</v>
      </c>
      <c r="R615" t="s">
        <v>35</v>
      </c>
      <c r="S615" t="s">
        <v>77</v>
      </c>
    </row>
    <row r="616" spans="1:19" x14ac:dyDescent="0.25">
      <c r="A616">
        <v>615</v>
      </c>
      <c r="B616">
        <v>68</v>
      </c>
      <c r="C616" t="s">
        <v>19</v>
      </c>
      <c r="D616" t="s">
        <v>106</v>
      </c>
      <c r="E616" t="s">
        <v>69</v>
      </c>
      <c r="F616" s="1">
        <v>85</v>
      </c>
      <c r="G616" t="s">
        <v>135</v>
      </c>
      <c r="H616" t="s">
        <v>45</v>
      </c>
      <c r="I616" t="s">
        <v>93</v>
      </c>
      <c r="J616" t="s">
        <v>25</v>
      </c>
      <c r="K616" s="2">
        <v>4</v>
      </c>
      <c r="L616" t="s">
        <v>26</v>
      </c>
      <c r="M616" t="s">
        <v>35</v>
      </c>
      <c r="N616" t="s">
        <v>55</v>
      </c>
      <c r="O616" t="s">
        <v>26</v>
      </c>
      <c r="P616" t="s">
        <v>26</v>
      </c>
      <c r="Q616" s="3">
        <v>21</v>
      </c>
      <c r="R616" t="s">
        <v>27</v>
      </c>
      <c r="S616" t="s">
        <v>77</v>
      </c>
    </row>
    <row r="617" spans="1:19" x14ac:dyDescent="0.25">
      <c r="A617">
        <v>616</v>
      </c>
      <c r="B617">
        <v>67</v>
      </c>
      <c r="C617" t="s">
        <v>19</v>
      </c>
      <c r="D617" t="s">
        <v>42</v>
      </c>
      <c r="E617" t="s">
        <v>43</v>
      </c>
      <c r="F617" s="1">
        <v>100</v>
      </c>
      <c r="G617" t="s">
        <v>128</v>
      </c>
      <c r="H617" t="s">
        <v>23</v>
      </c>
      <c r="I617" t="s">
        <v>79</v>
      </c>
      <c r="J617" t="s">
        <v>54</v>
      </c>
      <c r="K617" s="2">
        <v>2.6</v>
      </c>
      <c r="L617" t="s">
        <v>26</v>
      </c>
      <c r="M617" t="s">
        <v>59</v>
      </c>
      <c r="N617" t="s">
        <v>47</v>
      </c>
      <c r="O617" t="s">
        <v>26</v>
      </c>
      <c r="P617" t="s">
        <v>26</v>
      </c>
      <c r="Q617" s="3">
        <v>23</v>
      </c>
      <c r="R617" t="s">
        <v>29</v>
      </c>
      <c r="S617" t="s">
        <v>50</v>
      </c>
    </row>
    <row r="618" spans="1:19" x14ac:dyDescent="0.25">
      <c r="A618">
        <v>617</v>
      </c>
      <c r="B618">
        <v>29</v>
      </c>
      <c r="C618" t="s">
        <v>19</v>
      </c>
      <c r="D618" t="s">
        <v>143</v>
      </c>
      <c r="E618" t="s">
        <v>69</v>
      </c>
      <c r="F618" s="1">
        <v>72</v>
      </c>
      <c r="G618" t="s">
        <v>138</v>
      </c>
      <c r="H618" t="s">
        <v>23</v>
      </c>
      <c r="I618" t="s">
        <v>86</v>
      </c>
      <c r="J618" t="s">
        <v>39</v>
      </c>
      <c r="K618" s="2">
        <v>4.5999999999999996</v>
      </c>
      <c r="L618" t="s">
        <v>26</v>
      </c>
      <c r="M618" t="s">
        <v>35</v>
      </c>
      <c r="N618" t="s">
        <v>40</v>
      </c>
      <c r="O618" t="s">
        <v>26</v>
      </c>
      <c r="P618" t="s">
        <v>26</v>
      </c>
      <c r="Q618" s="3">
        <v>38</v>
      </c>
      <c r="R618" t="s">
        <v>27</v>
      </c>
      <c r="S618" t="s">
        <v>97</v>
      </c>
    </row>
    <row r="619" spans="1:19" x14ac:dyDescent="0.25">
      <c r="A619">
        <v>618</v>
      </c>
      <c r="B619">
        <v>50</v>
      </c>
      <c r="C619" t="s">
        <v>19</v>
      </c>
      <c r="D619" t="s">
        <v>132</v>
      </c>
      <c r="E619" t="s">
        <v>69</v>
      </c>
      <c r="F619" s="1">
        <v>57</v>
      </c>
      <c r="G619" t="s">
        <v>112</v>
      </c>
      <c r="H619" t="s">
        <v>45</v>
      </c>
      <c r="I619" t="s">
        <v>33</v>
      </c>
      <c r="J619" t="s">
        <v>58</v>
      </c>
      <c r="K619" s="2">
        <v>2.6</v>
      </c>
      <c r="L619" t="s">
        <v>26</v>
      </c>
      <c r="M619" t="s">
        <v>59</v>
      </c>
      <c r="N619" t="s">
        <v>55</v>
      </c>
      <c r="O619" t="s">
        <v>26</v>
      </c>
      <c r="P619" t="s">
        <v>26</v>
      </c>
      <c r="Q619" s="3">
        <v>2</v>
      </c>
      <c r="R619" t="s">
        <v>34</v>
      </c>
      <c r="S619" t="s">
        <v>60</v>
      </c>
    </row>
    <row r="620" spans="1:19" x14ac:dyDescent="0.25">
      <c r="A620">
        <v>619</v>
      </c>
      <c r="B620">
        <v>61</v>
      </c>
      <c r="C620" t="s">
        <v>19</v>
      </c>
      <c r="D620" t="s">
        <v>102</v>
      </c>
      <c r="E620" t="s">
        <v>65</v>
      </c>
      <c r="F620" s="1">
        <v>94</v>
      </c>
      <c r="G620" t="s">
        <v>116</v>
      </c>
      <c r="H620" t="s">
        <v>23</v>
      </c>
      <c r="I620" t="s">
        <v>109</v>
      </c>
      <c r="J620" t="s">
        <v>39</v>
      </c>
      <c r="K620" s="2">
        <v>4</v>
      </c>
      <c r="L620" t="s">
        <v>26</v>
      </c>
      <c r="M620" t="s">
        <v>27</v>
      </c>
      <c r="N620" t="s">
        <v>28</v>
      </c>
      <c r="O620" t="s">
        <v>26</v>
      </c>
      <c r="P620" t="s">
        <v>26</v>
      </c>
      <c r="Q620" s="3">
        <v>21</v>
      </c>
      <c r="R620" t="s">
        <v>59</v>
      </c>
      <c r="S620" t="s">
        <v>77</v>
      </c>
    </row>
    <row r="621" spans="1:19" x14ac:dyDescent="0.25">
      <c r="A621">
        <v>620</v>
      </c>
      <c r="B621">
        <v>19</v>
      </c>
      <c r="C621" t="s">
        <v>19</v>
      </c>
      <c r="D621" t="s">
        <v>132</v>
      </c>
      <c r="E621" t="s">
        <v>69</v>
      </c>
      <c r="F621" s="1">
        <v>34</v>
      </c>
      <c r="G621" t="s">
        <v>145</v>
      </c>
      <c r="H621" t="s">
        <v>45</v>
      </c>
      <c r="I621" t="s">
        <v>63</v>
      </c>
      <c r="J621" t="s">
        <v>54</v>
      </c>
      <c r="K621" s="2">
        <v>4.5999999999999996</v>
      </c>
      <c r="L621" t="s">
        <v>26</v>
      </c>
      <c r="M621" t="s">
        <v>59</v>
      </c>
      <c r="N621" t="s">
        <v>76</v>
      </c>
      <c r="O621" t="s">
        <v>26</v>
      </c>
      <c r="P621" t="s">
        <v>26</v>
      </c>
      <c r="Q621" s="3">
        <v>1</v>
      </c>
      <c r="R621" t="s">
        <v>59</v>
      </c>
      <c r="S621" t="s">
        <v>97</v>
      </c>
    </row>
    <row r="622" spans="1:19" x14ac:dyDescent="0.25">
      <c r="A622">
        <v>621</v>
      </c>
      <c r="B622">
        <v>33</v>
      </c>
      <c r="C622" t="s">
        <v>19</v>
      </c>
      <c r="D622" t="s">
        <v>132</v>
      </c>
      <c r="E622" t="s">
        <v>69</v>
      </c>
      <c r="F622" s="1">
        <v>89</v>
      </c>
      <c r="G622" t="s">
        <v>44</v>
      </c>
      <c r="H622" t="s">
        <v>45</v>
      </c>
      <c r="I622" t="s">
        <v>94</v>
      </c>
      <c r="J622" t="s">
        <v>58</v>
      </c>
      <c r="K622" s="2">
        <v>3.7</v>
      </c>
      <c r="L622" t="s">
        <v>26</v>
      </c>
      <c r="M622" t="s">
        <v>46</v>
      </c>
      <c r="N622" t="s">
        <v>72</v>
      </c>
      <c r="O622" t="s">
        <v>26</v>
      </c>
      <c r="P622" t="s">
        <v>26</v>
      </c>
      <c r="Q622" s="3">
        <v>10</v>
      </c>
      <c r="R622" t="s">
        <v>29</v>
      </c>
      <c r="S622" t="s">
        <v>97</v>
      </c>
    </row>
    <row r="623" spans="1:19" x14ac:dyDescent="0.25">
      <c r="A623">
        <v>622</v>
      </c>
      <c r="B623">
        <v>51</v>
      </c>
      <c r="C623" t="s">
        <v>19</v>
      </c>
      <c r="D623" t="s">
        <v>89</v>
      </c>
      <c r="E623" t="s">
        <v>69</v>
      </c>
      <c r="F623" s="1">
        <v>27</v>
      </c>
      <c r="G623" t="s">
        <v>111</v>
      </c>
      <c r="H623" t="s">
        <v>38</v>
      </c>
      <c r="I623" t="s">
        <v>108</v>
      </c>
      <c r="J623" t="s">
        <v>58</v>
      </c>
      <c r="K623" s="2">
        <v>4.4000000000000004</v>
      </c>
      <c r="L623" t="s">
        <v>26</v>
      </c>
      <c r="M623" t="s">
        <v>59</v>
      </c>
      <c r="N623" t="s">
        <v>76</v>
      </c>
      <c r="O623" t="s">
        <v>26</v>
      </c>
      <c r="P623" t="s">
        <v>26</v>
      </c>
      <c r="Q623" s="3">
        <v>45</v>
      </c>
      <c r="R623" t="s">
        <v>27</v>
      </c>
      <c r="S623" t="s">
        <v>41</v>
      </c>
    </row>
    <row r="624" spans="1:19" x14ac:dyDescent="0.25">
      <c r="A624">
        <v>623</v>
      </c>
      <c r="B624">
        <v>69</v>
      </c>
      <c r="C624" t="s">
        <v>19</v>
      </c>
      <c r="D624" t="s">
        <v>125</v>
      </c>
      <c r="E624" t="s">
        <v>21</v>
      </c>
      <c r="F624" s="1">
        <v>63</v>
      </c>
      <c r="G624" t="s">
        <v>142</v>
      </c>
      <c r="H624" t="s">
        <v>38</v>
      </c>
      <c r="I624" t="s">
        <v>100</v>
      </c>
      <c r="J624" t="s">
        <v>39</v>
      </c>
      <c r="K624" s="2">
        <v>4</v>
      </c>
      <c r="L624" t="s">
        <v>26</v>
      </c>
      <c r="M624" t="s">
        <v>27</v>
      </c>
      <c r="N624" t="s">
        <v>47</v>
      </c>
      <c r="O624" t="s">
        <v>26</v>
      </c>
      <c r="P624" t="s">
        <v>26</v>
      </c>
      <c r="Q624" s="3">
        <v>44</v>
      </c>
      <c r="R624" t="s">
        <v>34</v>
      </c>
      <c r="S624" t="s">
        <v>30</v>
      </c>
    </row>
    <row r="625" spans="1:19" x14ac:dyDescent="0.25">
      <c r="A625">
        <v>624</v>
      </c>
      <c r="B625">
        <v>19</v>
      </c>
      <c r="C625" t="s">
        <v>19</v>
      </c>
      <c r="D625" t="s">
        <v>73</v>
      </c>
      <c r="E625" t="s">
        <v>43</v>
      </c>
      <c r="F625" s="1">
        <v>70</v>
      </c>
      <c r="G625" t="s">
        <v>107</v>
      </c>
      <c r="H625" t="s">
        <v>45</v>
      </c>
      <c r="I625" t="s">
        <v>53</v>
      </c>
      <c r="J625" t="s">
        <v>58</v>
      </c>
      <c r="K625" s="2">
        <v>4.7</v>
      </c>
      <c r="L625" t="s">
        <v>26</v>
      </c>
      <c r="M625" t="s">
        <v>34</v>
      </c>
      <c r="N625" t="s">
        <v>55</v>
      </c>
      <c r="O625" t="s">
        <v>26</v>
      </c>
      <c r="P625" t="s">
        <v>26</v>
      </c>
      <c r="Q625" s="3">
        <v>48</v>
      </c>
      <c r="R625" t="s">
        <v>46</v>
      </c>
      <c r="S625" t="s">
        <v>77</v>
      </c>
    </row>
    <row r="626" spans="1:19" x14ac:dyDescent="0.25">
      <c r="A626">
        <v>625</v>
      </c>
      <c r="B626">
        <v>55</v>
      </c>
      <c r="C626" t="s">
        <v>19</v>
      </c>
      <c r="D626" t="s">
        <v>95</v>
      </c>
      <c r="E626" t="s">
        <v>21</v>
      </c>
      <c r="F626" s="1">
        <v>87</v>
      </c>
      <c r="G626" t="s">
        <v>131</v>
      </c>
      <c r="H626" t="s">
        <v>92</v>
      </c>
      <c r="I626" t="s">
        <v>71</v>
      </c>
      <c r="J626" t="s">
        <v>58</v>
      </c>
      <c r="K626" s="2">
        <v>3.4</v>
      </c>
      <c r="L626" t="s">
        <v>26</v>
      </c>
      <c r="M626" t="s">
        <v>29</v>
      </c>
      <c r="N626" t="s">
        <v>28</v>
      </c>
      <c r="O626" t="s">
        <v>26</v>
      </c>
      <c r="P626" t="s">
        <v>26</v>
      </c>
      <c r="Q626" s="3">
        <v>21</v>
      </c>
      <c r="R626" t="s">
        <v>46</v>
      </c>
      <c r="S626" t="s">
        <v>50</v>
      </c>
    </row>
    <row r="627" spans="1:19" x14ac:dyDescent="0.25">
      <c r="A627">
        <v>626</v>
      </c>
      <c r="B627">
        <v>49</v>
      </c>
      <c r="C627" t="s">
        <v>19</v>
      </c>
      <c r="D627" t="s">
        <v>106</v>
      </c>
      <c r="E627" t="s">
        <v>69</v>
      </c>
      <c r="F627" s="1">
        <v>79</v>
      </c>
      <c r="G627" t="s">
        <v>80</v>
      </c>
      <c r="H627" t="s">
        <v>45</v>
      </c>
      <c r="I627" t="s">
        <v>108</v>
      </c>
      <c r="J627" t="s">
        <v>58</v>
      </c>
      <c r="K627" s="2">
        <v>4</v>
      </c>
      <c r="L627" t="s">
        <v>26</v>
      </c>
      <c r="M627" t="s">
        <v>29</v>
      </c>
      <c r="N627" t="s">
        <v>47</v>
      </c>
      <c r="O627" t="s">
        <v>26</v>
      </c>
      <c r="P627" t="s">
        <v>26</v>
      </c>
      <c r="Q627" s="3">
        <v>1</v>
      </c>
      <c r="R627" t="s">
        <v>29</v>
      </c>
      <c r="S627" t="s">
        <v>41</v>
      </c>
    </row>
    <row r="628" spans="1:19" x14ac:dyDescent="0.25">
      <c r="A628">
        <v>627</v>
      </c>
      <c r="B628">
        <v>31</v>
      </c>
      <c r="C628" t="s">
        <v>19</v>
      </c>
      <c r="D628" t="s">
        <v>89</v>
      </c>
      <c r="E628" t="s">
        <v>69</v>
      </c>
      <c r="F628" s="1">
        <v>79</v>
      </c>
      <c r="G628" t="s">
        <v>83</v>
      </c>
      <c r="H628" t="s">
        <v>45</v>
      </c>
      <c r="I628" t="s">
        <v>126</v>
      </c>
      <c r="J628" t="s">
        <v>39</v>
      </c>
      <c r="K628" s="2">
        <v>3.9</v>
      </c>
      <c r="L628" t="s">
        <v>26</v>
      </c>
      <c r="M628" t="s">
        <v>27</v>
      </c>
      <c r="N628" t="s">
        <v>55</v>
      </c>
      <c r="O628" t="s">
        <v>26</v>
      </c>
      <c r="P628" t="s">
        <v>26</v>
      </c>
      <c r="Q628" s="3">
        <v>10</v>
      </c>
      <c r="R628" t="s">
        <v>29</v>
      </c>
      <c r="S628" t="s">
        <v>50</v>
      </c>
    </row>
    <row r="629" spans="1:19" x14ac:dyDescent="0.25">
      <c r="A629">
        <v>628</v>
      </c>
      <c r="B629">
        <v>42</v>
      </c>
      <c r="C629" t="s">
        <v>19</v>
      </c>
      <c r="D629" t="s">
        <v>42</v>
      </c>
      <c r="E629" t="s">
        <v>43</v>
      </c>
      <c r="F629" s="1">
        <v>44</v>
      </c>
      <c r="G629" t="s">
        <v>48</v>
      </c>
      <c r="H629" t="s">
        <v>23</v>
      </c>
      <c r="I629" t="s">
        <v>94</v>
      </c>
      <c r="J629" t="s">
        <v>25</v>
      </c>
      <c r="K629" s="2">
        <v>4.0999999999999996</v>
      </c>
      <c r="L629" t="s">
        <v>26</v>
      </c>
      <c r="M629" t="s">
        <v>29</v>
      </c>
      <c r="N629" t="s">
        <v>28</v>
      </c>
      <c r="O629" t="s">
        <v>26</v>
      </c>
      <c r="P629" t="s">
        <v>26</v>
      </c>
      <c r="Q629" s="3">
        <v>24</v>
      </c>
      <c r="R629" t="s">
        <v>46</v>
      </c>
      <c r="S629" t="s">
        <v>88</v>
      </c>
    </row>
    <row r="630" spans="1:19" x14ac:dyDescent="0.25">
      <c r="A630">
        <v>629</v>
      </c>
      <c r="B630">
        <v>69</v>
      </c>
      <c r="C630" t="s">
        <v>19</v>
      </c>
      <c r="D630" t="s">
        <v>31</v>
      </c>
      <c r="E630" t="s">
        <v>21</v>
      </c>
      <c r="F630" s="1">
        <v>85</v>
      </c>
      <c r="G630" t="s">
        <v>37</v>
      </c>
      <c r="H630" t="s">
        <v>45</v>
      </c>
      <c r="I630" t="s">
        <v>53</v>
      </c>
      <c r="J630" t="s">
        <v>58</v>
      </c>
      <c r="K630" s="2">
        <v>3.7</v>
      </c>
      <c r="L630" t="s">
        <v>26</v>
      </c>
      <c r="M630" t="s">
        <v>29</v>
      </c>
      <c r="N630" t="s">
        <v>72</v>
      </c>
      <c r="O630" t="s">
        <v>26</v>
      </c>
      <c r="P630" t="s">
        <v>26</v>
      </c>
      <c r="Q630" s="3">
        <v>29</v>
      </c>
      <c r="R630" t="s">
        <v>27</v>
      </c>
      <c r="S630" t="s">
        <v>88</v>
      </c>
    </row>
    <row r="631" spans="1:19" x14ac:dyDescent="0.25">
      <c r="A631">
        <v>630</v>
      </c>
      <c r="B631">
        <v>26</v>
      </c>
      <c r="C631" t="s">
        <v>19</v>
      </c>
      <c r="D631" t="s">
        <v>73</v>
      </c>
      <c r="E631" t="s">
        <v>43</v>
      </c>
      <c r="F631" s="1">
        <v>90</v>
      </c>
      <c r="G631" t="s">
        <v>129</v>
      </c>
      <c r="H631" t="s">
        <v>23</v>
      </c>
      <c r="I631" t="s">
        <v>118</v>
      </c>
      <c r="J631" t="s">
        <v>39</v>
      </c>
      <c r="K631" s="2">
        <v>4.7</v>
      </c>
      <c r="L631" t="s">
        <v>26</v>
      </c>
      <c r="M631" t="s">
        <v>34</v>
      </c>
      <c r="N631" t="s">
        <v>55</v>
      </c>
      <c r="O631" t="s">
        <v>26</v>
      </c>
      <c r="P631" t="s">
        <v>26</v>
      </c>
      <c r="Q631" s="3">
        <v>11</v>
      </c>
      <c r="R631" t="s">
        <v>59</v>
      </c>
      <c r="S631" t="s">
        <v>50</v>
      </c>
    </row>
    <row r="632" spans="1:19" x14ac:dyDescent="0.25">
      <c r="A632">
        <v>631</v>
      </c>
      <c r="B632">
        <v>41</v>
      </c>
      <c r="C632" t="s">
        <v>19</v>
      </c>
      <c r="D632" t="s">
        <v>106</v>
      </c>
      <c r="E632" t="s">
        <v>69</v>
      </c>
      <c r="F632" s="1">
        <v>94</v>
      </c>
      <c r="G632" t="s">
        <v>91</v>
      </c>
      <c r="H632" t="s">
        <v>38</v>
      </c>
      <c r="I632" t="s">
        <v>67</v>
      </c>
      <c r="J632" t="s">
        <v>58</v>
      </c>
      <c r="K632" s="2">
        <v>4.3</v>
      </c>
      <c r="L632" t="s">
        <v>26</v>
      </c>
      <c r="M632" t="s">
        <v>35</v>
      </c>
      <c r="N632" t="s">
        <v>72</v>
      </c>
      <c r="O632" t="s">
        <v>26</v>
      </c>
      <c r="P632" t="s">
        <v>26</v>
      </c>
      <c r="Q632" s="3">
        <v>33</v>
      </c>
      <c r="R632" t="s">
        <v>59</v>
      </c>
      <c r="S632" t="s">
        <v>50</v>
      </c>
    </row>
    <row r="633" spans="1:19" x14ac:dyDescent="0.25">
      <c r="A633">
        <v>632</v>
      </c>
      <c r="B633">
        <v>55</v>
      </c>
      <c r="C633" t="s">
        <v>19</v>
      </c>
      <c r="D633" t="s">
        <v>137</v>
      </c>
      <c r="E633" t="s">
        <v>43</v>
      </c>
      <c r="F633" s="1">
        <v>68</v>
      </c>
      <c r="G633" t="s">
        <v>149</v>
      </c>
      <c r="H633" t="s">
        <v>38</v>
      </c>
      <c r="I633" t="s">
        <v>84</v>
      </c>
      <c r="J633" t="s">
        <v>54</v>
      </c>
      <c r="K633" s="2">
        <v>4.0999999999999996</v>
      </c>
      <c r="L633" t="s">
        <v>26</v>
      </c>
      <c r="M633" t="s">
        <v>29</v>
      </c>
      <c r="N633" t="s">
        <v>76</v>
      </c>
      <c r="O633" t="s">
        <v>26</v>
      </c>
      <c r="P633" t="s">
        <v>26</v>
      </c>
      <c r="Q633" s="3">
        <v>27</v>
      </c>
      <c r="R633" t="s">
        <v>35</v>
      </c>
      <c r="S633" t="s">
        <v>30</v>
      </c>
    </row>
    <row r="634" spans="1:19" x14ac:dyDescent="0.25">
      <c r="A634">
        <v>633</v>
      </c>
      <c r="B634">
        <v>35</v>
      </c>
      <c r="C634" t="s">
        <v>19</v>
      </c>
      <c r="D634" t="s">
        <v>132</v>
      </c>
      <c r="E634" t="s">
        <v>69</v>
      </c>
      <c r="F634" s="1">
        <v>51</v>
      </c>
      <c r="G634" t="s">
        <v>52</v>
      </c>
      <c r="H634" t="s">
        <v>45</v>
      </c>
      <c r="I634" t="s">
        <v>108</v>
      </c>
      <c r="J634" t="s">
        <v>25</v>
      </c>
      <c r="K634" s="2">
        <v>3.9</v>
      </c>
      <c r="L634" t="s">
        <v>26</v>
      </c>
      <c r="M634" t="s">
        <v>29</v>
      </c>
      <c r="N634" t="s">
        <v>47</v>
      </c>
      <c r="O634" t="s">
        <v>26</v>
      </c>
      <c r="P634" t="s">
        <v>26</v>
      </c>
      <c r="Q634" s="3">
        <v>19</v>
      </c>
      <c r="R634" t="s">
        <v>29</v>
      </c>
      <c r="S634" t="s">
        <v>30</v>
      </c>
    </row>
    <row r="635" spans="1:19" x14ac:dyDescent="0.25">
      <c r="A635">
        <v>634</v>
      </c>
      <c r="B635">
        <v>66</v>
      </c>
      <c r="C635" t="s">
        <v>19</v>
      </c>
      <c r="D635" t="s">
        <v>42</v>
      </c>
      <c r="E635" t="s">
        <v>43</v>
      </c>
      <c r="F635" s="1">
        <v>33</v>
      </c>
      <c r="G635" t="s">
        <v>148</v>
      </c>
      <c r="H635" t="s">
        <v>45</v>
      </c>
      <c r="I635" t="s">
        <v>121</v>
      </c>
      <c r="J635" t="s">
        <v>39</v>
      </c>
      <c r="K635" s="2">
        <v>2.9</v>
      </c>
      <c r="L635" t="s">
        <v>26</v>
      </c>
      <c r="M635" t="s">
        <v>34</v>
      </c>
      <c r="N635" t="s">
        <v>28</v>
      </c>
      <c r="O635" t="s">
        <v>26</v>
      </c>
      <c r="P635" t="s">
        <v>26</v>
      </c>
      <c r="Q635" s="3">
        <v>50</v>
      </c>
      <c r="R635" t="s">
        <v>59</v>
      </c>
      <c r="S635" t="s">
        <v>60</v>
      </c>
    </row>
    <row r="636" spans="1:19" x14ac:dyDescent="0.25">
      <c r="A636">
        <v>635</v>
      </c>
      <c r="B636">
        <v>36</v>
      </c>
      <c r="C636" t="s">
        <v>19</v>
      </c>
      <c r="D636" t="s">
        <v>51</v>
      </c>
      <c r="E636" t="s">
        <v>43</v>
      </c>
      <c r="F636" s="1">
        <v>60</v>
      </c>
      <c r="G636" t="s">
        <v>123</v>
      </c>
      <c r="H636" t="s">
        <v>45</v>
      </c>
      <c r="I636" t="s">
        <v>86</v>
      </c>
      <c r="J636" t="s">
        <v>54</v>
      </c>
      <c r="K636" s="2">
        <v>3.9</v>
      </c>
      <c r="L636" t="s">
        <v>26</v>
      </c>
      <c r="M636" t="s">
        <v>34</v>
      </c>
      <c r="N636" t="s">
        <v>55</v>
      </c>
      <c r="O636" t="s">
        <v>26</v>
      </c>
      <c r="P636" t="s">
        <v>26</v>
      </c>
      <c r="Q636" s="3">
        <v>46</v>
      </c>
      <c r="R636" t="s">
        <v>46</v>
      </c>
      <c r="S636" t="s">
        <v>41</v>
      </c>
    </row>
    <row r="637" spans="1:19" x14ac:dyDescent="0.25">
      <c r="A637">
        <v>636</v>
      </c>
      <c r="B637">
        <v>27</v>
      </c>
      <c r="C637" t="s">
        <v>19</v>
      </c>
      <c r="D637" t="s">
        <v>104</v>
      </c>
      <c r="E637" t="s">
        <v>21</v>
      </c>
      <c r="F637" s="1">
        <v>59</v>
      </c>
      <c r="G637" t="s">
        <v>131</v>
      </c>
      <c r="H637" t="s">
        <v>45</v>
      </c>
      <c r="I637" t="s">
        <v>110</v>
      </c>
      <c r="J637" t="s">
        <v>58</v>
      </c>
      <c r="K637" s="2">
        <v>4.3</v>
      </c>
      <c r="L637" t="s">
        <v>26</v>
      </c>
      <c r="M637" t="s">
        <v>46</v>
      </c>
      <c r="N637" t="s">
        <v>72</v>
      </c>
      <c r="O637" t="s">
        <v>26</v>
      </c>
      <c r="P637" t="s">
        <v>26</v>
      </c>
      <c r="Q637" s="3">
        <v>28</v>
      </c>
      <c r="R637" t="s">
        <v>35</v>
      </c>
      <c r="S637" t="s">
        <v>60</v>
      </c>
    </row>
    <row r="638" spans="1:19" x14ac:dyDescent="0.25">
      <c r="A638">
        <v>637</v>
      </c>
      <c r="B638">
        <v>41</v>
      </c>
      <c r="C638" t="s">
        <v>19</v>
      </c>
      <c r="D638" t="s">
        <v>68</v>
      </c>
      <c r="E638" t="s">
        <v>69</v>
      </c>
      <c r="F638" s="1">
        <v>30</v>
      </c>
      <c r="G638" t="s">
        <v>150</v>
      </c>
      <c r="H638" t="s">
        <v>45</v>
      </c>
      <c r="I638" t="s">
        <v>126</v>
      </c>
      <c r="J638" t="s">
        <v>54</v>
      </c>
      <c r="K638" s="2">
        <v>2.8</v>
      </c>
      <c r="L638" t="s">
        <v>26</v>
      </c>
      <c r="M638" t="s">
        <v>35</v>
      </c>
      <c r="N638" t="s">
        <v>76</v>
      </c>
      <c r="O638" t="s">
        <v>26</v>
      </c>
      <c r="P638" t="s">
        <v>26</v>
      </c>
      <c r="Q638" s="3">
        <v>14</v>
      </c>
      <c r="R638" t="s">
        <v>34</v>
      </c>
      <c r="S638" t="s">
        <v>97</v>
      </c>
    </row>
    <row r="639" spans="1:19" x14ac:dyDescent="0.25">
      <c r="A639">
        <v>638</v>
      </c>
      <c r="B639">
        <v>21</v>
      </c>
      <c r="C639" t="s">
        <v>19</v>
      </c>
      <c r="D639" t="s">
        <v>31</v>
      </c>
      <c r="E639" t="s">
        <v>21</v>
      </c>
      <c r="F639" s="1">
        <v>20</v>
      </c>
      <c r="G639" t="s">
        <v>122</v>
      </c>
      <c r="H639" t="s">
        <v>45</v>
      </c>
      <c r="I639" t="s">
        <v>109</v>
      </c>
      <c r="J639" t="s">
        <v>25</v>
      </c>
      <c r="K639" s="2">
        <v>3.4</v>
      </c>
      <c r="L639" t="s">
        <v>26</v>
      </c>
      <c r="M639" t="s">
        <v>35</v>
      </c>
      <c r="N639" t="s">
        <v>72</v>
      </c>
      <c r="O639" t="s">
        <v>26</v>
      </c>
      <c r="P639" t="s">
        <v>26</v>
      </c>
      <c r="Q639" s="3">
        <v>46</v>
      </c>
      <c r="R639" t="s">
        <v>35</v>
      </c>
      <c r="S639" t="s">
        <v>30</v>
      </c>
    </row>
    <row r="640" spans="1:19" x14ac:dyDescent="0.25">
      <c r="A640">
        <v>639</v>
      </c>
      <c r="B640">
        <v>53</v>
      </c>
      <c r="C640" t="s">
        <v>19</v>
      </c>
      <c r="D640" t="s">
        <v>42</v>
      </c>
      <c r="E640" t="s">
        <v>43</v>
      </c>
      <c r="F640" s="1">
        <v>20</v>
      </c>
      <c r="G640" t="s">
        <v>128</v>
      </c>
      <c r="H640" t="s">
        <v>38</v>
      </c>
      <c r="I640" t="s">
        <v>144</v>
      </c>
      <c r="J640" t="s">
        <v>54</v>
      </c>
      <c r="K640" s="2">
        <v>2.7</v>
      </c>
      <c r="L640" t="s">
        <v>26</v>
      </c>
      <c r="M640" t="s">
        <v>29</v>
      </c>
      <c r="N640" t="s">
        <v>28</v>
      </c>
      <c r="O640" t="s">
        <v>26</v>
      </c>
      <c r="P640" t="s">
        <v>26</v>
      </c>
      <c r="Q640" s="3">
        <v>41</v>
      </c>
      <c r="R640" t="s">
        <v>46</v>
      </c>
      <c r="S640" t="s">
        <v>88</v>
      </c>
    </row>
    <row r="641" spans="1:19" x14ac:dyDescent="0.25">
      <c r="A641">
        <v>640</v>
      </c>
      <c r="B641">
        <v>54</v>
      </c>
      <c r="C641" t="s">
        <v>19</v>
      </c>
      <c r="D641" t="s">
        <v>82</v>
      </c>
      <c r="E641" t="s">
        <v>21</v>
      </c>
      <c r="F641" s="1">
        <v>24</v>
      </c>
      <c r="G641" t="s">
        <v>91</v>
      </c>
      <c r="H641" t="s">
        <v>23</v>
      </c>
      <c r="I641" t="s">
        <v>79</v>
      </c>
      <c r="J641" t="s">
        <v>39</v>
      </c>
      <c r="K641" s="2">
        <v>4</v>
      </c>
      <c r="L641" t="s">
        <v>26</v>
      </c>
      <c r="M641" t="s">
        <v>27</v>
      </c>
      <c r="N641" t="s">
        <v>72</v>
      </c>
      <c r="O641" t="s">
        <v>26</v>
      </c>
      <c r="P641" t="s">
        <v>26</v>
      </c>
      <c r="Q641" s="3">
        <v>50</v>
      </c>
      <c r="R641" t="s">
        <v>27</v>
      </c>
      <c r="S641" t="s">
        <v>50</v>
      </c>
    </row>
    <row r="642" spans="1:19" x14ac:dyDescent="0.25">
      <c r="A642">
        <v>641</v>
      </c>
      <c r="B642">
        <v>53</v>
      </c>
      <c r="C642" t="s">
        <v>19</v>
      </c>
      <c r="D642" t="s">
        <v>87</v>
      </c>
      <c r="E642" t="s">
        <v>21</v>
      </c>
      <c r="F642" s="1">
        <v>88</v>
      </c>
      <c r="G642" t="s">
        <v>148</v>
      </c>
      <c r="H642" t="s">
        <v>45</v>
      </c>
      <c r="I642" t="s">
        <v>24</v>
      </c>
      <c r="J642" t="s">
        <v>54</v>
      </c>
      <c r="K642" s="2">
        <v>4.4000000000000004</v>
      </c>
      <c r="L642" t="s">
        <v>26</v>
      </c>
      <c r="M642" t="s">
        <v>59</v>
      </c>
      <c r="N642" t="s">
        <v>76</v>
      </c>
      <c r="O642" t="s">
        <v>26</v>
      </c>
      <c r="P642" t="s">
        <v>26</v>
      </c>
      <c r="Q642" s="3">
        <v>28</v>
      </c>
      <c r="R642" t="s">
        <v>59</v>
      </c>
      <c r="S642" t="s">
        <v>30</v>
      </c>
    </row>
    <row r="643" spans="1:19" x14ac:dyDescent="0.25">
      <c r="A643">
        <v>642</v>
      </c>
      <c r="B643">
        <v>47</v>
      </c>
      <c r="C643" t="s">
        <v>19</v>
      </c>
      <c r="D643" t="s">
        <v>20</v>
      </c>
      <c r="E643" t="s">
        <v>21</v>
      </c>
      <c r="F643" s="1">
        <v>78</v>
      </c>
      <c r="G643" t="s">
        <v>120</v>
      </c>
      <c r="H643" t="s">
        <v>45</v>
      </c>
      <c r="I643" t="s">
        <v>108</v>
      </c>
      <c r="J643" t="s">
        <v>25</v>
      </c>
      <c r="K643" s="2">
        <v>3.9</v>
      </c>
      <c r="L643" t="s">
        <v>26</v>
      </c>
      <c r="M643" t="s">
        <v>29</v>
      </c>
      <c r="N643" t="s">
        <v>72</v>
      </c>
      <c r="O643" t="s">
        <v>26</v>
      </c>
      <c r="P643" t="s">
        <v>26</v>
      </c>
      <c r="Q643" s="3">
        <v>23</v>
      </c>
      <c r="R643" t="s">
        <v>27</v>
      </c>
      <c r="S643" t="s">
        <v>97</v>
      </c>
    </row>
    <row r="644" spans="1:19" x14ac:dyDescent="0.25">
      <c r="A644">
        <v>643</v>
      </c>
      <c r="B644">
        <v>64</v>
      </c>
      <c r="C644" t="s">
        <v>19</v>
      </c>
      <c r="D644" t="s">
        <v>87</v>
      </c>
      <c r="E644" t="s">
        <v>21</v>
      </c>
      <c r="F644" s="1">
        <v>25</v>
      </c>
      <c r="G644" t="s">
        <v>74</v>
      </c>
      <c r="H644" t="s">
        <v>23</v>
      </c>
      <c r="I644" t="s">
        <v>108</v>
      </c>
      <c r="J644" t="s">
        <v>39</v>
      </c>
      <c r="K644" s="2">
        <v>2.8</v>
      </c>
      <c r="L644" t="s">
        <v>26</v>
      </c>
      <c r="M644" t="s">
        <v>27</v>
      </c>
      <c r="N644" t="s">
        <v>72</v>
      </c>
      <c r="O644" t="s">
        <v>26</v>
      </c>
      <c r="P644" t="s">
        <v>26</v>
      </c>
      <c r="Q644" s="3">
        <v>14</v>
      </c>
      <c r="R644" t="s">
        <v>59</v>
      </c>
      <c r="S644" t="s">
        <v>77</v>
      </c>
    </row>
    <row r="645" spans="1:19" x14ac:dyDescent="0.25">
      <c r="A645">
        <v>644</v>
      </c>
      <c r="B645">
        <v>18</v>
      </c>
      <c r="C645" t="s">
        <v>19</v>
      </c>
      <c r="D645" t="s">
        <v>31</v>
      </c>
      <c r="E645" t="s">
        <v>21</v>
      </c>
      <c r="F645" s="1">
        <v>57</v>
      </c>
      <c r="G645" t="s">
        <v>48</v>
      </c>
      <c r="H645" t="s">
        <v>92</v>
      </c>
      <c r="I645" t="s">
        <v>96</v>
      </c>
      <c r="J645" t="s">
        <v>25</v>
      </c>
      <c r="K645" s="2">
        <v>3.2</v>
      </c>
      <c r="L645" t="s">
        <v>26</v>
      </c>
      <c r="M645" t="s">
        <v>29</v>
      </c>
      <c r="N645" t="s">
        <v>47</v>
      </c>
      <c r="O645" t="s">
        <v>26</v>
      </c>
      <c r="P645" t="s">
        <v>26</v>
      </c>
      <c r="Q645" s="3">
        <v>10</v>
      </c>
      <c r="R645" t="s">
        <v>34</v>
      </c>
      <c r="S645" t="s">
        <v>97</v>
      </c>
    </row>
    <row r="646" spans="1:19" x14ac:dyDescent="0.25">
      <c r="A646">
        <v>645</v>
      </c>
      <c r="B646">
        <v>68</v>
      </c>
      <c r="C646" t="s">
        <v>19</v>
      </c>
      <c r="D646" t="s">
        <v>132</v>
      </c>
      <c r="E646" t="s">
        <v>69</v>
      </c>
      <c r="F646" s="1">
        <v>93</v>
      </c>
      <c r="G646" t="s">
        <v>62</v>
      </c>
      <c r="H646" t="s">
        <v>38</v>
      </c>
      <c r="I646" t="s">
        <v>144</v>
      </c>
      <c r="J646" t="s">
        <v>54</v>
      </c>
      <c r="K646" s="2">
        <v>4.3</v>
      </c>
      <c r="L646" t="s">
        <v>26</v>
      </c>
      <c r="M646" t="s">
        <v>29</v>
      </c>
      <c r="N646" t="s">
        <v>47</v>
      </c>
      <c r="O646" t="s">
        <v>26</v>
      </c>
      <c r="P646" t="s">
        <v>26</v>
      </c>
      <c r="Q646" s="3">
        <v>37</v>
      </c>
      <c r="R646" t="s">
        <v>35</v>
      </c>
      <c r="S646" t="s">
        <v>41</v>
      </c>
    </row>
    <row r="647" spans="1:19" x14ac:dyDescent="0.25">
      <c r="A647">
        <v>646</v>
      </c>
      <c r="B647">
        <v>62</v>
      </c>
      <c r="C647" t="s">
        <v>19</v>
      </c>
      <c r="D647" t="s">
        <v>104</v>
      </c>
      <c r="E647" t="s">
        <v>21</v>
      </c>
      <c r="F647" s="1">
        <v>42</v>
      </c>
      <c r="G647" t="s">
        <v>101</v>
      </c>
      <c r="H647" t="s">
        <v>38</v>
      </c>
      <c r="I647" t="s">
        <v>75</v>
      </c>
      <c r="J647" t="s">
        <v>54</v>
      </c>
      <c r="K647" s="2">
        <v>4.2</v>
      </c>
      <c r="L647" t="s">
        <v>26</v>
      </c>
      <c r="M647" t="s">
        <v>27</v>
      </c>
      <c r="N647" t="s">
        <v>28</v>
      </c>
      <c r="O647" t="s">
        <v>26</v>
      </c>
      <c r="P647" t="s">
        <v>26</v>
      </c>
      <c r="Q647" s="3">
        <v>15</v>
      </c>
      <c r="R647" t="s">
        <v>29</v>
      </c>
      <c r="S647" t="s">
        <v>77</v>
      </c>
    </row>
    <row r="648" spans="1:19" x14ac:dyDescent="0.25">
      <c r="A648">
        <v>647</v>
      </c>
      <c r="B648">
        <v>51</v>
      </c>
      <c r="C648" t="s">
        <v>19</v>
      </c>
      <c r="D648" t="s">
        <v>137</v>
      </c>
      <c r="E648" t="s">
        <v>43</v>
      </c>
      <c r="F648" s="1">
        <v>54</v>
      </c>
      <c r="G648" t="s">
        <v>116</v>
      </c>
      <c r="H648" t="s">
        <v>92</v>
      </c>
      <c r="I648" t="s">
        <v>71</v>
      </c>
      <c r="J648" t="s">
        <v>39</v>
      </c>
      <c r="K648" s="2">
        <v>4.9000000000000004</v>
      </c>
      <c r="L648" t="s">
        <v>26</v>
      </c>
      <c r="M648" t="s">
        <v>59</v>
      </c>
      <c r="N648" t="s">
        <v>55</v>
      </c>
      <c r="O648" t="s">
        <v>26</v>
      </c>
      <c r="P648" t="s">
        <v>26</v>
      </c>
      <c r="Q648" s="3">
        <v>19</v>
      </c>
      <c r="R648" t="s">
        <v>29</v>
      </c>
      <c r="S648" t="s">
        <v>77</v>
      </c>
    </row>
    <row r="649" spans="1:19" x14ac:dyDescent="0.25">
      <c r="A649">
        <v>648</v>
      </c>
      <c r="B649">
        <v>54</v>
      </c>
      <c r="C649" t="s">
        <v>19</v>
      </c>
      <c r="D649" t="s">
        <v>20</v>
      </c>
      <c r="E649" t="s">
        <v>21</v>
      </c>
      <c r="F649" s="1">
        <v>70</v>
      </c>
      <c r="G649" t="s">
        <v>91</v>
      </c>
      <c r="H649" t="s">
        <v>92</v>
      </c>
      <c r="I649" t="s">
        <v>63</v>
      </c>
      <c r="J649" t="s">
        <v>54</v>
      </c>
      <c r="K649" s="2">
        <v>3.7</v>
      </c>
      <c r="L649" t="s">
        <v>26</v>
      </c>
      <c r="M649" t="s">
        <v>34</v>
      </c>
      <c r="N649" t="s">
        <v>28</v>
      </c>
      <c r="O649" t="s">
        <v>26</v>
      </c>
      <c r="P649" t="s">
        <v>26</v>
      </c>
      <c r="Q649" s="3">
        <v>23</v>
      </c>
      <c r="R649" t="s">
        <v>27</v>
      </c>
      <c r="S649" t="s">
        <v>30</v>
      </c>
    </row>
    <row r="650" spans="1:19" x14ac:dyDescent="0.25">
      <c r="A650">
        <v>649</v>
      </c>
      <c r="B650">
        <v>22</v>
      </c>
      <c r="C650" t="s">
        <v>19</v>
      </c>
      <c r="D650" t="s">
        <v>104</v>
      </c>
      <c r="E650" t="s">
        <v>21</v>
      </c>
      <c r="F650" s="1">
        <v>31</v>
      </c>
      <c r="G650" t="s">
        <v>151</v>
      </c>
      <c r="H650" t="s">
        <v>45</v>
      </c>
      <c r="I650" t="s">
        <v>110</v>
      </c>
      <c r="J650" t="s">
        <v>25</v>
      </c>
      <c r="K650" s="2">
        <v>4.0999999999999996</v>
      </c>
      <c r="L650" t="s">
        <v>26</v>
      </c>
      <c r="M650" t="s">
        <v>34</v>
      </c>
      <c r="N650" t="s">
        <v>76</v>
      </c>
      <c r="O650" t="s">
        <v>26</v>
      </c>
      <c r="P650" t="s">
        <v>26</v>
      </c>
      <c r="Q650" s="3">
        <v>35</v>
      </c>
      <c r="R650" t="s">
        <v>27</v>
      </c>
      <c r="S650" t="s">
        <v>41</v>
      </c>
    </row>
    <row r="651" spans="1:19" x14ac:dyDescent="0.25">
      <c r="A651">
        <v>650</v>
      </c>
      <c r="B651">
        <v>53</v>
      </c>
      <c r="C651" t="s">
        <v>19</v>
      </c>
      <c r="D651" t="s">
        <v>95</v>
      </c>
      <c r="E651" t="s">
        <v>21</v>
      </c>
      <c r="F651" s="1">
        <v>93</v>
      </c>
      <c r="G651" t="s">
        <v>80</v>
      </c>
      <c r="H651" t="s">
        <v>23</v>
      </c>
      <c r="I651" t="s">
        <v>121</v>
      </c>
      <c r="J651" t="s">
        <v>39</v>
      </c>
      <c r="K651" s="2">
        <v>4.2</v>
      </c>
      <c r="L651" t="s">
        <v>26</v>
      </c>
      <c r="M651" t="s">
        <v>27</v>
      </c>
      <c r="N651" t="s">
        <v>76</v>
      </c>
      <c r="O651" t="s">
        <v>26</v>
      </c>
      <c r="P651" t="s">
        <v>26</v>
      </c>
      <c r="Q651" s="3">
        <v>33</v>
      </c>
      <c r="R651" t="s">
        <v>46</v>
      </c>
      <c r="S651" t="s">
        <v>97</v>
      </c>
    </row>
    <row r="652" spans="1:19" x14ac:dyDescent="0.25">
      <c r="A652">
        <v>651</v>
      </c>
      <c r="B652">
        <v>34</v>
      </c>
      <c r="C652" t="s">
        <v>19</v>
      </c>
      <c r="D652" t="s">
        <v>143</v>
      </c>
      <c r="E652" t="s">
        <v>69</v>
      </c>
      <c r="F652" s="1">
        <v>40</v>
      </c>
      <c r="G652" t="s">
        <v>103</v>
      </c>
      <c r="H652" t="s">
        <v>45</v>
      </c>
      <c r="I652" t="s">
        <v>136</v>
      </c>
      <c r="J652" t="s">
        <v>39</v>
      </c>
      <c r="K652" s="2">
        <v>3.9</v>
      </c>
      <c r="L652" t="s">
        <v>26</v>
      </c>
      <c r="M652" t="s">
        <v>29</v>
      </c>
      <c r="N652" t="s">
        <v>47</v>
      </c>
      <c r="O652" t="s">
        <v>26</v>
      </c>
      <c r="P652" t="s">
        <v>26</v>
      </c>
      <c r="Q652" s="3">
        <v>12</v>
      </c>
      <c r="R652" t="s">
        <v>34</v>
      </c>
      <c r="S652" t="s">
        <v>50</v>
      </c>
    </row>
    <row r="653" spans="1:19" x14ac:dyDescent="0.25">
      <c r="A653">
        <v>652</v>
      </c>
      <c r="B653">
        <v>32</v>
      </c>
      <c r="C653" t="s">
        <v>19</v>
      </c>
      <c r="D653" t="s">
        <v>124</v>
      </c>
      <c r="E653" t="s">
        <v>69</v>
      </c>
      <c r="F653" s="1">
        <v>32</v>
      </c>
      <c r="G653" t="s">
        <v>74</v>
      </c>
      <c r="H653" t="s">
        <v>23</v>
      </c>
      <c r="I653" t="s">
        <v>134</v>
      </c>
      <c r="J653" t="s">
        <v>54</v>
      </c>
      <c r="K653" s="2">
        <v>2.9</v>
      </c>
      <c r="L653" t="s">
        <v>26</v>
      </c>
      <c r="M653" t="s">
        <v>46</v>
      </c>
      <c r="N653" t="s">
        <v>47</v>
      </c>
      <c r="O653" t="s">
        <v>26</v>
      </c>
      <c r="P653" t="s">
        <v>26</v>
      </c>
      <c r="Q653" s="3">
        <v>41</v>
      </c>
      <c r="R653" t="s">
        <v>29</v>
      </c>
      <c r="S653" t="s">
        <v>30</v>
      </c>
    </row>
    <row r="654" spans="1:19" x14ac:dyDescent="0.25">
      <c r="A654">
        <v>653</v>
      </c>
      <c r="B654">
        <v>64</v>
      </c>
      <c r="C654" t="s">
        <v>19</v>
      </c>
      <c r="D654" t="s">
        <v>89</v>
      </c>
      <c r="E654" t="s">
        <v>69</v>
      </c>
      <c r="F654" s="1">
        <v>27</v>
      </c>
      <c r="G654" t="s">
        <v>148</v>
      </c>
      <c r="H654" t="s">
        <v>45</v>
      </c>
      <c r="I654" t="s">
        <v>118</v>
      </c>
      <c r="J654" t="s">
        <v>25</v>
      </c>
      <c r="K654" s="2">
        <v>3.1</v>
      </c>
      <c r="L654" t="s">
        <v>26</v>
      </c>
      <c r="M654" t="s">
        <v>46</v>
      </c>
      <c r="N654" t="s">
        <v>40</v>
      </c>
      <c r="O654" t="s">
        <v>26</v>
      </c>
      <c r="P654" t="s">
        <v>26</v>
      </c>
      <c r="Q654" s="3">
        <v>27</v>
      </c>
      <c r="R654" t="s">
        <v>29</v>
      </c>
      <c r="S654" t="s">
        <v>41</v>
      </c>
    </row>
    <row r="655" spans="1:19" x14ac:dyDescent="0.25">
      <c r="A655">
        <v>654</v>
      </c>
      <c r="B655">
        <v>20</v>
      </c>
      <c r="C655" t="s">
        <v>19</v>
      </c>
      <c r="D655" t="s">
        <v>119</v>
      </c>
      <c r="E655" t="s">
        <v>69</v>
      </c>
      <c r="F655" s="1">
        <v>68</v>
      </c>
      <c r="G655" t="s">
        <v>114</v>
      </c>
      <c r="H655" t="s">
        <v>45</v>
      </c>
      <c r="I655" t="s">
        <v>79</v>
      </c>
      <c r="J655" t="s">
        <v>25</v>
      </c>
      <c r="K655" s="2">
        <v>3.6</v>
      </c>
      <c r="L655" t="s">
        <v>26</v>
      </c>
      <c r="M655" t="s">
        <v>27</v>
      </c>
      <c r="N655" t="s">
        <v>72</v>
      </c>
      <c r="O655" t="s">
        <v>26</v>
      </c>
      <c r="P655" t="s">
        <v>26</v>
      </c>
      <c r="Q655" s="3">
        <v>45</v>
      </c>
      <c r="R655" t="s">
        <v>35</v>
      </c>
      <c r="S655" t="s">
        <v>30</v>
      </c>
    </row>
    <row r="656" spans="1:19" x14ac:dyDescent="0.25">
      <c r="A656">
        <v>655</v>
      </c>
      <c r="B656">
        <v>24</v>
      </c>
      <c r="C656" t="s">
        <v>19</v>
      </c>
      <c r="D656" t="s">
        <v>68</v>
      </c>
      <c r="E656" t="s">
        <v>69</v>
      </c>
      <c r="F656" s="1">
        <v>59</v>
      </c>
      <c r="G656" t="s">
        <v>99</v>
      </c>
      <c r="H656" t="s">
        <v>23</v>
      </c>
      <c r="I656" t="s">
        <v>24</v>
      </c>
      <c r="J656" t="s">
        <v>54</v>
      </c>
      <c r="K656" s="2">
        <v>4.4000000000000004</v>
      </c>
      <c r="L656" t="s">
        <v>26</v>
      </c>
      <c r="M656" t="s">
        <v>34</v>
      </c>
      <c r="N656" t="s">
        <v>72</v>
      </c>
      <c r="O656" t="s">
        <v>26</v>
      </c>
      <c r="P656" t="s">
        <v>26</v>
      </c>
      <c r="Q656" s="3">
        <v>23</v>
      </c>
      <c r="R656" t="s">
        <v>29</v>
      </c>
      <c r="S656" t="s">
        <v>50</v>
      </c>
    </row>
    <row r="657" spans="1:19" x14ac:dyDescent="0.25">
      <c r="A657">
        <v>656</v>
      </c>
      <c r="B657">
        <v>20</v>
      </c>
      <c r="C657" t="s">
        <v>19</v>
      </c>
      <c r="D657" t="s">
        <v>68</v>
      </c>
      <c r="E657" t="s">
        <v>69</v>
      </c>
      <c r="F657" s="1">
        <v>36</v>
      </c>
      <c r="G657" t="s">
        <v>91</v>
      </c>
      <c r="H657" t="s">
        <v>38</v>
      </c>
      <c r="I657" t="s">
        <v>75</v>
      </c>
      <c r="J657" t="s">
        <v>58</v>
      </c>
      <c r="K657" s="2">
        <v>3.1</v>
      </c>
      <c r="L657" t="s">
        <v>26</v>
      </c>
      <c r="M657" t="s">
        <v>59</v>
      </c>
      <c r="N657" t="s">
        <v>40</v>
      </c>
      <c r="O657" t="s">
        <v>26</v>
      </c>
      <c r="P657" t="s">
        <v>26</v>
      </c>
      <c r="Q657" s="3">
        <v>19</v>
      </c>
      <c r="R657" t="s">
        <v>29</v>
      </c>
      <c r="S657" t="s">
        <v>88</v>
      </c>
    </row>
    <row r="658" spans="1:19" x14ac:dyDescent="0.25">
      <c r="A658">
        <v>657</v>
      </c>
      <c r="B658">
        <v>42</v>
      </c>
      <c r="C658" t="s">
        <v>19</v>
      </c>
      <c r="D658" t="s">
        <v>36</v>
      </c>
      <c r="E658" t="s">
        <v>21</v>
      </c>
      <c r="F658" s="1">
        <v>23</v>
      </c>
      <c r="G658" t="s">
        <v>138</v>
      </c>
      <c r="H658" t="s">
        <v>45</v>
      </c>
      <c r="I658" t="s">
        <v>118</v>
      </c>
      <c r="J658" t="s">
        <v>54</v>
      </c>
      <c r="K658" s="2">
        <v>3.9</v>
      </c>
      <c r="L658" t="s">
        <v>26</v>
      </c>
      <c r="M658" t="s">
        <v>59</v>
      </c>
      <c r="N658" t="s">
        <v>55</v>
      </c>
      <c r="O658" t="s">
        <v>26</v>
      </c>
      <c r="P658" t="s">
        <v>26</v>
      </c>
      <c r="Q658" s="3">
        <v>6</v>
      </c>
      <c r="R658" t="s">
        <v>46</v>
      </c>
      <c r="S658" t="s">
        <v>60</v>
      </c>
    </row>
    <row r="659" spans="1:19" x14ac:dyDescent="0.25">
      <c r="A659">
        <v>658</v>
      </c>
      <c r="B659">
        <v>48</v>
      </c>
      <c r="C659" t="s">
        <v>19</v>
      </c>
      <c r="D659" t="s">
        <v>102</v>
      </c>
      <c r="E659" t="s">
        <v>65</v>
      </c>
      <c r="F659" s="1">
        <v>80</v>
      </c>
      <c r="G659" t="s">
        <v>117</v>
      </c>
      <c r="H659" t="s">
        <v>45</v>
      </c>
      <c r="I659" t="s">
        <v>53</v>
      </c>
      <c r="J659" t="s">
        <v>25</v>
      </c>
      <c r="K659" s="2">
        <v>4.3</v>
      </c>
      <c r="L659" t="s">
        <v>26</v>
      </c>
      <c r="M659" t="s">
        <v>46</v>
      </c>
      <c r="N659" t="s">
        <v>40</v>
      </c>
      <c r="O659" t="s">
        <v>26</v>
      </c>
      <c r="P659" t="s">
        <v>26</v>
      </c>
      <c r="Q659" s="3">
        <v>6</v>
      </c>
      <c r="R659" t="s">
        <v>46</v>
      </c>
      <c r="S659" t="s">
        <v>60</v>
      </c>
    </row>
    <row r="660" spans="1:19" x14ac:dyDescent="0.25">
      <c r="A660">
        <v>659</v>
      </c>
      <c r="B660">
        <v>62</v>
      </c>
      <c r="C660" t="s">
        <v>19</v>
      </c>
      <c r="D660" t="s">
        <v>132</v>
      </c>
      <c r="E660" t="s">
        <v>69</v>
      </c>
      <c r="F660" s="1">
        <v>37</v>
      </c>
      <c r="G660" t="s">
        <v>62</v>
      </c>
      <c r="H660" t="s">
        <v>38</v>
      </c>
      <c r="I660" t="s">
        <v>53</v>
      </c>
      <c r="J660" t="s">
        <v>58</v>
      </c>
      <c r="K660" s="2">
        <v>4.9000000000000004</v>
      </c>
      <c r="L660" t="s">
        <v>26</v>
      </c>
      <c r="M660" t="s">
        <v>59</v>
      </c>
      <c r="N660" t="s">
        <v>76</v>
      </c>
      <c r="O660" t="s">
        <v>26</v>
      </c>
      <c r="P660" t="s">
        <v>26</v>
      </c>
      <c r="Q660" s="3">
        <v>20</v>
      </c>
      <c r="R660" t="s">
        <v>29</v>
      </c>
      <c r="S660" t="s">
        <v>41</v>
      </c>
    </row>
    <row r="661" spans="1:19" x14ac:dyDescent="0.25">
      <c r="A661">
        <v>660</v>
      </c>
      <c r="B661">
        <v>62</v>
      </c>
      <c r="C661" t="s">
        <v>19</v>
      </c>
      <c r="D661" t="s">
        <v>61</v>
      </c>
      <c r="E661" t="s">
        <v>21</v>
      </c>
      <c r="F661" s="1">
        <v>52</v>
      </c>
      <c r="G661" t="s">
        <v>141</v>
      </c>
      <c r="H661" t="s">
        <v>38</v>
      </c>
      <c r="I661" t="s">
        <v>81</v>
      </c>
      <c r="J661" t="s">
        <v>39</v>
      </c>
      <c r="K661" s="2">
        <v>3.6</v>
      </c>
      <c r="L661" t="s">
        <v>26</v>
      </c>
      <c r="M661" t="s">
        <v>59</v>
      </c>
      <c r="N661" t="s">
        <v>72</v>
      </c>
      <c r="O661" t="s">
        <v>26</v>
      </c>
      <c r="P661" t="s">
        <v>26</v>
      </c>
      <c r="Q661" s="3">
        <v>8</v>
      </c>
      <c r="R661" t="s">
        <v>35</v>
      </c>
      <c r="S661" t="s">
        <v>41</v>
      </c>
    </row>
    <row r="662" spans="1:19" x14ac:dyDescent="0.25">
      <c r="A662">
        <v>661</v>
      </c>
      <c r="B662">
        <v>50</v>
      </c>
      <c r="C662" t="s">
        <v>19</v>
      </c>
      <c r="D662" t="s">
        <v>64</v>
      </c>
      <c r="E662" t="s">
        <v>65</v>
      </c>
      <c r="F662" s="1">
        <v>79</v>
      </c>
      <c r="G662" t="s">
        <v>57</v>
      </c>
      <c r="H662" t="s">
        <v>45</v>
      </c>
      <c r="I662" t="s">
        <v>79</v>
      </c>
      <c r="J662" t="s">
        <v>58</v>
      </c>
      <c r="K662" s="2">
        <v>5</v>
      </c>
      <c r="L662" t="s">
        <v>26</v>
      </c>
      <c r="M662" t="s">
        <v>59</v>
      </c>
      <c r="N662" t="s">
        <v>72</v>
      </c>
      <c r="O662" t="s">
        <v>26</v>
      </c>
      <c r="P662" t="s">
        <v>26</v>
      </c>
      <c r="Q662" s="3">
        <v>39</v>
      </c>
      <c r="R662" t="s">
        <v>27</v>
      </c>
      <c r="S662" t="s">
        <v>60</v>
      </c>
    </row>
    <row r="663" spans="1:19" x14ac:dyDescent="0.25">
      <c r="A663">
        <v>662</v>
      </c>
      <c r="B663">
        <v>57</v>
      </c>
      <c r="C663" t="s">
        <v>19</v>
      </c>
      <c r="D663" t="s">
        <v>56</v>
      </c>
      <c r="E663" t="s">
        <v>21</v>
      </c>
      <c r="F663" s="1">
        <v>68</v>
      </c>
      <c r="G663" t="s">
        <v>146</v>
      </c>
      <c r="H663" t="s">
        <v>92</v>
      </c>
      <c r="I663" t="s">
        <v>96</v>
      </c>
      <c r="J663" t="s">
        <v>58</v>
      </c>
      <c r="K663" s="2">
        <v>4.0999999999999996</v>
      </c>
      <c r="L663" t="s">
        <v>26</v>
      </c>
      <c r="M663" t="s">
        <v>35</v>
      </c>
      <c r="N663" t="s">
        <v>76</v>
      </c>
      <c r="O663" t="s">
        <v>26</v>
      </c>
      <c r="P663" t="s">
        <v>26</v>
      </c>
      <c r="Q663" s="3">
        <v>39</v>
      </c>
      <c r="R663" t="s">
        <v>27</v>
      </c>
      <c r="S663" t="s">
        <v>60</v>
      </c>
    </row>
    <row r="664" spans="1:19" x14ac:dyDescent="0.25">
      <c r="A664">
        <v>663</v>
      </c>
      <c r="B664">
        <v>24</v>
      </c>
      <c r="C664" t="s">
        <v>19</v>
      </c>
      <c r="D664" t="s">
        <v>143</v>
      </c>
      <c r="E664" t="s">
        <v>69</v>
      </c>
      <c r="F664" s="1">
        <v>98</v>
      </c>
      <c r="G664" t="s">
        <v>115</v>
      </c>
      <c r="H664" t="s">
        <v>23</v>
      </c>
      <c r="I664" t="s">
        <v>136</v>
      </c>
      <c r="J664" t="s">
        <v>58</v>
      </c>
      <c r="K664" s="2">
        <v>2.8</v>
      </c>
      <c r="L664" t="s">
        <v>26</v>
      </c>
      <c r="M664" t="s">
        <v>59</v>
      </c>
      <c r="N664" t="s">
        <v>28</v>
      </c>
      <c r="O664" t="s">
        <v>26</v>
      </c>
      <c r="P664" t="s">
        <v>26</v>
      </c>
      <c r="Q664" s="3">
        <v>39</v>
      </c>
      <c r="R664" t="s">
        <v>29</v>
      </c>
      <c r="S664" t="s">
        <v>77</v>
      </c>
    </row>
    <row r="665" spans="1:19" x14ac:dyDescent="0.25">
      <c r="A665">
        <v>664</v>
      </c>
      <c r="B665">
        <v>59</v>
      </c>
      <c r="C665" t="s">
        <v>19</v>
      </c>
      <c r="D665" t="s">
        <v>82</v>
      </c>
      <c r="E665" t="s">
        <v>21</v>
      </c>
      <c r="F665" s="1">
        <v>83</v>
      </c>
      <c r="G665" t="s">
        <v>120</v>
      </c>
      <c r="H665" t="s">
        <v>45</v>
      </c>
      <c r="I665" t="s">
        <v>63</v>
      </c>
      <c r="J665" t="s">
        <v>58</v>
      </c>
      <c r="K665" s="2">
        <v>4.7</v>
      </c>
      <c r="L665" t="s">
        <v>26</v>
      </c>
      <c r="M665" t="s">
        <v>35</v>
      </c>
      <c r="N665" t="s">
        <v>28</v>
      </c>
      <c r="O665" t="s">
        <v>26</v>
      </c>
      <c r="P665" t="s">
        <v>26</v>
      </c>
      <c r="Q665" s="3">
        <v>23</v>
      </c>
      <c r="R665" t="s">
        <v>27</v>
      </c>
      <c r="S665" t="s">
        <v>88</v>
      </c>
    </row>
    <row r="666" spans="1:19" x14ac:dyDescent="0.25">
      <c r="A666">
        <v>665</v>
      </c>
      <c r="B666">
        <v>63</v>
      </c>
      <c r="C666" t="s">
        <v>19</v>
      </c>
      <c r="D666" t="s">
        <v>95</v>
      </c>
      <c r="E666" t="s">
        <v>21</v>
      </c>
      <c r="F666" s="1">
        <v>83</v>
      </c>
      <c r="G666" t="s">
        <v>112</v>
      </c>
      <c r="H666" t="s">
        <v>45</v>
      </c>
      <c r="I666" t="s">
        <v>126</v>
      </c>
      <c r="J666" t="s">
        <v>25</v>
      </c>
      <c r="K666" s="2">
        <v>4.4000000000000004</v>
      </c>
      <c r="L666" t="s">
        <v>26</v>
      </c>
      <c r="M666" t="s">
        <v>35</v>
      </c>
      <c r="N666" t="s">
        <v>28</v>
      </c>
      <c r="O666" t="s">
        <v>26</v>
      </c>
      <c r="P666" t="s">
        <v>26</v>
      </c>
      <c r="Q666" s="3">
        <v>41</v>
      </c>
      <c r="R666" t="s">
        <v>46</v>
      </c>
      <c r="S666" t="s">
        <v>77</v>
      </c>
    </row>
    <row r="667" spans="1:19" x14ac:dyDescent="0.25">
      <c r="A667">
        <v>666</v>
      </c>
      <c r="B667">
        <v>41</v>
      </c>
      <c r="C667" t="s">
        <v>19</v>
      </c>
      <c r="D667" t="s">
        <v>95</v>
      </c>
      <c r="E667" t="s">
        <v>21</v>
      </c>
      <c r="F667" s="1">
        <v>55</v>
      </c>
      <c r="G667" t="s">
        <v>130</v>
      </c>
      <c r="H667" t="s">
        <v>45</v>
      </c>
      <c r="I667" t="s">
        <v>100</v>
      </c>
      <c r="J667" t="s">
        <v>39</v>
      </c>
      <c r="K667" s="2">
        <v>4.9000000000000004</v>
      </c>
      <c r="L667" t="s">
        <v>26</v>
      </c>
      <c r="M667" t="s">
        <v>35</v>
      </c>
      <c r="N667" t="s">
        <v>72</v>
      </c>
      <c r="O667" t="s">
        <v>26</v>
      </c>
      <c r="P667" t="s">
        <v>26</v>
      </c>
      <c r="Q667" s="3">
        <v>50</v>
      </c>
      <c r="R667" t="s">
        <v>27</v>
      </c>
      <c r="S667" t="s">
        <v>50</v>
      </c>
    </row>
    <row r="668" spans="1:19" x14ac:dyDescent="0.25">
      <c r="A668">
        <v>667</v>
      </c>
      <c r="B668">
        <v>35</v>
      </c>
      <c r="C668" t="s">
        <v>19</v>
      </c>
      <c r="D668" t="s">
        <v>104</v>
      </c>
      <c r="E668" t="s">
        <v>21</v>
      </c>
      <c r="F668" s="1">
        <v>26</v>
      </c>
      <c r="G668" t="s">
        <v>112</v>
      </c>
      <c r="H668" t="s">
        <v>23</v>
      </c>
      <c r="I668" t="s">
        <v>49</v>
      </c>
      <c r="J668" t="s">
        <v>25</v>
      </c>
      <c r="K668" s="2">
        <v>3.1</v>
      </c>
      <c r="L668" t="s">
        <v>26</v>
      </c>
      <c r="M668" t="s">
        <v>35</v>
      </c>
      <c r="N668" t="s">
        <v>40</v>
      </c>
      <c r="O668" t="s">
        <v>26</v>
      </c>
      <c r="P668" t="s">
        <v>26</v>
      </c>
      <c r="Q668" s="3">
        <v>30</v>
      </c>
      <c r="R668" t="s">
        <v>59</v>
      </c>
      <c r="S668" t="s">
        <v>60</v>
      </c>
    </row>
    <row r="669" spans="1:19" x14ac:dyDescent="0.25">
      <c r="A669">
        <v>668</v>
      </c>
      <c r="B669">
        <v>34</v>
      </c>
      <c r="C669" t="s">
        <v>19</v>
      </c>
      <c r="D669" t="s">
        <v>89</v>
      </c>
      <c r="E669" t="s">
        <v>69</v>
      </c>
      <c r="F669" s="1">
        <v>76</v>
      </c>
      <c r="G669" t="s">
        <v>117</v>
      </c>
      <c r="H669" t="s">
        <v>38</v>
      </c>
      <c r="I669" t="s">
        <v>144</v>
      </c>
      <c r="J669" t="s">
        <v>25</v>
      </c>
      <c r="K669" s="2">
        <v>2.6</v>
      </c>
      <c r="L669" t="s">
        <v>26</v>
      </c>
      <c r="M669" t="s">
        <v>59</v>
      </c>
      <c r="N669" t="s">
        <v>55</v>
      </c>
      <c r="O669" t="s">
        <v>26</v>
      </c>
      <c r="P669" t="s">
        <v>26</v>
      </c>
      <c r="Q669" s="3">
        <v>32</v>
      </c>
      <c r="R669" t="s">
        <v>34</v>
      </c>
      <c r="S669" t="s">
        <v>60</v>
      </c>
    </row>
    <row r="670" spans="1:19" x14ac:dyDescent="0.25">
      <c r="A670">
        <v>669</v>
      </c>
      <c r="B670">
        <v>49</v>
      </c>
      <c r="C670" t="s">
        <v>19</v>
      </c>
      <c r="D670" t="s">
        <v>113</v>
      </c>
      <c r="E670" t="s">
        <v>21</v>
      </c>
      <c r="F670" s="1">
        <v>85</v>
      </c>
      <c r="G670" t="s">
        <v>78</v>
      </c>
      <c r="H670" t="s">
        <v>38</v>
      </c>
      <c r="I670" t="s">
        <v>49</v>
      </c>
      <c r="J670" t="s">
        <v>58</v>
      </c>
      <c r="K670" s="2">
        <v>2.9</v>
      </c>
      <c r="L670" t="s">
        <v>26</v>
      </c>
      <c r="M670" t="s">
        <v>27</v>
      </c>
      <c r="N670" t="s">
        <v>28</v>
      </c>
      <c r="O670" t="s">
        <v>26</v>
      </c>
      <c r="P670" t="s">
        <v>26</v>
      </c>
      <c r="Q670" s="3">
        <v>35</v>
      </c>
      <c r="R670" t="s">
        <v>34</v>
      </c>
      <c r="S670" t="s">
        <v>88</v>
      </c>
    </row>
    <row r="671" spans="1:19" x14ac:dyDescent="0.25">
      <c r="A671">
        <v>670</v>
      </c>
      <c r="B671">
        <v>43</v>
      </c>
      <c r="C671" t="s">
        <v>19</v>
      </c>
      <c r="D671" t="s">
        <v>102</v>
      </c>
      <c r="E671" t="s">
        <v>65</v>
      </c>
      <c r="F671" s="1">
        <v>89</v>
      </c>
      <c r="G671" t="s">
        <v>115</v>
      </c>
      <c r="H671" t="s">
        <v>45</v>
      </c>
      <c r="I671" t="s">
        <v>24</v>
      </c>
      <c r="J671" t="s">
        <v>39</v>
      </c>
      <c r="K671" s="2">
        <v>3.3</v>
      </c>
      <c r="L671" t="s">
        <v>26</v>
      </c>
      <c r="M671" t="s">
        <v>46</v>
      </c>
      <c r="N671" t="s">
        <v>40</v>
      </c>
      <c r="O671" t="s">
        <v>26</v>
      </c>
      <c r="P671" t="s">
        <v>26</v>
      </c>
      <c r="Q671" s="3">
        <v>45</v>
      </c>
      <c r="R671" t="s">
        <v>29</v>
      </c>
      <c r="S671" t="s">
        <v>77</v>
      </c>
    </row>
    <row r="672" spans="1:19" x14ac:dyDescent="0.25">
      <c r="A672">
        <v>671</v>
      </c>
      <c r="B672">
        <v>63</v>
      </c>
      <c r="C672" t="s">
        <v>19</v>
      </c>
      <c r="D672" t="s">
        <v>31</v>
      </c>
      <c r="E672" t="s">
        <v>21</v>
      </c>
      <c r="F672" s="1">
        <v>41</v>
      </c>
      <c r="G672" t="s">
        <v>62</v>
      </c>
      <c r="H672" t="s">
        <v>92</v>
      </c>
      <c r="I672" t="s">
        <v>75</v>
      </c>
      <c r="J672" t="s">
        <v>39</v>
      </c>
      <c r="K672" s="2">
        <v>4.8</v>
      </c>
      <c r="L672" t="s">
        <v>26</v>
      </c>
      <c r="M672" t="s">
        <v>27</v>
      </c>
      <c r="N672" t="s">
        <v>47</v>
      </c>
      <c r="O672" t="s">
        <v>26</v>
      </c>
      <c r="P672" t="s">
        <v>26</v>
      </c>
      <c r="Q672" s="3">
        <v>37</v>
      </c>
      <c r="R672" t="s">
        <v>35</v>
      </c>
      <c r="S672" t="s">
        <v>77</v>
      </c>
    </row>
    <row r="673" spans="1:19" x14ac:dyDescent="0.25">
      <c r="A673">
        <v>672</v>
      </c>
      <c r="B673">
        <v>38</v>
      </c>
      <c r="C673" t="s">
        <v>19</v>
      </c>
      <c r="D673" t="s">
        <v>102</v>
      </c>
      <c r="E673" t="s">
        <v>65</v>
      </c>
      <c r="F673" s="1">
        <v>30</v>
      </c>
      <c r="G673" t="s">
        <v>146</v>
      </c>
      <c r="H673" t="s">
        <v>23</v>
      </c>
      <c r="I673" t="s">
        <v>94</v>
      </c>
      <c r="J673" t="s">
        <v>25</v>
      </c>
      <c r="K673" s="2">
        <v>4.7</v>
      </c>
      <c r="L673" t="s">
        <v>26</v>
      </c>
      <c r="M673" t="s">
        <v>46</v>
      </c>
      <c r="N673" t="s">
        <v>28</v>
      </c>
      <c r="O673" t="s">
        <v>26</v>
      </c>
      <c r="P673" t="s">
        <v>26</v>
      </c>
      <c r="Q673" s="3">
        <v>45</v>
      </c>
      <c r="R673" t="s">
        <v>35</v>
      </c>
      <c r="S673" t="s">
        <v>41</v>
      </c>
    </row>
    <row r="674" spans="1:19" x14ac:dyDescent="0.25">
      <c r="A674">
        <v>673</v>
      </c>
      <c r="B674">
        <v>59</v>
      </c>
      <c r="C674" t="s">
        <v>19</v>
      </c>
      <c r="D674" t="s">
        <v>125</v>
      </c>
      <c r="E674" t="s">
        <v>21</v>
      </c>
      <c r="F674" s="1">
        <v>53</v>
      </c>
      <c r="G674" t="s">
        <v>149</v>
      </c>
      <c r="H674" t="s">
        <v>45</v>
      </c>
      <c r="I674" t="s">
        <v>100</v>
      </c>
      <c r="J674" t="s">
        <v>25</v>
      </c>
      <c r="K674" s="2">
        <v>3.3</v>
      </c>
      <c r="L674" t="s">
        <v>26</v>
      </c>
      <c r="M674" t="s">
        <v>35</v>
      </c>
      <c r="N674" t="s">
        <v>72</v>
      </c>
      <c r="O674" t="s">
        <v>26</v>
      </c>
      <c r="P674" t="s">
        <v>26</v>
      </c>
      <c r="Q674" s="3">
        <v>29</v>
      </c>
      <c r="R674" t="s">
        <v>35</v>
      </c>
      <c r="S674" t="s">
        <v>60</v>
      </c>
    </row>
    <row r="675" spans="1:19" x14ac:dyDescent="0.25">
      <c r="A675">
        <v>674</v>
      </c>
      <c r="B675">
        <v>35</v>
      </c>
      <c r="C675" t="s">
        <v>19</v>
      </c>
      <c r="D675" t="s">
        <v>56</v>
      </c>
      <c r="E675" t="s">
        <v>21</v>
      </c>
      <c r="F675" s="1">
        <v>66</v>
      </c>
      <c r="G675" t="s">
        <v>101</v>
      </c>
      <c r="H675" t="s">
        <v>45</v>
      </c>
      <c r="I675" t="s">
        <v>126</v>
      </c>
      <c r="J675" t="s">
        <v>39</v>
      </c>
      <c r="K675" s="2">
        <v>4.2</v>
      </c>
      <c r="L675" t="s">
        <v>26</v>
      </c>
      <c r="M675" t="s">
        <v>35</v>
      </c>
      <c r="N675" t="s">
        <v>40</v>
      </c>
      <c r="O675" t="s">
        <v>26</v>
      </c>
      <c r="P675" t="s">
        <v>26</v>
      </c>
      <c r="Q675" s="3">
        <v>27</v>
      </c>
      <c r="R675" t="s">
        <v>29</v>
      </c>
      <c r="S675" t="s">
        <v>77</v>
      </c>
    </row>
    <row r="676" spans="1:19" x14ac:dyDescent="0.25">
      <c r="A676">
        <v>675</v>
      </c>
      <c r="B676">
        <v>48</v>
      </c>
      <c r="C676" t="s">
        <v>19</v>
      </c>
      <c r="D676" t="s">
        <v>106</v>
      </c>
      <c r="E676" t="s">
        <v>69</v>
      </c>
      <c r="F676" s="1">
        <v>33</v>
      </c>
      <c r="G676" t="s">
        <v>149</v>
      </c>
      <c r="H676" t="s">
        <v>92</v>
      </c>
      <c r="I676" t="s">
        <v>118</v>
      </c>
      <c r="J676" t="s">
        <v>25</v>
      </c>
      <c r="K676" s="2">
        <v>4.7</v>
      </c>
      <c r="L676" t="s">
        <v>26</v>
      </c>
      <c r="M676" t="s">
        <v>29</v>
      </c>
      <c r="N676" t="s">
        <v>76</v>
      </c>
      <c r="O676" t="s">
        <v>26</v>
      </c>
      <c r="P676" t="s">
        <v>26</v>
      </c>
      <c r="Q676" s="3">
        <v>36</v>
      </c>
      <c r="R676" t="s">
        <v>34</v>
      </c>
      <c r="S676" t="s">
        <v>50</v>
      </c>
    </row>
    <row r="677" spans="1:19" x14ac:dyDescent="0.25">
      <c r="A677">
        <v>676</v>
      </c>
      <c r="B677">
        <v>64</v>
      </c>
      <c r="C677" t="s">
        <v>19</v>
      </c>
      <c r="D677" t="s">
        <v>89</v>
      </c>
      <c r="E677" t="s">
        <v>69</v>
      </c>
      <c r="F677" s="1">
        <v>86</v>
      </c>
      <c r="G677" t="s">
        <v>74</v>
      </c>
      <c r="H677" t="s">
        <v>45</v>
      </c>
      <c r="I677" t="s">
        <v>134</v>
      </c>
      <c r="J677" t="s">
        <v>39</v>
      </c>
      <c r="K677" s="2">
        <v>2.6</v>
      </c>
      <c r="L677" t="s">
        <v>26</v>
      </c>
      <c r="M677" t="s">
        <v>27</v>
      </c>
      <c r="N677" t="s">
        <v>72</v>
      </c>
      <c r="O677" t="s">
        <v>26</v>
      </c>
      <c r="P677" t="s">
        <v>26</v>
      </c>
      <c r="Q677" s="3">
        <v>9</v>
      </c>
      <c r="R677" t="s">
        <v>35</v>
      </c>
      <c r="S677" t="s">
        <v>50</v>
      </c>
    </row>
    <row r="678" spans="1:19" x14ac:dyDescent="0.25">
      <c r="A678">
        <v>677</v>
      </c>
      <c r="B678">
        <v>28</v>
      </c>
      <c r="C678" t="s">
        <v>19</v>
      </c>
      <c r="D678" t="s">
        <v>95</v>
      </c>
      <c r="E678" t="s">
        <v>21</v>
      </c>
      <c r="F678" s="1">
        <v>60</v>
      </c>
      <c r="G678" t="s">
        <v>139</v>
      </c>
      <c r="H678" t="s">
        <v>45</v>
      </c>
      <c r="I678" t="s">
        <v>100</v>
      </c>
      <c r="J678" t="s">
        <v>25</v>
      </c>
      <c r="K678" s="2">
        <v>2.9</v>
      </c>
      <c r="L678" t="s">
        <v>26</v>
      </c>
      <c r="M678" t="s">
        <v>59</v>
      </c>
      <c r="N678" t="s">
        <v>72</v>
      </c>
      <c r="O678" t="s">
        <v>26</v>
      </c>
      <c r="P678" t="s">
        <v>26</v>
      </c>
      <c r="Q678" s="3">
        <v>38</v>
      </c>
      <c r="R678" t="s">
        <v>29</v>
      </c>
      <c r="S678" t="s">
        <v>77</v>
      </c>
    </row>
    <row r="679" spans="1:19" x14ac:dyDescent="0.25">
      <c r="A679">
        <v>678</v>
      </c>
      <c r="B679">
        <v>60</v>
      </c>
      <c r="C679" t="s">
        <v>19</v>
      </c>
      <c r="D679" t="s">
        <v>125</v>
      </c>
      <c r="E679" t="s">
        <v>21</v>
      </c>
      <c r="F679" s="1">
        <v>62</v>
      </c>
      <c r="G679" t="s">
        <v>149</v>
      </c>
      <c r="H679" t="s">
        <v>38</v>
      </c>
      <c r="I679" t="s">
        <v>49</v>
      </c>
      <c r="J679" t="s">
        <v>54</v>
      </c>
      <c r="K679" s="2">
        <v>2.7</v>
      </c>
      <c r="L679" t="s">
        <v>26</v>
      </c>
      <c r="M679" t="s">
        <v>46</v>
      </c>
      <c r="N679" t="s">
        <v>28</v>
      </c>
      <c r="O679" t="s">
        <v>26</v>
      </c>
      <c r="P679" t="s">
        <v>26</v>
      </c>
      <c r="Q679" s="3">
        <v>41</v>
      </c>
      <c r="R679" t="s">
        <v>46</v>
      </c>
      <c r="S679" t="s">
        <v>50</v>
      </c>
    </row>
    <row r="680" spans="1:19" x14ac:dyDescent="0.25">
      <c r="A680">
        <v>679</v>
      </c>
      <c r="B680">
        <v>27</v>
      </c>
      <c r="C680" t="s">
        <v>19</v>
      </c>
      <c r="D680" t="s">
        <v>20</v>
      </c>
      <c r="E680" t="s">
        <v>21</v>
      </c>
      <c r="F680" s="1">
        <v>74</v>
      </c>
      <c r="G680" t="s">
        <v>32</v>
      </c>
      <c r="H680" t="s">
        <v>45</v>
      </c>
      <c r="I680" t="s">
        <v>86</v>
      </c>
      <c r="J680" t="s">
        <v>58</v>
      </c>
      <c r="K680" s="2">
        <v>3.3</v>
      </c>
      <c r="L680" t="s">
        <v>26</v>
      </c>
      <c r="M680" t="s">
        <v>27</v>
      </c>
      <c r="N680" t="s">
        <v>76</v>
      </c>
      <c r="O680" t="s">
        <v>26</v>
      </c>
      <c r="P680" t="s">
        <v>26</v>
      </c>
      <c r="Q680" s="3">
        <v>25</v>
      </c>
      <c r="R680" t="s">
        <v>59</v>
      </c>
      <c r="S680" t="s">
        <v>97</v>
      </c>
    </row>
    <row r="681" spans="1:19" x14ac:dyDescent="0.25">
      <c r="A681">
        <v>680</v>
      </c>
      <c r="B681">
        <v>56</v>
      </c>
      <c r="C681" t="s">
        <v>19</v>
      </c>
      <c r="D681" t="s">
        <v>42</v>
      </c>
      <c r="E681" t="s">
        <v>43</v>
      </c>
      <c r="F681" s="1">
        <v>95</v>
      </c>
      <c r="G681" t="s">
        <v>151</v>
      </c>
      <c r="H681" t="s">
        <v>45</v>
      </c>
      <c r="I681" t="s">
        <v>49</v>
      </c>
      <c r="J681" t="s">
        <v>58</v>
      </c>
      <c r="K681" s="2">
        <v>3.4</v>
      </c>
      <c r="L681" t="s">
        <v>26</v>
      </c>
      <c r="M681" t="s">
        <v>46</v>
      </c>
      <c r="N681" t="s">
        <v>28</v>
      </c>
      <c r="O681" t="s">
        <v>26</v>
      </c>
      <c r="P681" t="s">
        <v>26</v>
      </c>
      <c r="Q681" s="3">
        <v>37</v>
      </c>
      <c r="R681" t="s">
        <v>29</v>
      </c>
      <c r="S681" t="s">
        <v>30</v>
      </c>
    </row>
    <row r="682" spans="1:19" x14ac:dyDescent="0.25">
      <c r="A682">
        <v>681</v>
      </c>
      <c r="B682">
        <v>58</v>
      </c>
      <c r="C682" t="s">
        <v>19</v>
      </c>
      <c r="D682" t="s">
        <v>51</v>
      </c>
      <c r="E682" t="s">
        <v>43</v>
      </c>
      <c r="F682" s="1">
        <v>25</v>
      </c>
      <c r="G682" t="s">
        <v>122</v>
      </c>
      <c r="H682" t="s">
        <v>45</v>
      </c>
      <c r="I682" t="s">
        <v>136</v>
      </c>
      <c r="J682" t="s">
        <v>39</v>
      </c>
      <c r="K682" s="2">
        <v>4.2</v>
      </c>
      <c r="L682" t="s">
        <v>26</v>
      </c>
      <c r="M682" t="s">
        <v>29</v>
      </c>
      <c r="N682" t="s">
        <v>28</v>
      </c>
      <c r="O682" t="s">
        <v>26</v>
      </c>
      <c r="P682" t="s">
        <v>26</v>
      </c>
      <c r="Q682" s="3">
        <v>3</v>
      </c>
      <c r="R682" t="s">
        <v>46</v>
      </c>
      <c r="S682" t="s">
        <v>50</v>
      </c>
    </row>
    <row r="683" spans="1:19" x14ac:dyDescent="0.25">
      <c r="A683">
        <v>682</v>
      </c>
      <c r="B683">
        <v>30</v>
      </c>
      <c r="C683" t="s">
        <v>19</v>
      </c>
      <c r="D683" t="s">
        <v>56</v>
      </c>
      <c r="E683" t="s">
        <v>21</v>
      </c>
      <c r="F683" s="1">
        <v>59</v>
      </c>
      <c r="G683" t="s">
        <v>62</v>
      </c>
      <c r="H683" t="s">
        <v>92</v>
      </c>
      <c r="I683" t="s">
        <v>75</v>
      </c>
      <c r="J683" t="s">
        <v>25</v>
      </c>
      <c r="K683" s="2">
        <v>3.8</v>
      </c>
      <c r="L683" t="s">
        <v>26</v>
      </c>
      <c r="M683" t="s">
        <v>46</v>
      </c>
      <c r="N683" t="s">
        <v>72</v>
      </c>
      <c r="O683" t="s">
        <v>26</v>
      </c>
      <c r="P683" t="s">
        <v>26</v>
      </c>
      <c r="Q683" s="3">
        <v>24</v>
      </c>
      <c r="R683" t="s">
        <v>27</v>
      </c>
      <c r="S683" t="s">
        <v>97</v>
      </c>
    </row>
    <row r="684" spans="1:19" x14ac:dyDescent="0.25">
      <c r="A684">
        <v>683</v>
      </c>
      <c r="B684">
        <v>23</v>
      </c>
      <c r="C684" t="s">
        <v>19</v>
      </c>
      <c r="D684" t="s">
        <v>102</v>
      </c>
      <c r="E684" t="s">
        <v>65</v>
      </c>
      <c r="F684" s="1">
        <v>29</v>
      </c>
      <c r="G684" t="s">
        <v>70</v>
      </c>
      <c r="H684" t="s">
        <v>45</v>
      </c>
      <c r="I684" t="s">
        <v>110</v>
      </c>
      <c r="J684" t="s">
        <v>54</v>
      </c>
      <c r="K684" s="2">
        <v>4</v>
      </c>
      <c r="L684" t="s">
        <v>26</v>
      </c>
      <c r="M684" t="s">
        <v>59</v>
      </c>
      <c r="N684" t="s">
        <v>55</v>
      </c>
      <c r="O684" t="s">
        <v>26</v>
      </c>
      <c r="P684" t="s">
        <v>26</v>
      </c>
      <c r="Q684" s="3">
        <v>49</v>
      </c>
      <c r="R684" t="s">
        <v>27</v>
      </c>
      <c r="S684" t="s">
        <v>77</v>
      </c>
    </row>
    <row r="685" spans="1:19" x14ac:dyDescent="0.25">
      <c r="A685">
        <v>684</v>
      </c>
      <c r="B685">
        <v>33</v>
      </c>
      <c r="C685" t="s">
        <v>19</v>
      </c>
      <c r="D685" t="s">
        <v>42</v>
      </c>
      <c r="E685" t="s">
        <v>43</v>
      </c>
      <c r="F685" s="1">
        <v>36</v>
      </c>
      <c r="G685" t="s">
        <v>151</v>
      </c>
      <c r="H685" t="s">
        <v>38</v>
      </c>
      <c r="I685" t="s">
        <v>84</v>
      </c>
      <c r="J685" t="s">
        <v>25</v>
      </c>
      <c r="K685" s="2">
        <v>2.7</v>
      </c>
      <c r="L685" t="s">
        <v>26</v>
      </c>
      <c r="M685" t="s">
        <v>29</v>
      </c>
      <c r="N685" t="s">
        <v>40</v>
      </c>
      <c r="O685" t="s">
        <v>26</v>
      </c>
      <c r="P685" t="s">
        <v>26</v>
      </c>
      <c r="Q685" s="3">
        <v>3</v>
      </c>
      <c r="R685" t="s">
        <v>34</v>
      </c>
      <c r="S685" t="s">
        <v>88</v>
      </c>
    </row>
    <row r="686" spans="1:19" x14ac:dyDescent="0.25">
      <c r="A686">
        <v>685</v>
      </c>
      <c r="B686">
        <v>63</v>
      </c>
      <c r="C686" t="s">
        <v>19</v>
      </c>
      <c r="D686" t="s">
        <v>124</v>
      </c>
      <c r="E686" t="s">
        <v>69</v>
      </c>
      <c r="F686" s="1">
        <v>82</v>
      </c>
      <c r="G686" t="s">
        <v>90</v>
      </c>
      <c r="H686" t="s">
        <v>45</v>
      </c>
      <c r="I686" t="s">
        <v>134</v>
      </c>
      <c r="J686" t="s">
        <v>54</v>
      </c>
      <c r="K686" s="2">
        <v>4.7</v>
      </c>
      <c r="L686" t="s">
        <v>26</v>
      </c>
      <c r="M686" t="s">
        <v>34</v>
      </c>
      <c r="N686" t="s">
        <v>28</v>
      </c>
      <c r="O686" t="s">
        <v>26</v>
      </c>
      <c r="P686" t="s">
        <v>26</v>
      </c>
      <c r="Q686" s="3">
        <v>42</v>
      </c>
      <c r="R686" t="s">
        <v>59</v>
      </c>
      <c r="S686" t="s">
        <v>88</v>
      </c>
    </row>
    <row r="687" spans="1:19" x14ac:dyDescent="0.25">
      <c r="A687">
        <v>686</v>
      </c>
      <c r="B687">
        <v>70</v>
      </c>
      <c r="C687" t="s">
        <v>19</v>
      </c>
      <c r="D687" t="s">
        <v>20</v>
      </c>
      <c r="E687" t="s">
        <v>21</v>
      </c>
      <c r="F687" s="1">
        <v>71</v>
      </c>
      <c r="G687" t="s">
        <v>37</v>
      </c>
      <c r="H687" t="s">
        <v>92</v>
      </c>
      <c r="I687" t="s">
        <v>136</v>
      </c>
      <c r="J687" t="s">
        <v>25</v>
      </c>
      <c r="K687" s="2">
        <v>3.5</v>
      </c>
      <c r="L687" t="s">
        <v>26</v>
      </c>
      <c r="M687" t="s">
        <v>27</v>
      </c>
      <c r="N687" t="s">
        <v>55</v>
      </c>
      <c r="O687" t="s">
        <v>26</v>
      </c>
      <c r="P687" t="s">
        <v>26</v>
      </c>
      <c r="Q687" s="3">
        <v>32</v>
      </c>
      <c r="R687" t="s">
        <v>35</v>
      </c>
      <c r="S687" t="s">
        <v>30</v>
      </c>
    </row>
    <row r="688" spans="1:19" x14ac:dyDescent="0.25">
      <c r="A688">
        <v>687</v>
      </c>
      <c r="B688">
        <v>70</v>
      </c>
      <c r="C688" t="s">
        <v>19</v>
      </c>
      <c r="D688" t="s">
        <v>31</v>
      </c>
      <c r="E688" t="s">
        <v>21</v>
      </c>
      <c r="F688" s="1">
        <v>35</v>
      </c>
      <c r="G688" t="s">
        <v>116</v>
      </c>
      <c r="H688" t="s">
        <v>23</v>
      </c>
      <c r="I688" t="s">
        <v>118</v>
      </c>
      <c r="J688" t="s">
        <v>58</v>
      </c>
      <c r="K688" s="2">
        <v>3</v>
      </c>
      <c r="L688" t="s">
        <v>26</v>
      </c>
      <c r="M688" t="s">
        <v>46</v>
      </c>
      <c r="N688" t="s">
        <v>72</v>
      </c>
      <c r="O688" t="s">
        <v>26</v>
      </c>
      <c r="P688" t="s">
        <v>26</v>
      </c>
      <c r="Q688" s="3">
        <v>33</v>
      </c>
      <c r="R688" t="s">
        <v>29</v>
      </c>
      <c r="S688" t="s">
        <v>30</v>
      </c>
    </row>
    <row r="689" spans="1:19" x14ac:dyDescent="0.25">
      <c r="A689">
        <v>688</v>
      </c>
      <c r="B689">
        <v>19</v>
      </c>
      <c r="C689" t="s">
        <v>19</v>
      </c>
      <c r="D689" t="s">
        <v>143</v>
      </c>
      <c r="E689" t="s">
        <v>69</v>
      </c>
      <c r="F689" s="1">
        <v>38</v>
      </c>
      <c r="G689" t="s">
        <v>66</v>
      </c>
      <c r="H689" t="s">
        <v>92</v>
      </c>
      <c r="I689" t="s">
        <v>49</v>
      </c>
      <c r="J689" t="s">
        <v>25</v>
      </c>
      <c r="K689" s="2">
        <v>3.3</v>
      </c>
      <c r="L689" t="s">
        <v>26</v>
      </c>
      <c r="M689" t="s">
        <v>35</v>
      </c>
      <c r="N689" t="s">
        <v>40</v>
      </c>
      <c r="O689" t="s">
        <v>26</v>
      </c>
      <c r="P689" t="s">
        <v>26</v>
      </c>
      <c r="Q689" s="3">
        <v>46</v>
      </c>
      <c r="R689" t="s">
        <v>34</v>
      </c>
      <c r="S689" t="s">
        <v>60</v>
      </c>
    </row>
    <row r="690" spans="1:19" x14ac:dyDescent="0.25">
      <c r="A690">
        <v>689</v>
      </c>
      <c r="B690">
        <v>25</v>
      </c>
      <c r="C690" t="s">
        <v>19</v>
      </c>
      <c r="D690" t="s">
        <v>119</v>
      </c>
      <c r="E690" t="s">
        <v>69</v>
      </c>
      <c r="F690" s="1">
        <v>59</v>
      </c>
      <c r="G690" t="s">
        <v>151</v>
      </c>
      <c r="H690" t="s">
        <v>38</v>
      </c>
      <c r="I690" t="s">
        <v>100</v>
      </c>
      <c r="J690" t="s">
        <v>54</v>
      </c>
      <c r="K690" s="2">
        <v>4.7</v>
      </c>
      <c r="L690" t="s">
        <v>26</v>
      </c>
      <c r="M690" t="s">
        <v>35</v>
      </c>
      <c r="N690" t="s">
        <v>76</v>
      </c>
      <c r="O690" t="s">
        <v>26</v>
      </c>
      <c r="P690" t="s">
        <v>26</v>
      </c>
      <c r="Q690" s="3">
        <v>44</v>
      </c>
      <c r="R690" t="s">
        <v>29</v>
      </c>
      <c r="S690" t="s">
        <v>88</v>
      </c>
    </row>
    <row r="691" spans="1:19" x14ac:dyDescent="0.25">
      <c r="A691">
        <v>690</v>
      </c>
      <c r="B691">
        <v>19</v>
      </c>
      <c r="C691" t="s">
        <v>19</v>
      </c>
      <c r="D691" t="s">
        <v>104</v>
      </c>
      <c r="E691" t="s">
        <v>21</v>
      </c>
      <c r="F691" s="1">
        <v>91</v>
      </c>
      <c r="G691" t="s">
        <v>138</v>
      </c>
      <c r="H691" t="s">
        <v>45</v>
      </c>
      <c r="I691" t="s">
        <v>121</v>
      </c>
      <c r="J691" t="s">
        <v>54</v>
      </c>
      <c r="K691" s="2">
        <v>4.7</v>
      </c>
      <c r="L691" t="s">
        <v>26</v>
      </c>
      <c r="M691" t="s">
        <v>35</v>
      </c>
      <c r="N691" t="s">
        <v>28</v>
      </c>
      <c r="O691" t="s">
        <v>26</v>
      </c>
      <c r="P691" t="s">
        <v>26</v>
      </c>
      <c r="Q691" s="3">
        <v>35</v>
      </c>
      <c r="R691" t="s">
        <v>27</v>
      </c>
      <c r="S691" t="s">
        <v>97</v>
      </c>
    </row>
    <row r="692" spans="1:19" x14ac:dyDescent="0.25">
      <c r="A692">
        <v>691</v>
      </c>
      <c r="B692">
        <v>25</v>
      </c>
      <c r="C692" t="s">
        <v>19</v>
      </c>
      <c r="D692" t="s">
        <v>61</v>
      </c>
      <c r="E692" t="s">
        <v>21</v>
      </c>
      <c r="F692" s="1">
        <v>68</v>
      </c>
      <c r="G692" t="s">
        <v>120</v>
      </c>
      <c r="H692" t="s">
        <v>92</v>
      </c>
      <c r="I692" t="s">
        <v>108</v>
      </c>
      <c r="J692" t="s">
        <v>39</v>
      </c>
      <c r="K692" s="2">
        <v>4.8</v>
      </c>
      <c r="L692" t="s">
        <v>26</v>
      </c>
      <c r="M692" t="s">
        <v>34</v>
      </c>
      <c r="N692" t="s">
        <v>55</v>
      </c>
      <c r="O692" t="s">
        <v>26</v>
      </c>
      <c r="P692" t="s">
        <v>26</v>
      </c>
      <c r="Q692" s="3">
        <v>45</v>
      </c>
      <c r="R692" t="s">
        <v>34</v>
      </c>
      <c r="S692" t="s">
        <v>41</v>
      </c>
    </row>
    <row r="693" spans="1:19" x14ac:dyDescent="0.25">
      <c r="A693">
        <v>692</v>
      </c>
      <c r="B693">
        <v>60</v>
      </c>
      <c r="C693" t="s">
        <v>19</v>
      </c>
      <c r="D693" t="s">
        <v>132</v>
      </c>
      <c r="E693" t="s">
        <v>69</v>
      </c>
      <c r="F693" s="1">
        <v>21</v>
      </c>
      <c r="G693" t="s">
        <v>37</v>
      </c>
      <c r="H693" t="s">
        <v>23</v>
      </c>
      <c r="I693" t="s">
        <v>67</v>
      </c>
      <c r="J693" t="s">
        <v>54</v>
      </c>
      <c r="K693" s="2">
        <v>2.9</v>
      </c>
      <c r="L693" t="s">
        <v>26</v>
      </c>
      <c r="M693" t="s">
        <v>27</v>
      </c>
      <c r="N693" t="s">
        <v>55</v>
      </c>
      <c r="O693" t="s">
        <v>26</v>
      </c>
      <c r="P693" t="s">
        <v>26</v>
      </c>
      <c r="Q693" s="3">
        <v>37</v>
      </c>
      <c r="R693" t="s">
        <v>46</v>
      </c>
      <c r="S693" t="s">
        <v>77</v>
      </c>
    </row>
    <row r="694" spans="1:19" x14ac:dyDescent="0.25">
      <c r="A694">
        <v>693</v>
      </c>
      <c r="B694">
        <v>35</v>
      </c>
      <c r="C694" t="s">
        <v>19</v>
      </c>
      <c r="D694" t="s">
        <v>89</v>
      </c>
      <c r="E694" t="s">
        <v>69</v>
      </c>
      <c r="F694" s="1">
        <v>95</v>
      </c>
      <c r="G694" t="s">
        <v>114</v>
      </c>
      <c r="H694" t="s">
        <v>45</v>
      </c>
      <c r="I694" t="s">
        <v>109</v>
      </c>
      <c r="J694" t="s">
        <v>39</v>
      </c>
      <c r="K694" s="2">
        <v>4</v>
      </c>
      <c r="L694" t="s">
        <v>26</v>
      </c>
      <c r="M694" t="s">
        <v>29</v>
      </c>
      <c r="N694" t="s">
        <v>72</v>
      </c>
      <c r="O694" t="s">
        <v>26</v>
      </c>
      <c r="P694" t="s">
        <v>26</v>
      </c>
      <c r="Q694" s="3">
        <v>40</v>
      </c>
      <c r="R694" t="s">
        <v>59</v>
      </c>
      <c r="S694" t="s">
        <v>97</v>
      </c>
    </row>
    <row r="695" spans="1:19" x14ac:dyDescent="0.25">
      <c r="A695">
        <v>694</v>
      </c>
      <c r="B695">
        <v>46</v>
      </c>
      <c r="C695" t="s">
        <v>19</v>
      </c>
      <c r="D695" t="s">
        <v>61</v>
      </c>
      <c r="E695" t="s">
        <v>21</v>
      </c>
      <c r="F695" s="1">
        <v>52</v>
      </c>
      <c r="G695" t="s">
        <v>129</v>
      </c>
      <c r="H695" t="s">
        <v>23</v>
      </c>
      <c r="I695" t="s">
        <v>49</v>
      </c>
      <c r="J695" t="s">
        <v>39</v>
      </c>
      <c r="K695" s="2">
        <v>3.1</v>
      </c>
      <c r="L695" t="s">
        <v>26</v>
      </c>
      <c r="M695" t="s">
        <v>27</v>
      </c>
      <c r="N695" t="s">
        <v>40</v>
      </c>
      <c r="O695" t="s">
        <v>26</v>
      </c>
      <c r="P695" t="s">
        <v>26</v>
      </c>
      <c r="Q695" s="3">
        <v>30</v>
      </c>
      <c r="R695" t="s">
        <v>35</v>
      </c>
      <c r="S695" t="s">
        <v>97</v>
      </c>
    </row>
    <row r="696" spans="1:19" x14ac:dyDescent="0.25">
      <c r="A696">
        <v>695</v>
      </c>
      <c r="B696">
        <v>41</v>
      </c>
      <c r="C696" t="s">
        <v>19</v>
      </c>
      <c r="D696" t="s">
        <v>82</v>
      </c>
      <c r="E696" t="s">
        <v>21</v>
      </c>
      <c r="F696" s="1">
        <v>21</v>
      </c>
      <c r="G696" t="s">
        <v>22</v>
      </c>
      <c r="H696" t="s">
        <v>38</v>
      </c>
      <c r="I696" t="s">
        <v>63</v>
      </c>
      <c r="J696" t="s">
        <v>58</v>
      </c>
      <c r="K696" s="2">
        <v>3.5</v>
      </c>
      <c r="L696" t="s">
        <v>26</v>
      </c>
      <c r="M696" t="s">
        <v>29</v>
      </c>
      <c r="N696" t="s">
        <v>72</v>
      </c>
      <c r="O696" t="s">
        <v>26</v>
      </c>
      <c r="P696" t="s">
        <v>26</v>
      </c>
      <c r="Q696" s="3">
        <v>38</v>
      </c>
      <c r="R696" t="s">
        <v>29</v>
      </c>
      <c r="S696" t="s">
        <v>97</v>
      </c>
    </row>
    <row r="697" spans="1:19" x14ac:dyDescent="0.25">
      <c r="A697">
        <v>696</v>
      </c>
      <c r="B697">
        <v>30</v>
      </c>
      <c r="C697" t="s">
        <v>19</v>
      </c>
      <c r="D697" t="s">
        <v>61</v>
      </c>
      <c r="E697" t="s">
        <v>21</v>
      </c>
      <c r="F697" s="1">
        <v>67</v>
      </c>
      <c r="G697" t="s">
        <v>107</v>
      </c>
      <c r="H697" t="s">
        <v>92</v>
      </c>
      <c r="I697" t="s">
        <v>100</v>
      </c>
      <c r="J697" t="s">
        <v>54</v>
      </c>
      <c r="K697" s="2">
        <v>3.7</v>
      </c>
      <c r="L697" t="s">
        <v>26</v>
      </c>
      <c r="M697" t="s">
        <v>34</v>
      </c>
      <c r="N697" t="s">
        <v>47</v>
      </c>
      <c r="O697" t="s">
        <v>26</v>
      </c>
      <c r="P697" t="s">
        <v>26</v>
      </c>
      <c r="Q697" s="3">
        <v>15</v>
      </c>
      <c r="R697" t="s">
        <v>59</v>
      </c>
      <c r="S697" t="s">
        <v>97</v>
      </c>
    </row>
    <row r="698" spans="1:19" x14ac:dyDescent="0.25">
      <c r="A698">
        <v>697</v>
      </c>
      <c r="B698">
        <v>44</v>
      </c>
      <c r="C698" t="s">
        <v>19</v>
      </c>
      <c r="D698" t="s">
        <v>133</v>
      </c>
      <c r="E698" t="s">
        <v>69</v>
      </c>
      <c r="F698" s="1">
        <v>42</v>
      </c>
      <c r="G698" t="s">
        <v>140</v>
      </c>
      <c r="H698" t="s">
        <v>23</v>
      </c>
      <c r="I698" t="s">
        <v>96</v>
      </c>
      <c r="J698" t="s">
        <v>58</v>
      </c>
      <c r="K698" s="2">
        <v>2.8</v>
      </c>
      <c r="L698" t="s">
        <v>26</v>
      </c>
      <c r="M698" t="s">
        <v>34</v>
      </c>
      <c r="N698" t="s">
        <v>55</v>
      </c>
      <c r="O698" t="s">
        <v>26</v>
      </c>
      <c r="P698" t="s">
        <v>26</v>
      </c>
      <c r="Q698" s="3">
        <v>49</v>
      </c>
      <c r="R698" t="s">
        <v>35</v>
      </c>
      <c r="S698" t="s">
        <v>88</v>
      </c>
    </row>
    <row r="699" spans="1:19" x14ac:dyDescent="0.25">
      <c r="A699">
        <v>698</v>
      </c>
      <c r="B699">
        <v>61</v>
      </c>
      <c r="C699" t="s">
        <v>19</v>
      </c>
      <c r="D699" t="s">
        <v>119</v>
      </c>
      <c r="E699" t="s">
        <v>69</v>
      </c>
      <c r="F699" s="1">
        <v>63</v>
      </c>
      <c r="G699" t="s">
        <v>114</v>
      </c>
      <c r="H699" t="s">
        <v>92</v>
      </c>
      <c r="I699" t="s">
        <v>110</v>
      </c>
      <c r="J699" t="s">
        <v>54</v>
      </c>
      <c r="K699" s="2">
        <v>4.5999999999999996</v>
      </c>
      <c r="L699" t="s">
        <v>26</v>
      </c>
      <c r="M699" t="s">
        <v>34</v>
      </c>
      <c r="N699" t="s">
        <v>40</v>
      </c>
      <c r="O699" t="s">
        <v>26</v>
      </c>
      <c r="P699" t="s">
        <v>26</v>
      </c>
      <c r="Q699" s="3">
        <v>40</v>
      </c>
      <c r="R699" t="s">
        <v>59</v>
      </c>
      <c r="S699" t="s">
        <v>60</v>
      </c>
    </row>
    <row r="700" spans="1:19" x14ac:dyDescent="0.25">
      <c r="A700">
        <v>699</v>
      </c>
      <c r="B700">
        <v>55</v>
      </c>
      <c r="C700" t="s">
        <v>19</v>
      </c>
      <c r="D700" t="s">
        <v>137</v>
      </c>
      <c r="E700" t="s">
        <v>43</v>
      </c>
      <c r="F700" s="1">
        <v>41</v>
      </c>
      <c r="G700" t="s">
        <v>146</v>
      </c>
      <c r="H700" t="s">
        <v>45</v>
      </c>
      <c r="I700" t="s">
        <v>134</v>
      </c>
      <c r="J700" t="s">
        <v>25</v>
      </c>
      <c r="K700" s="2">
        <v>3.8</v>
      </c>
      <c r="L700" t="s">
        <v>26</v>
      </c>
      <c r="M700" t="s">
        <v>46</v>
      </c>
      <c r="N700" t="s">
        <v>55</v>
      </c>
      <c r="O700" t="s">
        <v>26</v>
      </c>
      <c r="P700" t="s">
        <v>26</v>
      </c>
      <c r="Q700" s="3">
        <v>40</v>
      </c>
      <c r="R700" t="s">
        <v>59</v>
      </c>
      <c r="S700" t="s">
        <v>41</v>
      </c>
    </row>
    <row r="701" spans="1:19" x14ac:dyDescent="0.25">
      <c r="A701">
        <v>700</v>
      </c>
      <c r="B701">
        <v>50</v>
      </c>
      <c r="C701" t="s">
        <v>19</v>
      </c>
      <c r="D701" t="s">
        <v>68</v>
      </c>
      <c r="E701" t="s">
        <v>69</v>
      </c>
      <c r="F701" s="1">
        <v>46</v>
      </c>
      <c r="G701" t="s">
        <v>139</v>
      </c>
      <c r="H701" t="s">
        <v>45</v>
      </c>
      <c r="I701" t="s">
        <v>63</v>
      </c>
      <c r="J701" t="s">
        <v>58</v>
      </c>
      <c r="K701" s="2">
        <v>2.6</v>
      </c>
      <c r="L701" t="s">
        <v>26</v>
      </c>
      <c r="M701" t="s">
        <v>34</v>
      </c>
      <c r="N701" t="s">
        <v>72</v>
      </c>
      <c r="O701" t="s">
        <v>26</v>
      </c>
      <c r="P701" t="s">
        <v>26</v>
      </c>
      <c r="Q701" s="3">
        <v>5</v>
      </c>
      <c r="R701" t="s">
        <v>46</v>
      </c>
      <c r="S701" t="s">
        <v>41</v>
      </c>
    </row>
    <row r="702" spans="1:19" x14ac:dyDescent="0.25">
      <c r="A702">
        <v>701</v>
      </c>
      <c r="B702">
        <v>57</v>
      </c>
      <c r="C702" t="s">
        <v>19</v>
      </c>
      <c r="D702" t="s">
        <v>95</v>
      </c>
      <c r="E702" t="s">
        <v>21</v>
      </c>
      <c r="F702" s="1">
        <v>79</v>
      </c>
      <c r="G702" t="s">
        <v>150</v>
      </c>
      <c r="H702" t="s">
        <v>23</v>
      </c>
      <c r="I702" t="s">
        <v>79</v>
      </c>
      <c r="J702" t="s">
        <v>25</v>
      </c>
      <c r="K702" s="2">
        <v>4.0999999999999996</v>
      </c>
      <c r="L702" t="s">
        <v>26</v>
      </c>
      <c r="M702" t="s">
        <v>29</v>
      </c>
      <c r="N702" t="s">
        <v>55</v>
      </c>
      <c r="O702" t="s">
        <v>26</v>
      </c>
      <c r="P702" t="s">
        <v>26</v>
      </c>
      <c r="Q702" s="3">
        <v>5</v>
      </c>
      <c r="R702" t="s">
        <v>46</v>
      </c>
      <c r="S702" t="s">
        <v>88</v>
      </c>
    </row>
    <row r="703" spans="1:19" x14ac:dyDescent="0.25">
      <c r="A703">
        <v>702</v>
      </c>
      <c r="B703">
        <v>51</v>
      </c>
      <c r="C703" t="s">
        <v>19</v>
      </c>
      <c r="D703" t="s">
        <v>137</v>
      </c>
      <c r="E703" t="s">
        <v>43</v>
      </c>
      <c r="F703" s="1">
        <v>90</v>
      </c>
      <c r="G703" t="s">
        <v>135</v>
      </c>
      <c r="H703" t="s">
        <v>23</v>
      </c>
      <c r="I703" t="s">
        <v>108</v>
      </c>
      <c r="J703" t="s">
        <v>58</v>
      </c>
      <c r="K703" s="2">
        <v>3.3</v>
      </c>
      <c r="L703" t="s">
        <v>26</v>
      </c>
      <c r="M703" t="s">
        <v>35</v>
      </c>
      <c r="N703" t="s">
        <v>47</v>
      </c>
      <c r="O703" t="s">
        <v>26</v>
      </c>
      <c r="P703" t="s">
        <v>26</v>
      </c>
      <c r="Q703" s="3">
        <v>5</v>
      </c>
      <c r="R703" t="s">
        <v>59</v>
      </c>
      <c r="S703" t="s">
        <v>97</v>
      </c>
    </row>
    <row r="704" spans="1:19" x14ac:dyDescent="0.25">
      <c r="A704">
        <v>703</v>
      </c>
      <c r="B704">
        <v>18</v>
      </c>
      <c r="C704" t="s">
        <v>19</v>
      </c>
      <c r="D704" t="s">
        <v>56</v>
      </c>
      <c r="E704" t="s">
        <v>21</v>
      </c>
      <c r="F704" s="1">
        <v>71</v>
      </c>
      <c r="G704" t="s">
        <v>57</v>
      </c>
      <c r="H704" t="s">
        <v>45</v>
      </c>
      <c r="I704" t="s">
        <v>53</v>
      </c>
      <c r="J704" t="s">
        <v>25</v>
      </c>
      <c r="K704" s="2">
        <v>3.4</v>
      </c>
      <c r="L704" t="s">
        <v>26</v>
      </c>
      <c r="M704" t="s">
        <v>34</v>
      </c>
      <c r="N704" t="s">
        <v>76</v>
      </c>
      <c r="O704" t="s">
        <v>26</v>
      </c>
      <c r="P704" t="s">
        <v>26</v>
      </c>
      <c r="Q704" s="3">
        <v>1</v>
      </c>
      <c r="R704" t="s">
        <v>35</v>
      </c>
      <c r="S704" t="s">
        <v>41</v>
      </c>
    </row>
    <row r="705" spans="1:19" x14ac:dyDescent="0.25">
      <c r="A705">
        <v>704</v>
      </c>
      <c r="B705">
        <v>63</v>
      </c>
      <c r="C705" t="s">
        <v>19</v>
      </c>
      <c r="D705" t="s">
        <v>82</v>
      </c>
      <c r="E705" t="s">
        <v>21</v>
      </c>
      <c r="F705" s="1">
        <v>87</v>
      </c>
      <c r="G705" t="s">
        <v>139</v>
      </c>
      <c r="H705" t="s">
        <v>23</v>
      </c>
      <c r="I705" t="s">
        <v>71</v>
      </c>
      <c r="J705" t="s">
        <v>54</v>
      </c>
      <c r="K705" s="2">
        <v>3</v>
      </c>
      <c r="L705" t="s">
        <v>26</v>
      </c>
      <c r="M705" t="s">
        <v>59</v>
      </c>
      <c r="N705" t="s">
        <v>55</v>
      </c>
      <c r="O705" t="s">
        <v>26</v>
      </c>
      <c r="P705" t="s">
        <v>26</v>
      </c>
      <c r="Q705" s="3">
        <v>21</v>
      </c>
      <c r="R705" t="s">
        <v>29</v>
      </c>
      <c r="S705" t="s">
        <v>41</v>
      </c>
    </row>
    <row r="706" spans="1:19" x14ac:dyDescent="0.25">
      <c r="A706">
        <v>705</v>
      </c>
      <c r="B706">
        <v>34</v>
      </c>
      <c r="C706" t="s">
        <v>19</v>
      </c>
      <c r="D706" t="s">
        <v>104</v>
      </c>
      <c r="E706" t="s">
        <v>21</v>
      </c>
      <c r="F706" s="1">
        <v>66</v>
      </c>
      <c r="G706" t="s">
        <v>135</v>
      </c>
      <c r="H706" t="s">
        <v>38</v>
      </c>
      <c r="I706" t="s">
        <v>94</v>
      </c>
      <c r="J706" t="s">
        <v>39</v>
      </c>
      <c r="K706" s="2">
        <v>3.2</v>
      </c>
      <c r="L706" t="s">
        <v>26</v>
      </c>
      <c r="M706" t="s">
        <v>29</v>
      </c>
      <c r="N706" t="s">
        <v>28</v>
      </c>
      <c r="O706" t="s">
        <v>26</v>
      </c>
      <c r="P706" t="s">
        <v>26</v>
      </c>
      <c r="Q706" s="3">
        <v>18</v>
      </c>
      <c r="R706" t="s">
        <v>46</v>
      </c>
      <c r="S706" t="s">
        <v>50</v>
      </c>
    </row>
    <row r="707" spans="1:19" x14ac:dyDescent="0.25">
      <c r="A707">
        <v>706</v>
      </c>
      <c r="B707">
        <v>25</v>
      </c>
      <c r="C707" t="s">
        <v>19</v>
      </c>
      <c r="D707" t="s">
        <v>95</v>
      </c>
      <c r="E707" t="s">
        <v>21</v>
      </c>
      <c r="F707" s="1">
        <v>90</v>
      </c>
      <c r="G707" t="s">
        <v>74</v>
      </c>
      <c r="H707" t="s">
        <v>92</v>
      </c>
      <c r="I707" t="s">
        <v>126</v>
      </c>
      <c r="J707" t="s">
        <v>54</v>
      </c>
      <c r="K707" s="2">
        <v>4.5</v>
      </c>
      <c r="L707" t="s">
        <v>26</v>
      </c>
      <c r="M707" t="s">
        <v>46</v>
      </c>
      <c r="N707" t="s">
        <v>40</v>
      </c>
      <c r="O707" t="s">
        <v>26</v>
      </c>
      <c r="P707" t="s">
        <v>26</v>
      </c>
      <c r="Q707" s="3">
        <v>49</v>
      </c>
      <c r="R707" t="s">
        <v>35</v>
      </c>
      <c r="S707" t="s">
        <v>60</v>
      </c>
    </row>
    <row r="708" spans="1:19" x14ac:dyDescent="0.25">
      <c r="A708">
        <v>707</v>
      </c>
      <c r="B708">
        <v>46</v>
      </c>
      <c r="C708" t="s">
        <v>19</v>
      </c>
      <c r="D708" t="s">
        <v>36</v>
      </c>
      <c r="E708" t="s">
        <v>21</v>
      </c>
      <c r="F708" s="1">
        <v>47</v>
      </c>
      <c r="G708" t="s">
        <v>146</v>
      </c>
      <c r="H708" t="s">
        <v>23</v>
      </c>
      <c r="I708" t="s">
        <v>49</v>
      </c>
      <c r="J708" t="s">
        <v>54</v>
      </c>
      <c r="K708" s="2">
        <v>4.8</v>
      </c>
      <c r="L708" t="s">
        <v>26</v>
      </c>
      <c r="M708" t="s">
        <v>29</v>
      </c>
      <c r="N708" t="s">
        <v>28</v>
      </c>
      <c r="O708" t="s">
        <v>26</v>
      </c>
      <c r="P708" t="s">
        <v>26</v>
      </c>
      <c r="Q708" s="3">
        <v>27</v>
      </c>
      <c r="R708" t="s">
        <v>59</v>
      </c>
      <c r="S708" t="s">
        <v>41</v>
      </c>
    </row>
    <row r="709" spans="1:19" x14ac:dyDescent="0.25">
      <c r="A709">
        <v>708</v>
      </c>
      <c r="B709">
        <v>59</v>
      </c>
      <c r="C709" t="s">
        <v>19</v>
      </c>
      <c r="D709" t="s">
        <v>56</v>
      </c>
      <c r="E709" t="s">
        <v>21</v>
      </c>
      <c r="F709" s="1">
        <v>38</v>
      </c>
      <c r="G709" t="s">
        <v>62</v>
      </c>
      <c r="H709" t="s">
        <v>23</v>
      </c>
      <c r="I709" t="s">
        <v>75</v>
      </c>
      <c r="J709" t="s">
        <v>39</v>
      </c>
      <c r="K709" s="2">
        <v>3.7</v>
      </c>
      <c r="L709" t="s">
        <v>26</v>
      </c>
      <c r="M709" t="s">
        <v>59</v>
      </c>
      <c r="N709" t="s">
        <v>47</v>
      </c>
      <c r="O709" t="s">
        <v>26</v>
      </c>
      <c r="P709" t="s">
        <v>26</v>
      </c>
      <c r="Q709" s="3">
        <v>21</v>
      </c>
      <c r="R709" t="s">
        <v>29</v>
      </c>
      <c r="S709" t="s">
        <v>50</v>
      </c>
    </row>
    <row r="710" spans="1:19" x14ac:dyDescent="0.25">
      <c r="A710">
        <v>709</v>
      </c>
      <c r="B710">
        <v>37</v>
      </c>
      <c r="C710" t="s">
        <v>19</v>
      </c>
      <c r="D710" t="s">
        <v>132</v>
      </c>
      <c r="E710" t="s">
        <v>69</v>
      </c>
      <c r="F710" s="1">
        <v>50</v>
      </c>
      <c r="G710" t="s">
        <v>22</v>
      </c>
      <c r="H710" t="s">
        <v>23</v>
      </c>
      <c r="I710" t="s">
        <v>118</v>
      </c>
      <c r="J710" t="s">
        <v>54</v>
      </c>
      <c r="K710" s="2">
        <v>3.4</v>
      </c>
      <c r="L710" t="s">
        <v>26</v>
      </c>
      <c r="M710" t="s">
        <v>35</v>
      </c>
      <c r="N710" t="s">
        <v>76</v>
      </c>
      <c r="O710" t="s">
        <v>26</v>
      </c>
      <c r="P710" t="s">
        <v>26</v>
      </c>
      <c r="Q710" s="3">
        <v>19</v>
      </c>
      <c r="R710" t="s">
        <v>35</v>
      </c>
      <c r="S710" t="s">
        <v>30</v>
      </c>
    </row>
    <row r="711" spans="1:19" x14ac:dyDescent="0.25">
      <c r="A711">
        <v>710</v>
      </c>
      <c r="B711">
        <v>49</v>
      </c>
      <c r="C711" t="s">
        <v>19</v>
      </c>
      <c r="D711" t="s">
        <v>102</v>
      </c>
      <c r="E711" t="s">
        <v>65</v>
      </c>
      <c r="F711" s="1">
        <v>79</v>
      </c>
      <c r="G711" t="s">
        <v>37</v>
      </c>
      <c r="H711" t="s">
        <v>23</v>
      </c>
      <c r="I711" t="s">
        <v>63</v>
      </c>
      <c r="J711" t="s">
        <v>54</v>
      </c>
      <c r="K711" s="2">
        <v>4.5999999999999996</v>
      </c>
      <c r="L711" t="s">
        <v>26</v>
      </c>
      <c r="M711" t="s">
        <v>59</v>
      </c>
      <c r="N711" t="s">
        <v>55</v>
      </c>
      <c r="O711" t="s">
        <v>26</v>
      </c>
      <c r="P711" t="s">
        <v>26</v>
      </c>
      <c r="Q711" s="3">
        <v>23</v>
      </c>
      <c r="R711" t="s">
        <v>59</v>
      </c>
      <c r="S711" t="s">
        <v>88</v>
      </c>
    </row>
    <row r="712" spans="1:19" x14ac:dyDescent="0.25">
      <c r="A712">
        <v>711</v>
      </c>
      <c r="B712">
        <v>22</v>
      </c>
      <c r="C712" t="s">
        <v>19</v>
      </c>
      <c r="D712" t="s">
        <v>119</v>
      </c>
      <c r="E712" t="s">
        <v>69</v>
      </c>
      <c r="F712" s="1">
        <v>91</v>
      </c>
      <c r="G712" t="s">
        <v>141</v>
      </c>
      <c r="H712" t="s">
        <v>23</v>
      </c>
      <c r="I712" t="s">
        <v>49</v>
      </c>
      <c r="J712" t="s">
        <v>39</v>
      </c>
      <c r="K712" s="2">
        <v>4.0999999999999996</v>
      </c>
      <c r="L712" t="s">
        <v>26</v>
      </c>
      <c r="M712" t="s">
        <v>34</v>
      </c>
      <c r="N712" t="s">
        <v>55</v>
      </c>
      <c r="O712" t="s">
        <v>26</v>
      </c>
      <c r="P712" t="s">
        <v>26</v>
      </c>
      <c r="Q712" s="3">
        <v>26</v>
      </c>
      <c r="R712" t="s">
        <v>46</v>
      </c>
      <c r="S712" t="s">
        <v>30</v>
      </c>
    </row>
    <row r="713" spans="1:19" x14ac:dyDescent="0.25">
      <c r="A713">
        <v>712</v>
      </c>
      <c r="B713">
        <v>64</v>
      </c>
      <c r="C713" t="s">
        <v>19</v>
      </c>
      <c r="D713" t="s">
        <v>137</v>
      </c>
      <c r="E713" t="s">
        <v>43</v>
      </c>
      <c r="F713" s="1">
        <v>60</v>
      </c>
      <c r="G713" t="s">
        <v>83</v>
      </c>
      <c r="H713" t="s">
        <v>45</v>
      </c>
      <c r="I713" t="s">
        <v>33</v>
      </c>
      <c r="J713" t="s">
        <v>39</v>
      </c>
      <c r="K713" s="2">
        <v>3.5</v>
      </c>
      <c r="L713" t="s">
        <v>26</v>
      </c>
      <c r="M713" t="s">
        <v>46</v>
      </c>
      <c r="N713" t="s">
        <v>72</v>
      </c>
      <c r="O713" t="s">
        <v>26</v>
      </c>
      <c r="P713" t="s">
        <v>26</v>
      </c>
      <c r="Q713" s="3">
        <v>13</v>
      </c>
      <c r="R713" t="s">
        <v>34</v>
      </c>
      <c r="S713" t="s">
        <v>77</v>
      </c>
    </row>
    <row r="714" spans="1:19" x14ac:dyDescent="0.25">
      <c r="A714">
        <v>713</v>
      </c>
      <c r="B714">
        <v>42</v>
      </c>
      <c r="C714" t="s">
        <v>19</v>
      </c>
      <c r="D714" t="s">
        <v>20</v>
      </c>
      <c r="E714" t="s">
        <v>21</v>
      </c>
      <c r="F714" s="1">
        <v>81</v>
      </c>
      <c r="G714" t="s">
        <v>83</v>
      </c>
      <c r="H714" t="s">
        <v>92</v>
      </c>
      <c r="I714" t="s">
        <v>94</v>
      </c>
      <c r="J714" t="s">
        <v>54</v>
      </c>
      <c r="K714" s="2">
        <v>3.8</v>
      </c>
      <c r="L714" t="s">
        <v>26</v>
      </c>
      <c r="M714" t="s">
        <v>27</v>
      </c>
      <c r="N714" t="s">
        <v>47</v>
      </c>
      <c r="O714" t="s">
        <v>26</v>
      </c>
      <c r="P714" t="s">
        <v>26</v>
      </c>
      <c r="Q714" s="3">
        <v>36</v>
      </c>
      <c r="R714" t="s">
        <v>34</v>
      </c>
      <c r="S714" t="s">
        <v>60</v>
      </c>
    </row>
    <row r="715" spans="1:19" x14ac:dyDescent="0.25">
      <c r="A715">
        <v>714</v>
      </c>
      <c r="B715">
        <v>37</v>
      </c>
      <c r="C715" t="s">
        <v>19</v>
      </c>
      <c r="D715" t="s">
        <v>104</v>
      </c>
      <c r="E715" t="s">
        <v>21</v>
      </c>
      <c r="F715" s="1">
        <v>90</v>
      </c>
      <c r="G715" t="s">
        <v>48</v>
      </c>
      <c r="H715" t="s">
        <v>45</v>
      </c>
      <c r="I715" t="s">
        <v>93</v>
      </c>
      <c r="J715" t="s">
        <v>54</v>
      </c>
      <c r="K715" s="2">
        <v>2.6</v>
      </c>
      <c r="L715" t="s">
        <v>26</v>
      </c>
      <c r="M715" t="s">
        <v>34</v>
      </c>
      <c r="N715" t="s">
        <v>28</v>
      </c>
      <c r="O715" t="s">
        <v>26</v>
      </c>
      <c r="P715" t="s">
        <v>26</v>
      </c>
      <c r="Q715" s="3">
        <v>39</v>
      </c>
      <c r="R715" t="s">
        <v>34</v>
      </c>
      <c r="S715" t="s">
        <v>77</v>
      </c>
    </row>
    <row r="716" spans="1:19" x14ac:dyDescent="0.25">
      <c r="A716">
        <v>715</v>
      </c>
      <c r="B716">
        <v>26</v>
      </c>
      <c r="C716" t="s">
        <v>19</v>
      </c>
      <c r="D716" t="s">
        <v>102</v>
      </c>
      <c r="E716" t="s">
        <v>65</v>
      </c>
      <c r="F716" s="1">
        <v>70</v>
      </c>
      <c r="G716" t="s">
        <v>147</v>
      </c>
      <c r="H716" t="s">
        <v>45</v>
      </c>
      <c r="I716" t="s">
        <v>136</v>
      </c>
      <c r="J716" t="s">
        <v>58</v>
      </c>
      <c r="K716" s="2">
        <v>4.4000000000000004</v>
      </c>
      <c r="L716" t="s">
        <v>26</v>
      </c>
      <c r="M716" t="s">
        <v>29</v>
      </c>
      <c r="N716" t="s">
        <v>76</v>
      </c>
      <c r="O716" t="s">
        <v>26</v>
      </c>
      <c r="P716" t="s">
        <v>26</v>
      </c>
      <c r="Q716" s="3">
        <v>40</v>
      </c>
      <c r="R716" t="s">
        <v>59</v>
      </c>
      <c r="S716" t="s">
        <v>30</v>
      </c>
    </row>
    <row r="717" spans="1:19" x14ac:dyDescent="0.25">
      <c r="A717">
        <v>716</v>
      </c>
      <c r="B717">
        <v>33</v>
      </c>
      <c r="C717" t="s">
        <v>19</v>
      </c>
      <c r="D717" t="s">
        <v>36</v>
      </c>
      <c r="E717" t="s">
        <v>21</v>
      </c>
      <c r="F717" s="1">
        <v>63</v>
      </c>
      <c r="G717" t="s">
        <v>80</v>
      </c>
      <c r="H717" t="s">
        <v>23</v>
      </c>
      <c r="I717" t="s">
        <v>96</v>
      </c>
      <c r="J717" t="s">
        <v>39</v>
      </c>
      <c r="K717" s="2">
        <v>2.6</v>
      </c>
      <c r="L717" t="s">
        <v>26</v>
      </c>
      <c r="M717" t="s">
        <v>29</v>
      </c>
      <c r="N717" t="s">
        <v>28</v>
      </c>
      <c r="O717" t="s">
        <v>26</v>
      </c>
      <c r="P717" t="s">
        <v>26</v>
      </c>
      <c r="Q717" s="3">
        <v>37</v>
      </c>
      <c r="R717" t="s">
        <v>59</v>
      </c>
      <c r="S717" t="s">
        <v>60</v>
      </c>
    </row>
    <row r="718" spans="1:19" x14ac:dyDescent="0.25">
      <c r="A718">
        <v>717</v>
      </c>
      <c r="B718">
        <v>30</v>
      </c>
      <c r="C718" t="s">
        <v>19</v>
      </c>
      <c r="D718" t="s">
        <v>106</v>
      </c>
      <c r="E718" t="s">
        <v>69</v>
      </c>
      <c r="F718" s="1">
        <v>29</v>
      </c>
      <c r="G718" t="s">
        <v>70</v>
      </c>
      <c r="H718" t="s">
        <v>45</v>
      </c>
      <c r="I718" t="s">
        <v>79</v>
      </c>
      <c r="J718" t="s">
        <v>39</v>
      </c>
      <c r="K718" s="2">
        <v>3.6</v>
      </c>
      <c r="L718" t="s">
        <v>26</v>
      </c>
      <c r="M718" t="s">
        <v>46</v>
      </c>
      <c r="N718" t="s">
        <v>28</v>
      </c>
      <c r="O718" t="s">
        <v>26</v>
      </c>
      <c r="P718" t="s">
        <v>26</v>
      </c>
      <c r="Q718" s="3">
        <v>9</v>
      </c>
      <c r="R718" t="s">
        <v>29</v>
      </c>
      <c r="S718" t="s">
        <v>77</v>
      </c>
    </row>
    <row r="719" spans="1:19" x14ac:dyDescent="0.25">
      <c r="A719">
        <v>718</v>
      </c>
      <c r="B719">
        <v>21</v>
      </c>
      <c r="C719" t="s">
        <v>19</v>
      </c>
      <c r="D719" t="s">
        <v>125</v>
      </c>
      <c r="E719" t="s">
        <v>21</v>
      </c>
      <c r="F719" s="1">
        <v>90</v>
      </c>
      <c r="G719" t="s">
        <v>120</v>
      </c>
      <c r="H719" t="s">
        <v>23</v>
      </c>
      <c r="I719" t="s">
        <v>96</v>
      </c>
      <c r="J719" t="s">
        <v>39</v>
      </c>
      <c r="K719" s="2">
        <v>4.2</v>
      </c>
      <c r="L719" t="s">
        <v>26</v>
      </c>
      <c r="M719" t="s">
        <v>59</v>
      </c>
      <c r="N719" t="s">
        <v>28</v>
      </c>
      <c r="O719" t="s">
        <v>26</v>
      </c>
      <c r="P719" t="s">
        <v>26</v>
      </c>
      <c r="Q719" s="3">
        <v>7</v>
      </c>
      <c r="R719" t="s">
        <v>29</v>
      </c>
      <c r="S719" t="s">
        <v>97</v>
      </c>
    </row>
    <row r="720" spans="1:19" x14ac:dyDescent="0.25">
      <c r="A720">
        <v>719</v>
      </c>
      <c r="B720">
        <v>22</v>
      </c>
      <c r="C720" t="s">
        <v>19</v>
      </c>
      <c r="D720" t="s">
        <v>56</v>
      </c>
      <c r="E720" t="s">
        <v>21</v>
      </c>
      <c r="F720" s="1">
        <v>22</v>
      </c>
      <c r="G720" t="s">
        <v>103</v>
      </c>
      <c r="H720" t="s">
        <v>45</v>
      </c>
      <c r="I720" t="s">
        <v>100</v>
      </c>
      <c r="J720" t="s">
        <v>54</v>
      </c>
      <c r="K720" s="2">
        <v>4.5999999999999996</v>
      </c>
      <c r="L720" t="s">
        <v>26</v>
      </c>
      <c r="M720" t="s">
        <v>34</v>
      </c>
      <c r="N720" t="s">
        <v>55</v>
      </c>
      <c r="O720" t="s">
        <v>26</v>
      </c>
      <c r="P720" t="s">
        <v>26</v>
      </c>
      <c r="Q720" s="3">
        <v>25</v>
      </c>
      <c r="R720" t="s">
        <v>34</v>
      </c>
      <c r="S720" t="s">
        <v>50</v>
      </c>
    </row>
    <row r="721" spans="1:19" x14ac:dyDescent="0.25">
      <c r="A721">
        <v>720</v>
      </c>
      <c r="B721">
        <v>63</v>
      </c>
      <c r="C721" t="s">
        <v>19</v>
      </c>
      <c r="D721" t="s">
        <v>61</v>
      </c>
      <c r="E721" t="s">
        <v>21</v>
      </c>
      <c r="F721" s="1">
        <v>22</v>
      </c>
      <c r="G721" t="s">
        <v>91</v>
      </c>
      <c r="H721" t="s">
        <v>23</v>
      </c>
      <c r="I721" t="s">
        <v>49</v>
      </c>
      <c r="J721" t="s">
        <v>54</v>
      </c>
      <c r="K721" s="2">
        <v>3.3</v>
      </c>
      <c r="L721" t="s">
        <v>26</v>
      </c>
      <c r="M721" t="s">
        <v>29</v>
      </c>
      <c r="N721" t="s">
        <v>47</v>
      </c>
      <c r="O721" t="s">
        <v>26</v>
      </c>
      <c r="P721" t="s">
        <v>26</v>
      </c>
      <c r="Q721" s="3">
        <v>42</v>
      </c>
      <c r="R721" t="s">
        <v>29</v>
      </c>
      <c r="S721" t="s">
        <v>77</v>
      </c>
    </row>
    <row r="722" spans="1:19" x14ac:dyDescent="0.25">
      <c r="A722">
        <v>721</v>
      </c>
      <c r="B722">
        <v>33</v>
      </c>
      <c r="C722" t="s">
        <v>19</v>
      </c>
      <c r="D722" t="s">
        <v>106</v>
      </c>
      <c r="E722" t="s">
        <v>69</v>
      </c>
      <c r="F722" s="1">
        <v>62</v>
      </c>
      <c r="G722" t="s">
        <v>130</v>
      </c>
      <c r="H722" t="s">
        <v>23</v>
      </c>
      <c r="I722" t="s">
        <v>121</v>
      </c>
      <c r="J722" t="s">
        <v>58</v>
      </c>
      <c r="K722" s="2">
        <v>3.4</v>
      </c>
      <c r="L722" t="s">
        <v>26</v>
      </c>
      <c r="M722" t="s">
        <v>34</v>
      </c>
      <c r="N722" t="s">
        <v>40</v>
      </c>
      <c r="O722" t="s">
        <v>26</v>
      </c>
      <c r="P722" t="s">
        <v>26</v>
      </c>
      <c r="Q722" s="3">
        <v>19</v>
      </c>
      <c r="R722" t="s">
        <v>59</v>
      </c>
      <c r="S722" t="s">
        <v>41</v>
      </c>
    </row>
    <row r="723" spans="1:19" x14ac:dyDescent="0.25">
      <c r="A723">
        <v>722</v>
      </c>
      <c r="B723">
        <v>43</v>
      </c>
      <c r="C723" t="s">
        <v>19</v>
      </c>
      <c r="D723" t="s">
        <v>20</v>
      </c>
      <c r="E723" t="s">
        <v>21</v>
      </c>
      <c r="F723" s="1">
        <v>57</v>
      </c>
      <c r="G723" t="s">
        <v>99</v>
      </c>
      <c r="H723" t="s">
        <v>23</v>
      </c>
      <c r="I723" t="s">
        <v>67</v>
      </c>
      <c r="J723" t="s">
        <v>54</v>
      </c>
      <c r="K723" s="2">
        <v>4.4000000000000004</v>
      </c>
      <c r="L723" t="s">
        <v>26</v>
      </c>
      <c r="M723" t="s">
        <v>59</v>
      </c>
      <c r="N723" t="s">
        <v>47</v>
      </c>
      <c r="O723" t="s">
        <v>26</v>
      </c>
      <c r="P723" t="s">
        <v>26</v>
      </c>
      <c r="Q723" s="3">
        <v>41</v>
      </c>
      <c r="R723" t="s">
        <v>59</v>
      </c>
      <c r="S723" t="s">
        <v>97</v>
      </c>
    </row>
    <row r="724" spans="1:19" x14ac:dyDescent="0.25">
      <c r="A724">
        <v>723</v>
      </c>
      <c r="B724">
        <v>27</v>
      </c>
      <c r="C724" t="s">
        <v>19</v>
      </c>
      <c r="D724" t="s">
        <v>31</v>
      </c>
      <c r="E724" t="s">
        <v>21</v>
      </c>
      <c r="F724" s="1">
        <v>32</v>
      </c>
      <c r="G724" t="s">
        <v>52</v>
      </c>
      <c r="H724" t="s">
        <v>38</v>
      </c>
      <c r="I724" t="s">
        <v>144</v>
      </c>
      <c r="J724" t="s">
        <v>54</v>
      </c>
      <c r="K724" s="2">
        <v>4.3</v>
      </c>
      <c r="L724" t="s">
        <v>26</v>
      </c>
      <c r="M724" t="s">
        <v>46</v>
      </c>
      <c r="N724" t="s">
        <v>76</v>
      </c>
      <c r="O724" t="s">
        <v>26</v>
      </c>
      <c r="P724" t="s">
        <v>26</v>
      </c>
      <c r="Q724" s="3">
        <v>50</v>
      </c>
      <c r="R724" t="s">
        <v>35</v>
      </c>
      <c r="S724" t="s">
        <v>77</v>
      </c>
    </row>
    <row r="725" spans="1:19" x14ac:dyDescent="0.25">
      <c r="A725">
        <v>724</v>
      </c>
      <c r="B725">
        <v>35</v>
      </c>
      <c r="C725" t="s">
        <v>19</v>
      </c>
      <c r="D725" t="s">
        <v>106</v>
      </c>
      <c r="E725" t="s">
        <v>69</v>
      </c>
      <c r="F725" s="1">
        <v>53</v>
      </c>
      <c r="G725" t="s">
        <v>70</v>
      </c>
      <c r="H725" t="s">
        <v>23</v>
      </c>
      <c r="I725" t="s">
        <v>109</v>
      </c>
      <c r="J725" t="s">
        <v>58</v>
      </c>
      <c r="K725" s="2">
        <v>3.5</v>
      </c>
      <c r="L725" t="s">
        <v>26</v>
      </c>
      <c r="M725" t="s">
        <v>35</v>
      </c>
      <c r="N725" t="s">
        <v>28</v>
      </c>
      <c r="O725" t="s">
        <v>26</v>
      </c>
      <c r="P725" t="s">
        <v>26</v>
      </c>
      <c r="Q725" s="3">
        <v>43</v>
      </c>
      <c r="R725" t="s">
        <v>46</v>
      </c>
      <c r="S725" t="s">
        <v>88</v>
      </c>
    </row>
    <row r="726" spans="1:19" x14ac:dyDescent="0.25">
      <c r="A726">
        <v>725</v>
      </c>
      <c r="B726">
        <v>37</v>
      </c>
      <c r="C726" t="s">
        <v>19</v>
      </c>
      <c r="D726" t="s">
        <v>113</v>
      </c>
      <c r="E726" t="s">
        <v>21</v>
      </c>
      <c r="F726" s="1">
        <v>79</v>
      </c>
      <c r="G726" t="s">
        <v>83</v>
      </c>
      <c r="H726" t="s">
        <v>92</v>
      </c>
      <c r="I726" t="s">
        <v>96</v>
      </c>
      <c r="J726" t="s">
        <v>58</v>
      </c>
      <c r="K726" s="2">
        <v>4.7</v>
      </c>
      <c r="L726" t="s">
        <v>26</v>
      </c>
      <c r="M726" t="s">
        <v>35</v>
      </c>
      <c r="N726" t="s">
        <v>76</v>
      </c>
      <c r="O726" t="s">
        <v>26</v>
      </c>
      <c r="P726" t="s">
        <v>26</v>
      </c>
      <c r="Q726" s="3">
        <v>36</v>
      </c>
      <c r="R726" t="s">
        <v>29</v>
      </c>
      <c r="S726" t="s">
        <v>97</v>
      </c>
    </row>
    <row r="727" spans="1:19" x14ac:dyDescent="0.25">
      <c r="A727">
        <v>726</v>
      </c>
      <c r="B727">
        <v>61</v>
      </c>
      <c r="C727" t="s">
        <v>19</v>
      </c>
      <c r="D727" t="s">
        <v>124</v>
      </c>
      <c r="E727" t="s">
        <v>69</v>
      </c>
      <c r="F727" s="1">
        <v>61</v>
      </c>
      <c r="G727" t="s">
        <v>105</v>
      </c>
      <c r="H727" t="s">
        <v>23</v>
      </c>
      <c r="I727" t="s">
        <v>67</v>
      </c>
      <c r="J727" t="s">
        <v>25</v>
      </c>
      <c r="K727" s="2">
        <v>3.1</v>
      </c>
      <c r="L727" t="s">
        <v>26</v>
      </c>
      <c r="M727" t="s">
        <v>35</v>
      </c>
      <c r="N727" t="s">
        <v>55</v>
      </c>
      <c r="O727" t="s">
        <v>26</v>
      </c>
      <c r="P727" t="s">
        <v>26</v>
      </c>
      <c r="Q727" s="3">
        <v>33</v>
      </c>
      <c r="R727" t="s">
        <v>59</v>
      </c>
      <c r="S727" t="s">
        <v>30</v>
      </c>
    </row>
    <row r="728" spans="1:19" x14ac:dyDescent="0.25">
      <c r="A728">
        <v>727</v>
      </c>
      <c r="B728">
        <v>32</v>
      </c>
      <c r="C728" t="s">
        <v>19</v>
      </c>
      <c r="D728" t="s">
        <v>61</v>
      </c>
      <c r="E728" t="s">
        <v>21</v>
      </c>
      <c r="F728" s="1">
        <v>78</v>
      </c>
      <c r="G728" t="s">
        <v>114</v>
      </c>
      <c r="H728" t="s">
        <v>23</v>
      </c>
      <c r="I728" t="s">
        <v>134</v>
      </c>
      <c r="J728" t="s">
        <v>54</v>
      </c>
      <c r="K728" s="2">
        <v>3.6</v>
      </c>
      <c r="L728" t="s">
        <v>26</v>
      </c>
      <c r="M728" t="s">
        <v>46</v>
      </c>
      <c r="N728" t="s">
        <v>47</v>
      </c>
      <c r="O728" t="s">
        <v>26</v>
      </c>
      <c r="P728" t="s">
        <v>26</v>
      </c>
      <c r="Q728" s="3">
        <v>20</v>
      </c>
      <c r="R728" t="s">
        <v>34</v>
      </c>
      <c r="S728" t="s">
        <v>97</v>
      </c>
    </row>
    <row r="729" spans="1:19" x14ac:dyDescent="0.25">
      <c r="A729">
        <v>728</v>
      </c>
      <c r="B729">
        <v>62</v>
      </c>
      <c r="C729" t="s">
        <v>19</v>
      </c>
      <c r="D729" t="s">
        <v>31</v>
      </c>
      <c r="E729" t="s">
        <v>21</v>
      </c>
      <c r="F729" s="1">
        <v>97</v>
      </c>
      <c r="G729" t="s">
        <v>74</v>
      </c>
      <c r="H729" t="s">
        <v>38</v>
      </c>
      <c r="I729" t="s">
        <v>24</v>
      </c>
      <c r="J729" t="s">
        <v>25</v>
      </c>
      <c r="K729" s="2">
        <v>4.8</v>
      </c>
      <c r="L729" t="s">
        <v>26</v>
      </c>
      <c r="M729" t="s">
        <v>27</v>
      </c>
      <c r="N729" t="s">
        <v>47</v>
      </c>
      <c r="O729" t="s">
        <v>26</v>
      </c>
      <c r="P729" t="s">
        <v>26</v>
      </c>
      <c r="Q729" s="3">
        <v>37</v>
      </c>
      <c r="R729" t="s">
        <v>29</v>
      </c>
      <c r="S729" t="s">
        <v>97</v>
      </c>
    </row>
    <row r="730" spans="1:19" x14ac:dyDescent="0.25">
      <c r="A730">
        <v>729</v>
      </c>
      <c r="B730">
        <v>29</v>
      </c>
      <c r="C730" t="s">
        <v>19</v>
      </c>
      <c r="D730" t="s">
        <v>36</v>
      </c>
      <c r="E730" t="s">
        <v>21</v>
      </c>
      <c r="F730" s="1">
        <v>78</v>
      </c>
      <c r="G730" t="s">
        <v>145</v>
      </c>
      <c r="H730" t="s">
        <v>45</v>
      </c>
      <c r="I730" t="s">
        <v>71</v>
      </c>
      <c r="J730" t="s">
        <v>25</v>
      </c>
      <c r="K730" s="2">
        <v>3.7</v>
      </c>
      <c r="L730" t="s">
        <v>26</v>
      </c>
      <c r="M730" t="s">
        <v>59</v>
      </c>
      <c r="N730" t="s">
        <v>47</v>
      </c>
      <c r="O730" t="s">
        <v>26</v>
      </c>
      <c r="P730" t="s">
        <v>26</v>
      </c>
      <c r="Q730" s="3">
        <v>12</v>
      </c>
      <c r="R730" t="s">
        <v>46</v>
      </c>
      <c r="S730" t="s">
        <v>97</v>
      </c>
    </row>
    <row r="731" spans="1:19" x14ac:dyDescent="0.25">
      <c r="A731">
        <v>730</v>
      </c>
      <c r="B731">
        <v>41</v>
      </c>
      <c r="C731" t="s">
        <v>19</v>
      </c>
      <c r="D731" t="s">
        <v>89</v>
      </c>
      <c r="E731" t="s">
        <v>69</v>
      </c>
      <c r="F731" s="1">
        <v>56</v>
      </c>
      <c r="G731" t="s">
        <v>148</v>
      </c>
      <c r="H731" t="s">
        <v>23</v>
      </c>
      <c r="I731" t="s">
        <v>118</v>
      </c>
      <c r="J731" t="s">
        <v>54</v>
      </c>
      <c r="K731" s="2">
        <v>3.2</v>
      </c>
      <c r="L731" t="s">
        <v>26</v>
      </c>
      <c r="M731" t="s">
        <v>29</v>
      </c>
      <c r="N731" t="s">
        <v>28</v>
      </c>
      <c r="O731" t="s">
        <v>26</v>
      </c>
      <c r="P731" t="s">
        <v>26</v>
      </c>
      <c r="Q731" s="3">
        <v>46</v>
      </c>
      <c r="R731" t="s">
        <v>46</v>
      </c>
      <c r="S731" t="s">
        <v>97</v>
      </c>
    </row>
    <row r="732" spans="1:19" x14ac:dyDescent="0.25">
      <c r="A732">
        <v>731</v>
      </c>
      <c r="B732">
        <v>48</v>
      </c>
      <c r="C732" t="s">
        <v>19</v>
      </c>
      <c r="D732" t="s">
        <v>137</v>
      </c>
      <c r="E732" t="s">
        <v>43</v>
      </c>
      <c r="F732" s="1">
        <v>25</v>
      </c>
      <c r="G732" t="s">
        <v>37</v>
      </c>
      <c r="H732" t="s">
        <v>45</v>
      </c>
      <c r="I732" t="s">
        <v>126</v>
      </c>
      <c r="J732" t="s">
        <v>54</v>
      </c>
      <c r="K732" s="2">
        <v>3.9</v>
      </c>
      <c r="L732" t="s">
        <v>26</v>
      </c>
      <c r="M732" t="s">
        <v>29</v>
      </c>
      <c r="N732" t="s">
        <v>55</v>
      </c>
      <c r="O732" t="s">
        <v>26</v>
      </c>
      <c r="P732" t="s">
        <v>26</v>
      </c>
      <c r="Q732" s="3">
        <v>28</v>
      </c>
      <c r="R732" t="s">
        <v>29</v>
      </c>
      <c r="S732" t="s">
        <v>30</v>
      </c>
    </row>
    <row r="733" spans="1:19" x14ac:dyDescent="0.25">
      <c r="A733">
        <v>732</v>
      </c>
      <c r="B733">
        <v>43</v>
      </c>
      <c r="C733" t="s">
        <v>19</v>
      </c>
      <c r="D733" t="s">
        <v>64</v>
      </c>
      <c r="E733" t="s">
        <v>65</v>
      </c>
      <c r="F733" s="1">
        <v>28</v>
      </c>
      <c r="G733" t="s">
        <v>74</v>
      </c>
      <c r="H733" t="s">
        <v>45</v>
      </c>
      <c r="I733" t="s">
        <v>108</v>
      </c>
      <c r="J733" t="s">
        <v>39</v>
      </c>
      <c r="K733" s="2">
        <v>3.5</v>
      </c>
      <c r="L733" t="s">
        <v>26</v>
      </c>
      <c r="M733" t="s">
        <v>27</v>
      </c>
      <c r="N733" t="s">
        <v>40</v>
      </c>
      <c r="O733" t="s">
        <v>26</v>
      </c>
      <c r="P733" t="s">
        <v>26</v>
      </c>
      <c r="Q733" s="3">
        <v>30</v>
      </c>
      <c r="R733" t="s">
        <v>46</v>
      </c>
      <c r="S733" t="s">
        <v>30</v>
      </c>
    </row>
    <row r="734" spans="1:19" x14ac:dyDescent="0.25">
      <c r="A734">
        <v>733</v>
      </c>
      <c r="B734">
        <v>34</v>
      </c>
      <c r="C734" t="s">
        <v>19</v>
      </c>
      <c r="D734" t="s">
        <v>56</v>
      </c>
      <c r="E734" t="s">
        <v>21</v>
      </c>
      <c r="F734" s="1">
        <v>57</v>
      </c>
      <c r="G734" t="s">
        <v>83</v>
      </c>
      <c r="H734" t="s">
        <v>23</v>
      </c>
      <c r="I734" t="s">
        <v>144</v>
      </c>
      <c r="J734" t="s">
        <v>39</v>
      </c>
      <c r="K734" s="2">
        <v>2.8</v>
      </c>
      <c r="L734" t="s">
        <v>26</v>
      </c>
      <c r="M734" t="s">
        <v>35</v>
      </c>
      <c r="N734" t="s">
        <v>28</v>
      </c>
      <c r="O734" t="s">
        <v>26</v>
      </c>
      <c r="P734" t="s">
        <v>26</v>
      </c>
      <c r="Q734" s="3">
        <v>28</v>
      </c>
      <c r="R734" t="s">
        <v>35</v>
      </c>
      <c r="S734" t="s">
        <v>77</v>
      </c>
    </row>
    <row r="735" spans="1:19" x14ac:dyDescent="0.25">
      <c r="A735">
        <v>734</v>
      </c>
      <c r="B735">
        <v>45</v>
      </c>
      <c r="C735" t="s">
        <v>19</v>
      </c>
      <c r="D735" t="s">
        <v>82</v>
      </c>
      <c r="E735" t="s">
        <v>21</v>
      </c>
      <c r="F735" s="1">
        <v>36</v>
      </c>
      <c r="G735" t="s">
        <v>44</v>
      </c>
      <c r="H735" t="s">
        <v>23</v>
      </c>
      <c r="I735" t="s">
        <v>109</v>
      </c>
      <c r="J735" t="s">
        <v>58</v>
      </c>
      <c r="K735" s="2">
        <v>2.7</v>
      </c>
      <c r="L735" t="s">
        <v>26</v>
      </c>
      <c r="M735" t="s">
        <v>35</v>
      </c>
      <c r="N735" t="s">
        <v>72</v>
      </c>
      <c r="O735" t="s">
        <v>26</v>
      </c>
      <c r="P735" t="s">
        <v>26</v>
      </c>
      <c r="Q735" s="3">
        <v>20</v>
      </c>
      <c r="R735" t="s">
        <v>59</v>
      </c>
      <c r="S735" t="s">
        <v>77</v>
      </c>
    </row>
    <row r="736" spans="1:19" x14ac:dyDescent="0.25">
      <c r="A736">
        <v>735</v>
      </c>
      <c r="B736">
        <v>65</v>
      </c>
      <c r="C736" t="s">
        <v>19</v>
      </c>
      <c r="D736" t="s">
        <v>56</v>
      </c>
      <c r="E736" t="s">
        <v>21</v>
      </c>
      <c r="F736" s="1">
        <v>69</v>
      </c>
      <c r="G736" t="s">
        <v>127</v>
      </c>
      <c r="H736" t="s">
        <v>38</v>
      </c>
      <c r="I736" t="s">
        <v>84</v>
      </c>
      <c r="J736" t="s">
        <v>25</v>
      </c>
      <c r="K736" s="2">
        <v>3.1</v>
      </c>
      <c r="L736" t="s">
        <v>26</v>
      </c>
      <c r="M736" t="s">
        <v>29</v>
      </c>
      <c r="N736" t="s">
        <v>28</v>
      </c>
      <c r="O736" t="s">
        <v>26</v>
      </c>
      <c r="P736" t="s">
        <v>26</v>
      </c>
      <c r="Q736" s="3">
        <v>39</v>
      </c>
      <c r="R736" t="s">
        <v>34</v>
      </c>
      <c r="S736" t="s">
        <v>97</v>
      </c>
    </row>
    <row r="737" spans="1:19" x14ac:dyDescent="0.25">
      <c r="A737">
        <v>736</v>
      </c>
      <c r="B737">
        <v>61</v>
      </c>
      <c r="C737" t="s">
        <v>19</v>
      </c>
      <c r="D737" t="s">
        <v>89</v>
      </c>
      <c r="E737" t="s">
        <v>69</v>
      </c>
      <c r="F737" s="1">
        <v>48</v>
      </c>
      <c r="G737" t="s">
        <v>57</v>
      </c>
      <c r="H737" t="s">
        <v>45</v>
      </c>
      <c r="I737" t="s">
        <v>121</v>
      </c>
      <c r="J737" t="s">
        <v>58</v>
      </c>
      <c r="K737" s="2">
        <v>3.6</v>
      </c>
      <c r="L737" t="s">
        <v>26</v>
      </c>
      <c r="M737" t="s">
        <v>29</v>
      </c>
      <c r="N737" t="s">
        <v>72</v>
      </c>
      <c r="O737" t="s">
        <v>26</v>
      </c>
      <c r="P737" t="s">
        <v>26</v>
      </c>
      <c r="Q737" s="3">
        <v>48</v>
      </c>
      <c r="R737" t="s">
        <v>35</v>
      </c>
      <c r="S737" t="s">
        <v>77</v>
      </c>
    </row>
    <row r="738" spans="1:19" x14ac:dyDescent="0.25">
      <c r="A738">
        <v>737</v>
      </c>
      <c r="B738">
        <v>18</v>
      </c>
      <c r="C738" t="s">
        <v>19</v>
      </c>
      <c r="D738" t="s">
        <v>82</v>
      </c>
      <c r="E738" t="s">
        <v>21</v>
      </c>
      <c r="F738" s="1">
        <v>58</v>
      </c>
      <c r="G738" t="s">
        <v>112</v>
      </c>
      <c r="H738" t="s">
        <v>23</v>
      </c>
      <c r="I738" t="s">
        <v>33</v>
      </c>
      <c r="J738" t="s">
        <v>39</v>
      </c>
      <c r="K738" s="2">
        <v>2.9</v>
      </c>
      <c r="L738" t="s">
        <v>26</v>
      </c>
      <c r="M738" t="s">
        <v>59</v>
      </c>
      <c r="N738" t="s">
        <v>72</v>
      </c>
      <c r="O738" t="s">
        <v>26</v>
      </c>
      <c r="P738" t="s">
        <v>26</v>
      </c>
      <c r="Q738" s="3">
        <v>32</v>
      </c>
      <c r="R738" t="s">
        <v>27</v>
      </c>
      <c r="S738" t="s">
        <v>97</v>
      </c>
    </row>
    <row r="739" spans="1:19" x14ac:dyDescent="0.25">
      <c r="A739">
        <v>738</v>
      </c>
      <c r="B739">
        <v>47</v>
      </c>
      <c r="C739" t="s">
        <v>19</v>
      </c>
      <c r="D739" t="s">
        <v>89</v>
      </c>
      <c r="E739" t="s">
        <v>69</v>
      </c>
      <c r="F739" s="1">
        <v>24</v>
      </c>
      <c r="G739" t="s">
        <v>145</v>
      </c>
      <c r="H739" t="s">
        <v>45</v>
      </c>
      <c r="I739" t="s">
        <v>86</v>
      </c>
      <c r="J739" t="s">
        <v>39</v>
      </c>
      <c r="K739" s="2">
        <v>3.6</v>
      </c>
      <c r="L739" t="s">
        <v>26</v>
      </c>
      <c r="M739" t="s">
        <v>46</v>
      </c>
      <c r="N739" t="s">
        <v>76</v>
      </c>
      <c r="O739" t="s">
        <v>26</v>
      </c>
      <c r="P739" t="s">
        <v>26</v>
      </c>
      <c r="Q739" s="3">
        <v>28</v>
      </c>
      <c r="R739" t="s">
        <v>46</v>
      </c>
      <c r="S739" t="s">
        <v>50</v>
      </c>
    </row>
    <row r="740" spans="1:19" x14ac:dyDescent="0.25">
      <c r="A740">
        <v>739</v>
      </c>
      <c r="B740">
        <v>56</v>
      </c>
      <c r="C740" t="s">
        <v>19</v>
      </c>
      <c r="D740" t="s">
        <v>89</v>
      </c>
      <c r="E740" t="s">
        <v>69</v>
      </c>
      <c r="F740" s="1">
        <v>31</v>
      </c>
      <c r="G740" t="s">
        <v>148</v>
      </c>
      <c r="H740" t="s">
        <v>23</v>
      </c>
      <c r="I740" t="s">
        <v>121</v>
      </c>
      <c r="J740" t="s">
        <v>25</v>
      </c>
      <c r="K740" s="2">
        <v>3.5</v>
      </c>
      <c r="L740" t="s">
        <v>26</v>
      </c>
      <c r="M740" t="s">
        <v>27</v>
      </c>
      <c r="N740" t="s">
        <v>72</v>
      </c>
      <c r="O740" t="s">
        <v>26</v>
      </c>
      <c r="P740" t="s">
        <v>26</v>
      </c>
      <c r="Q740" s="3">
        <v>27</v>
      </c>
      <c r="R740" t="s">
        <v>29</v>
      </c>
      <c r="S740" t="s">
        <v>60</v>
      </c>
    </row>
    <row r="741" spans="1:19" x14ac:dyDescent="0.25">
      <c r="A741">
        <v>740</v>
      </c>
      <c r="B741">
        <v>64</v>
      </c>
      <c r="C741" t="s">
        <v>19</v>
      </c>
      <c r="D741" t="s">
        <v>61</v>
      </c>
      <c r="E741" t="s">
        <v>21</v>
      </c>
      <c r="F741" s="1">
        <v>29</v>
      </c>
      <c r="G741" t="s">
        <v>148</v>
      </c>
      <c r="H741" t="s">
        <v>38</v>
      </c>
      <c r="I741" t="s">
        <v>75</v>
      </c>
      <c r="J741" t="s">
        <v>54</v>
      </c>
      <c r="K741" s="2">
        <v>3.5</v>
      </c>
      <c r="L741" t="s">
        <v>26</v>
      </c>
      <c r="M741" t="s">
        <v>35</v>
      </c>
      <c r="N741" t="s">
        <v>40</v>
      </c>
      <c r="O741" t="s">
        <v>26</v>
      </c>
      <c r="P741" t="s">
        <v>26</v>
      </c>
      <c r="Q741" s="3">
        <v>26</v>
      </c>
      <c r="R741" t="s">
        <v>29</v>
      </c>
      <c r="S741" t="s">
        <v>77</v>
      </c>
    </row>
    <row r="742" spans="1:19" x14ac:dyDescent="0.25">
      <c r="A742">
        <v>741</v>
      </c>
      <c r="B742">
        <v>26</v>
      </c>
      <c r="C742" t="s">
        <v>19</v>
      </c>
      <c r="D742" t="s">
        <v>36</v>
      </c>
      <c r="E742" t="s">
        <v>21</v>
      </c>
      <c r="F742" s="1">
        <v>69</v>
      </c>
      <c r="G742" t="s">
        <v>147</v>
      </c>
      <c r="H742" t="s">
        <v>45</v>
      </c>
      <c r="I742" t="s">
        <v>121</v>
      </c>
      <c r="J742" t="s">
        <v>54</v>
      </c>
      <c r="K742" s="2">
        <v>2.8</v>
      </c>
      <c r="L742" t="s">
        <v>26</v>
      </c>
      <c r="M742" t="s">
        <v>34</v>
      </c>
      <c r="N742" t="s">
        <v>47</v>
      </c>
      <c r="O742" t="s">
        <v>26</v>
      </c>
      <c r="P742" t="s">
        <v>26</v>
      </c>
      <c r="Q742" s="3">
        <v>22</v>
      </c>
      <c r="R742" t="s">
        <v>27</v>
      </c>
      <c r="S742" t="s">
        <v>30</v>
      </c>
    </row>
    <row r="743" spans="1:19" x14ac:dyDescent="0.25">
      <c r="A743">
        <v>742</v>
      </c>
      <c r="B743">
        <v>22</v>
      </c>
      <c r="C743" t="s">
        <v>19</v>
      </c>
      <c r="D743" t="s">
        <v>113</v>
      </c>
      <c r="E743" t="s">
        <v>21</v>
      </c>
      <c r="F743" s="1">
        <v>79</v>
      </c>
      <c r="G743" t="s">
        <v>66</v>
      </c>
      <c r="H743" t="s">
        <v>92</v>
      </c>
      <c r="I743" t="s">
        <v>134</v>
      </c>
      <c r="J743" t="s">
        <v>54</v>
      </c>
      <c r="K743" s="2">
        <v>4.7</v>
      </c>
      <c r="L743" t="s">
        <v>26</v>
      </c>
      <c r="M743" t="s">
        <v>59</v>
      </c>
      <c r="N743" t="s">
        <v>40</v>
      </c>
      <c r="O743" t="s">
        <v>26</v>
      </c>
      <c r="P743" t="s">
        <v>26</v>
      </c>
      <c r="Q743" s="3">
        <v>23</v>
      </c>
      <c r="R743" t="s">
        <v>34</v>
      </c>
      <c r="S743" t="s">
        <v>97</v>
      </c>
    </row>
    <row r="744" spans="1:19" x14ac:dyDescent="0.25">
      <c r="A744">
        <v>743</v>
      </c>
      <c r="B744">
        <v>64</v>
      </c>
      <c r="C744" t="s">
        <v>19</v>
      </c>
      <c r="D744" t="s">
        <v>95</v>
      </c>
      <c r="E744" t="s">
        <v>21</v>
      </c>
      <c r="F744" s="1">
        <v>39</v>
      </c>
      <c r="G744" t="s">
        <v>107</v>
      </c>
      <c r="H744" t="s">
        <v>45</v>
      </c>
      <c r="I744" t="s">
        <v>63</v>
      </c>
      <c r="J744" t="s">
        <v>54</v>
      </c>
      <c r="K744" s="2">
        <v>3.1</v>
      </c>
      <c r="L744" t="s">
        <v>26</v>
      </c>
      <c r="M744" t="s">
        <v>59</v>
      </c>
      <c r="N744" t="s">
        <v>28</v>
      </c>
      <c r="O744" t="s">
        <v>26</v>
      </c>
      <c r="P744" t="s">
        <v>26</v>
      </c>
      <c r="Q744" s="3">
        <v>21</v>
      </c>
      <c r="R744" t="s">
        <v>59</v>
      </c>
      <c r="S744" t="s">
        <v>60</v>
      </c>
    </row>
    <row r="745" spans="1:19" x14ac:dyDescent="0.25">
      <c r="A745">
        <v>744</v>
      </c>
      <c r="B745">
        <v>21</v>
      </c>
      <c r="C745" t="s">
        <v>19</v>
      </c>
      <c r="D745" t="s">
        <v>89</v>
      </c>
      <c r="E745" t="s">
        <v>69</v>
      </c>
      <c r="F745" s="1">
        <v>84</v>
      </c>
      <c r="G745" t="s">
        <v>98</v>
      </c>
      <c r="H745" t="s">
        <v>23</v>
      </c>
      <c r="I745" t="s">
        <v>24</v>
      </c>
      <c r="J745" t="s">
        <v>58</v>
      </c>
      <c r="K745" s="2">
        <v>4.9000000000000004</v>
      </c>
      <c r="L745" t="s">
        <v>26</v>
      </c>
      <c r="M745" t="s">
        <v>46</v>
      </c>
      <c r="N745" t="s">
        <v>40</v>
      </c>
      <c r="O745" t="s">
        <v>26</v>
      </c>
      <c r="P745" t="s">
        <v>26</v>
      </c>
      <c r="Q745" s="3">
        <v>36</v>
      </c>
      <c r="R745" t="s">
        <v>35</v>
      </c>
      <c r="S745" t="s">
        <v>41</v>
      </c>
    </row>
    <row r="746" spans="1:19" x14ac:dyDescent="0.25">
      <c r="A746">
        <v>745</v>
      </c>
      <c r="B746">
        <v>67</v>
      </c>
      <c r="C746" t="s">
        <v>19</v>
      </c>
      <c r="D746" t="s">
        <v>137</v>
      </c>
      <c r="E746" t="s">
        <v>43</v>
      </c>
      <c r="F746" s="1">
        <v>66</v>
      </c>
      <c r="G746" t="s">
        <v>115</v>
      </c>
      <c r="H746" t="s">
        <v>38</v>
      </c>
      <c r="I746" t="s">
        <v>63</v>
      </c>
      <c r="J746" t="s">
        <v>39</v>
      </c>
      <c r="K746" s="2">
        <v>4.0999999999999996</v>
      </c>
      <c r="L746" t="s">
        <v>26</v>
      </c>
      <c r="M746" t="s">
        <v>59</v>
      </c>
      <c r="N746" t="s">
        <v>47</v>
      </c>
      <c r="O746" t="s">
        <v>26</v>
      </c>
      <c r="P746" t="s">
        <v>26</v>
      </c>
      <c r="Q746" s="3">
        <v>42</v>
      </c>
      <c r="R746" t="s">
        <v>59</v>
      </c>
      <c r="S746" t="s">
        <v>77</v>
      </c>
    </row>
    <row r="747" spans="1:19" x14ac:dyDescent="0.25">
      <c r="A747">
        <v>746</v>
      </c>
      <c r="B747">
        <v>46</v>
      </c>
      <c r="C747" t="s">
        <v>19</v>
      </c>
      <c r="D747" t="s">
        <v>113</v>
      </c>
      <c r="E747" t="s">
        <v>21</v>
      </c>
      <c r="F747" s="1">
        <v>92</v>
      </c>
      <c r="G747" t="s">
        <v>151</v>
      </c>
      <c r="H747" t="s">
        <v>23</v>
      </c>
      <c r="I747" t="s">
        <v>121</v>
      </c>
      <c r="J747" t="s">
        <v>58</v>
      </c>
      <c r="K747" s="2">
        <v>4.7</v>
      </c>
      <c r="L747" t="s">
        <v>26</v>
      </c>
      <c r="M747" t="s">
        <v>27</v>
      </c>
      <c r="N747" t="s">
        <v>55</v>
      </c>
      <c r="O747" t="s">
        <v>26</v>
      </c>
      <c r="P747" t="s">
        <v>26</v>
      </c>
      <c r="Q747" s="3">
        <v>4</v>
      </c>
      <c r="R747" t="s">
        <v>29</v>
      </c>
      <c r="S747" t="s">
        <v>88</v>
      </c>
    </row>
    <row r="748" spans="1:19" x14ac:dyDescent="0.25">
      <c r="A748">
        <v>747</v>
      </c>
      <c r="B748">
        <v>40</v>
      </c>
      <c r="C748" t="s">
        <v>19</v>
      </c>
      <c r="D748" t="s">
        <v>42</v>
      </c>
      <c r="E748" t="s">
        <v>43</v>
      </c>
      <c r="F748" s="1">
        <v>45</v>
      </c>
      <c r="G748" t="s">
        <v>151</v>
      </c>
      <c r="H748" t="s">
        <v>45</v>
      </c>
      <c r="I748" t="s">
        <v>108</v>
      </c>
      <c r="J748" t="s">
        <v>25</v>
      </c>
      <c r="K748" s="2">
        <v>2.5</v>
      </c>
      <c r="L748" t="s">
        <v>26</v>
      </c>
      <c r="M748" t="s">
        <v>59</v>
      </c>
      <c r="N748" t="s">
        <v>40</v>
      </c>
      <c r="O748" t="s">
        <v>26</v>
      </c>
      <c r="P748" t="s">
        <v>26</v>
      </c>
      <c r="Q748" s="3">
        <v>47</v>
      </c>
      <c r="R748" t="s">
        <v>27</v>
      </c>
      <c r="S748" t="s">
        <v>50</v>
      </c>
    </row>
    <row r="749" spans="1:19" x14ac:dyDescent="0.25">
      <c r="A749">
        <v>748</v>
      </c>
      <c r="B749">
        <v>51</v>
      </c>
      <c r="C749" t="s">
        <v>19</v>
      </c>
      <c r="D749" t="s">
        <v>61</v>
      </c>
      <c r="E749" t="s">
        <v>21</v>
      </c>
      <c r="F749" s="1">
        <v>74</v>
      </c>
      <c r="G749" t="s">
        <v>101</v>
      </c>
      <c r="H749" t="s">
        <v>23</v>
      </c>
      <c r="I749" t="s">
        <v>81</v>
      </c>
      <c r="J749" t="s">
        <v>39</v>
      </c>
      <c r="K749" s="2">
        <v>4.4000000000000004</v>
      </c>
      <c r="L749" t="s">
        <v>26</v>
      </c>
      <c r="M749" t="s">
        <v>29</v>
      </c>
      <c r="N749" t="s">
        <v>47</v>
      </c>
      <c r="O749" t="s">
        <v>26</v>
      </c>
      <c r="P749" t="s">
        <v>26</v>
      </c>
      <c r="Q749" s="3">
        <v>13</v>
      </c>
      <c r="R749" t="s">
        <v>34</v>
      </c>
      <c r="S749" t="s">
        <v>41</v>
      </c>
    </row>
    <row r="750" spans="1:19" x14ac:dyDescent="0.25">
      <c r="A750">
        <v>749</v>
      </c>
      <c r="B750">
        <v>35</v>
      </c>
      <c r="C750" t="s">
        <v>19</v>
      </c>
      <c r="D750" t="s">
        <v>124</v>
      </c>
      <c r="E750" t="s">
        <v>69</v>
      </c>
      <c r="F750" s="1">
        <v>39</v>
      </c>
      <c r="G750" t="s">
        <v>147</v>
      </c>
      <c r="H750" t="s">
        <v>23</v>
      </c>
      <c r="I750" t="s">
        <v>110</v>
      </c>
      <c r="J750" t="s">
        <v>58</v>
      </c>
      <c r="K750" s="2">
        <v>3.9</v>
      </c>
      <c r="L750" t="s">
        <v>26</v>
      </c>
      <c r="M750" t="s">
        <v>34</v>
      </c>
      <c r="N750" t="s">
        <v>40</v>
      </c>
      <c r="O750" t="s">
        <v>26</v>
      </c>
      <c r="P750" t="s">
        <v>26</v>
      </c>
      <c r="Q750" s="3">
        <v>8</v>
      </c>
      <c r="R750" t="s">
        <v>34</v>
      </c>
      <c r="S750" t="s">
        <v>60</v>
      </c>
    </row>
    <row r="751" spans="1:19" x14ac:dyDescent="0.25">
      <c r="A751">
        <v>750</v>
      </c>
      <c r="B751">
        <v>56</v>
      </c>
      <c r="C751" t="s">
        <v>19</v>
      </c>
      <c r="D751" t="s">
        <v>119</v>
      </c>
      <c r="E751" t="s">
        <v>69</v>
      </c>
      <c r="F751" s="1">
        <v>71</v>
      </c>
      <c r="G751" t="s">
        <v>101</v>
      </c>
      <c r="H751" t="s">
        <v>45</v>
      </c>
      <c r="I751" t="s">
        <v>79</v>
      </c>
      <c r="J751" t="s">
        <v>25</v>
      </c>
      <c r="K751" s="2">
        <v>3.7</v>
      </c>
      <c r="L751" t="s">
        <v>26</v>
      </c>
      <c r="M751" t="s">
        <v>34</v>
      </c>
      <c r="N751" t="s">
        <v>55</v>
      </c>
      <c r="O751" t="s">
        <v>26</v>
      </c>
      <c r="P751" t="s">
        <v>26</v>
      </c>
      <c r="Q751" s="3">
        <v>11</v>
      </c>
      <c r="R751" t="s">
        <v>59</v>
      </c>
      <c r="S751" t="s">
        <v>60</v>
      </c>
    </row>
    <row r="752" spans="1:19" x14ac:dyDescent="0.25">
      <c r="A752">
        <v>751</v>
      </c>
      <c r="B752">
        <v>25</v>
      </c>
      <c r="C752" t="s">
        <v>19</v>
      </c>
      <c r="D752" t="s">
        <v>113</v>
      </c>
      <c r="E752" t="s">
        <v>21</v>
      </c>
      <c r="F752" s="1">
        <v>95</v>
      </c>
      <c r="G752" t="s">
        <v>128</v>
      </c>
      <c r="H752" t="s">
        <v>23</v>
      </c>
      <c r="I752" t="s">
        <v>84</v>
      </c>
      <c r="J752" t="s">
        <v>58</v>
      </c>
      <c r="K752" s="2">
        <v>3.4</v>
      </c>
      <c r="L752" t="s">
        <v>26</v>
      </c>
      <c r="M752" t="s">
        <v>34</v>
      </c>
      <c r="N752" t="s">
        <v>40</v>
      </c>
      <c r="O752" t="s">
        <v>26</v>
      </c>
      <c r="P752" t="s">
        <v>26</v>
      </c>
      <c r="Q752" s="3">
        <v>5</v>
      </c>
      <c r="R752" t="s">
        <v>29</v>
      </c>
      <c r="S752" t="s">
        <v>50</v>
      </c>
    </row>
    <row r="753" spans="1:19" x14ac:dyDescent="0.25">
      <c r="A753">
        <v>752</v>
      </c>
      <c r="B753">
        <v>65</v>
      </c>
      <c r="C753" t="s">
        <v>19</v>
      </c>
      <c r="D753" t="s">
        <v>143</v>
      </c>
      <c r="E753" t="s">
        <v>69</v>
      </c>
      <c r="F753" s="1">
        <v>72</v>
      </c>
      <c r="G753" t="s">
        <v>123</v>
      </c>
      <c r="H753" t="s">
        <v>23</v>
      </c>
      <c r="I753" t="s">
        <v>126</v>
      </c>
      <c r="J753" t="s">
        <v>58</v>
      </c>
      <c r="K753" s="2">
        <v>4.8</v>
      </c>
      <c r="L753" t="s">
        <v>26</v>
      </c>
      <c r="M753" t="s">
        <v>27</v>
      </c>
      <c r="N753" t="s">
        <v>40</v>
      </c>
      <c r="O753" t="s">
        <v>26</v>
      </c>
      <c r="P753" t="s">
        <v>26</v>
      </c>
      <c r="Q753" s="3">
        <v>1</v>
      </c>
      <c r="R753" t="s">
        <v>27</v>
      </c>
      <c r="S753" t="s">
        <v>88</v>
      </c>
    </row>
    <row r="754" spans="1:19" x14ac:dyDescent="0.25">
      <c r="A754">
        <v>753</v>
      </c>
      <c r="B754">
        <v>39</v>
      </c>
      <c r="C754" t="s">
        <v>19</v>
      </c>
      <c r="D754" t="s">
        <v>119</v>
      </c>
      <c r="E754" t="s">
        <v>69</v>
      </c>
      <c r="F754" s="1">
        <v>85</v>
      </c>
      <c r="G754" t="s">
        <v>123</v>
      </c>
      <c r="H754" t="s">
        <v>23</v>
      </c>
      <c r="I754" t="s">
        <v>134</v>
      </c>
      <c r="J754" t="s">
        <v>58</v>
      </c>
      <c r="K754" s="2">
        <v>4.2</v>
      </c>
      <c r="L754" t="s">
        <v>26</v>
      </c>
      <c r="M754" t="s">
        <v>35</v>
      </c>
      <c r="N754" t="s">
        <v>72</v>
      </c>
      <c r="O754" t="s">
        <v>26</v>
      </c>
      <c r="P754" t="s">
        <v>26</v>
      </c>
      <c r="Q754" s="3">
        <v>17</v>
      </c>
      <c r="R754" t="s">
        <v>46</v>
      </c>
      <c r="S754" t="s">
        <v>97</v>
      </c>
    </row>
    <row r="755" spans="1:19" x14ac:dyDescent="0.25">
      <c r="A755">
        <v>754</v>
      </c>
      <c r="B755">
        <v>47</v>
      </c>
      <c r="C755" t="s">
        <v>19</v>
      </c>
      <c r="D755" t="s">
        <v>137</v>
      </c>
      <c r="E755" t="s">
        <v>43</v>
      </c>
      <c r="F755" s="1">
        <v>54</v>
      </c>
      <c r="G755" t="s">
        <v>37</v>
      </c>
      <c r="H755" t="s">
        <v>45</v>
      </c>
      <c r="I755" t="s">
        <v>86</v>
      </c>
      <c r="J755" t="s">
        <v>58</v>
      </c>
      <c r="K755" s="2">
        <v>3.4</v>
      </c>
      <c r="L755" t="s">
        <v>26</v>
      </c>
      <c r="M755" t="s">
        <v>27</v>
      </c>
      <c r="N755" t="s">
        <v>76</v>
      </c>
      <c r="O755" t="s">
        <v>26</v>
      </c>
      <c r="P755" t="s">
        <v>26</v>
      </c>
      <c r="Q755" s="3">
        <v>27</v>
      </c>
      <c r="R755" t="s">
        <v>29</v>
      </c>
      <c r="S755" t="s">
        <v>60</v>
      </c>
    </row>
    <row r="756" spans="1:19" x14ac:dyDescent="0.25">
      <c r="A756">
        <v>755</v>
      </c>
      <c r="B756">
        <v>36</v>
      </c>
      <c r="C756" t="s">
        <v>19</v>
      </c>
      <c r="D756" t="s">
        <v>143</v>
      </c>
      <c r="E756" t="s">
        <v>69</v>
      </c>
      <c r="F756" s="1">
        <v>41</v>
      </c>
      <c r="G756" t="s">
        <v>98</v>
      </c>
      <c r="H756" t="s">
        <v>23</v>
      </c>
      <c r="I756" t="s">
        <v>71</v>
      </c>
      <c r="J756" t="s">
        <v>39</v>
      </c>
      <c r="K756" s="2">
        <v>2.9</v>
      </c>
      <c r="L756" t="s">
        <v>26</v>
      </c>
      <c r="M756" t="s">
        <v>35</v>
      </c>
      <c r="N756" t="s">
        <v>76</v>
      </c>
      <c r="O756" t="s">
        <v>26</v>
      </c>
      <c r="P756" t="s">
        <v>26</v>
      </c>
      <c r="Q756" s="3">
        <v>3</v>
      </c>
      <c r="R756" t="s">
        <v>59</v>
      </c>
      <c r="S756" t="s">
        <v>60</v>
      </c>
    </row>
    <row r="757" spans="1:19" x14ac:dyDescent="0.25">
      <c r="A757">
        <v>756</v>
      </c>
      <c r="B757">
        <v>66</v>
      </c>
      <c r="C757" t="s">
        <v>19</v>
      </c>
      <c r="D757" t="s">
        <v>64</v>
      </c>
      <c r="E757" t="s">
        <v>65</v>
      </c>
      <c r="F757" s="1">
        <v>24</v>
      </c>
      <c r="G757" t="s">
        <v>103</v>
      </c>
      <c r="H757" t="s">
        <v>45</v>
      </c>
      <c r="I757" t="s">
        <v>84</v>
      </c>
      <c r="J757" t="s">
        <v>39</v>
      </c>
      <c r="K757" s="2">
        <v>3.3</v>
      </c>
      <c r="L757" t="s">
        <v>26</v>
      </c>
      <c r="M757" t="s">
        <v>29</v>
      </c>
      <c r="N757" t="s">
        <v>40</v>
      </c>
      <c r="O757" t="s">
        <v>26</v>
      </c>
      <c r="P757" t="s">
        <v>26</v>
      </c>
      <c r="Q757" s="3">
        <v>22</v>
      </c>
      <c r="R757" t="s">
        <v>46</v>
      </c>
      <c r="S757" t="s">
        <v>41</v>
      </c>
    </row>
    <row r="758" spans="1:19" x14ac:dyDescent="0.25">
      <c r="A758">
        <v>757</v>
      </c>
      <c r="B758">
        <v>62</v>
      </c>
      <c r="C758" t="s">
        <v>19</v>
      </c>
      <c r="D758" t="s">
        <v>133</v>
      </c>
      <c r="E758" t="s">
        <v>69</v>
      </c>
      <c r="F758" s="1">
        <v>99</v>
      </c>
      <c r="G758" t="s">
        <v>57</v>
      </c>
      <c r="H758" t="s">
        <v>38</v>
      </c>
      <c r="I758" t="s">
        <v>121</v>
      </c>
      <c r="J758" t="s">
        <v>54</v>
      </c>
      <c r="K758" s="2">
        <v>4.8</v>
      </c>
      <c r="L758" t="s">
        <v>26</v>
      </c>
      <c r="M758" t="s">
        <v>35</v>
      </c>
      <c r="N758" t="s">
        <v>55</v>
      </c>
      <c r="O758" t="s">
        <v>26</v>
      </c>
      <c r="P758" t="s">
        <v>26</v>
      </c>
      <c r="Q758" s="3">
        <v>24</v>
      </c>
      <c r="R758" t="s">
        <v>35</v>
      </c>
      <c r="S758" t="s">
        <v>30</v>
      </c>
    </row>
    <row r="759" spans="1:19" x14ac:dyDescent="0.25">
      <c r="A759">
        <v>758</v>
      </c>
      <c r="B759">
        <v>41</v>
      </c>
      <c r="C759" t="s">
        <v>19</v>
      </c>
      <c r="D759" t="s">
        <v>104</v>
      </c>
      <c r="E759" t="s">
        <v>21</v>
      </c>
      <c r="F759" s="1">
        <v>32</v>
      </c>
      <c r="G759" t="s">
        <v>148</v>
      </c>
      <c r="H759" t="s">
        <v>45</v>
      </c>
      <c r="I759" t="s">
        <v>108</v>
      </c>
      <c r="J759" t="s">
        <v>58</v>
      </c>
      <c r="K759" s="2">
        <v>3.8</v>
      </c>
      <c r="L759" t="s">
        <v>26</v>
      </c>
      <c r="M759" t="s">
        <v>59</v>
      </c>
      <c r="N759" t="s">
        <v>76</v>
      </c>
      <c r="O759" t="s">
        <v>26</v>
      </c>
      <c r="P759" t="s">
        <v>26</v>
      </c>
      <c r="Q759" s="3">
        <v>18</v>
      </c>
      <c r="R759" t="s">
        <v>59</v>
      </c>
      <c r="S759" t="s">
        <v>60</v>
      </c>
    </row>
    <row r="760" spans="1:19" x14ac:dyDescent="0.25">
      <c r="A760">
        <v>759</v>
      </c>
      <c r="B760">
        <v>66</v>
      </c>
      <c r="C760" t="s">
        <v>19</v>
      </c>
      <c r="D760" t="s">
        <v>73</v>
      </c>
      <c r="E760" t="s">
        <v>43</v>
      </c>
      <c r="F760" s="1">
        <v>71</v>
      </c>
      <c r="G760" t="s">
        <v>37</v>
      </c>
      <c r="H760" t="s">
        <v>23</v>
      </c>
      <c r="I760" t="s">
        <v>100</v>
      </c>
      <c r="J760" t="s">
        <v>54</v>
      </c>
      <c r="K760" s="2">
        <v>4.5999999999999996</v>
      </c>
      <c r="L760" t="s">
        <v>26</v>
      </c>
      <c r="M760" t="s">
        <v>34</v>
      </c>
      <c r="N760" t="s">
        <v>72</v>
      </c>
      <c r="O760" t="s">
        <v>26</v>
      </c>
      <c r="P760" t="s">
        <v>26</v>
      </c>
      <c r="Q760" s="3">
        <v>39</v>
      </c>
      <c r="R760" t="s">
        <v>34</v>
      </c>
      <c r="S760" t="s">
        <v>97</v>
      </c>
    </row>
    <row r="761" spans="1:19" x14ac:dyDescent="0.25">
      <c r="A761">
        <v>760</v>
      </c>
      <c r="B761">
        <v>51</v>
      </c>
      <c r="C761" t="s">
        <v>19</v>
      </c>
      <c r="D761" t="s">
        <v>82</v>
      </c>
      <c r="E761" t="s">
        <v>21</v>
      </c>
      <c r="F761" s="1">
        <v>49</v>
      </c>
      <c r="G761" t="s">
        <v>44</v>
      </c>
      <c r="H761" t="s">
        <v>92</v>
      </c>
      <c r="I761" t="s">
        <v>96</v>
      </c>
      <c r="J761" t="s">
        <v>25</v>
      </c>
      <c r="K761" s="2">
        <v>2.6</v>
      </c>
      <c r="L761" t="s">
        <v>26</v>
      </c>
      <c r="M761" t="s">
        <v>34</v>
      </c>
      <c r="N761" t="s">
        <v>47</v>
      </c>
      <c r="O761" t="s">
        <v>26</v>
      </c>
      <c r="P761" t="s">
        <v>26</v>
      </c>
      <c r="Q761" s="3">
        <v>25</v>
      </c>
      <c r="R761" t="s">
        <v>27</v>
      </c>
      <c r="S761" t="s">
        <v>30</v>
      </c>
    </row>
    <row r="762" spans="1:19" x14ac:dyDescent="0.25">
      <c r="A762">
        <v>761</v>
      </c>
      <c r="B762">
        <v>33</v>
      </c>
      <c r="C762" t="s">
        <v>19</v>
      </c>
      <c r="D762" t="s">
        <v>143</v>
      </c>
      <c r="E762" t="s">
        <v>69</v>
      </c>
      <c r="F762" s="1">
        <v>50</v>
      </c>
      <c r="G762" t="s">
        <v>148</v>
      </c>
      <c r="H762" t="s">
        <v>92</v>
      </c>
      <c r="I762" t="s">
        <v>84</v>
      </c>
      <c r="J762" t="s">
        <v>58</v>
      </c>
      <c r="K762" s="2">
        <v>3.4</v>
      </c>
      <c r="L762" t="s">
        <v>26</v>
      </c>
      <c r="M762" t="s">
        <v>27</v>
      </c>
      <c r="N762" t="s">
        <v>40</v>
      </c>
      <c r="O762" t="s">
        <v>26</v>
      </c>
      <c r="P762" t="s">
        <v>26</v>
      </c>
      <c r="Q762" s="3">
        <v>6</v>
      </c>
      <c r="R762" t="s">
        <v>35</v>
      </c>
      <c r="S762" t="s">
        <v>50</v>
      </c>
    </row>
    <row r="763" spans="1:19" x14ac:dyDescent="0.25">
      <c r="A763">
        <v>762</v>
      </c>
      <c r="B763">
        <v>57</v>
      </c>
      <c r="C763" t="s">
        <v>19</v>
      </c>
      <c r="D763" t="s">
        <v>106</v>
      </c>
      <c r="E763" t="s">
        <v>69</v>
      </c>
      <c r="F763" s="1">
        <v>91</v>
      </c>
      <c r="G763" t="s">
        <v>107</v>
      </c>
      <c r="H763" t="s">
        <v>23</v>
      </c>
      <c r="I763" t="s">
        <v>134</v>
      </c>
      <c r="J763" t="s">
        <v>58</v>
      </c>
      <c r="K763" s="2">
        <v>4.2</v>
      </c>
      <c r="L763" t="s">
        <v>26</v>
      </c>
      <c r="M763" t="s">
        <v>27</v>
      </c>
      <c r="N763" t="s">
        <v>28</v>
      </c>
      <c r="O763" t="s">
        <v>26</v>
      </c>
      <c r="P763" t="s">
        <v>26</v>
      </c>
      <c r="Q763" s="3">
        <v>26</v>
      </c>
      <c r="R763" t="s">
        <v>34</v>
      </c>
      <c r="S763" t="s">
        <v>41</v>
      </c>
    </row>
    <row r="764" spans="1:19" x14ac:dyDescent="0.25">
      <c r="A764">
        <v>763</v>
      </c>
      <c r="B764">
        <v>45</v>
      </c>
      <c r="C764" t="s">
        <v>19</v>
      </c>
      <c r="D764" t="s">
        <v>133</v>
      </c>
      <c r="E764" t="s">
        <v>69</v>
      </c>
      <c r="F764" s="1">
        <v>46</v>
      </c>
      <c r="G764" t="s">
        <v>130</v>
      </c>
      <c r="H764" t="s">
        <v>45</v>
      </c>
      <c r="I764" t="s">
        <v>71</v>
      </c>
      <c r="J764" t="s">
        <v>58</v>
      </c>
      <c r="K764" s="2">
        <v>3.9</v>
      </c>
      <c r="L764" t="s">
        <v>26</v>
      </c>
      <c r="M764" t="s">
        <v>27</v>
      </c>
      <c r="N764" t="s">
        <v>55</v>
      </c>
      <c r="O764" t="s">
        <v>26</v>
      </c>
      <c r="P764" t="s">
        <v>26</v>
      </c>
      <c r="Q764" s="3">
        <v>43</v>
      </c>
      <c r="R764" t="s">
        <v>59</v>
      </c>
      <c r="S764" t="s">
        <v>30</v>
      </c>
    </row>
    <row r="765" spans="1:19" x14ac:dyDescent="0.25">
      <c r="A765">
        <v>764</v>
      </c>
      <c r="B765">
        <v>61</v>
      </c>
      <c r="C765" t="s">
        <v>19</v>
      </c>
      <c r="D765" t="s">
        <v>31</v>
      </c>
      <c r="E765" t="s">
        <v>21</v>
      </c>
      <c r="F765" s="1">
        <v>50</v>
      </c>
      <c r="G765" t="s">
        <v>98</v>
      </c>
      <c r="H765" t="s">
        <v>45</v>
      </c>
      <c r="I765" t="s">
        <v>110</v>
      </c>
      <c r="J765" t="s">
        <v>39</v>
      </c>
      <c r="K765" s="2">
        <v>2.9</v>
      </c>
      <c r="L765" t="s">
        <v>26</v>
      </c>
      <c r="M765" t="s">
        <v>59</v>
      </c>
      <c r="N765" t="s">
        <v>72</v>
      </c>
      <c r="O765" t="s">
        <v>26</v>
      </c>
      <c r="P765" t="s">
        <v>26</v>
      </c>
      <c r="Q765" s="3">
        <v>6</v>
      </c>
      <c r="R765" t="s">
        <v>27</v>
      </c>
      <c r="S765" t="s">
        <v>88</v>
      </c>
    </row>
    <row r="766" spans="1:19" x14ac:dyDescent="0.25">
      <c r="A766">
        <v>765</v>
      </c>
      <c r="B766">
        <v>55</v>
      </c>
      <c r="C766" t="s">
        <v>19</v>
      </c>
      <c r="D766" t="s">
        <v>87</v>
      </c>
      <c r="E766" t="s">
        <v>21</v>
      </c>
      <c r="F766" s="1">
        <v>39</v>
      </c>
      <c r="G766" t="s">
        <v>141</v>
      </c>
      <c r="H766" t="s">
        <v>92</v>
      </c>
      <c r="I766" t="s">
        <v>67</v>
      </c>
      <c r="J766" t="s">
        <v>58</v>
      </c>
      <c r="K766" s="2">
        <v>4.2</v>
      </c>
      <c r="L766" t="s">
        <v>26</v>
      </c>
      <c r="M766" t="s">
        <v>34</v>
      </c>
      <c r="N766" t="s">
        <v>40</v>
      </c>
      <c r="O766" t="s">
        <v>26</v>
      </c>
      <c r="P766" t="s">
        <v>26</v>
      </c>
      <c r="Q766" s="3">
        <v>6</v>
      </c>
      <c r="R766" t="s">
        <v>59</v>
      </c>
      <c r="S766" t="s">
        <v>60</v>
      </c>
    </row>
    <row r="767" spans="1:19" x14ac:dyDescent="0.25">
      <c r="A767">
        <v>766</v>
      </c>
      <c r="B767">
        <v>54</v>
      </c>
      <c r="C767" t="s">
        <v>19</v>
      </c>
      <c r="D767" t="s">
        <v>51</v>
      </c>
      <c r="E767" t="s">
        <v>43</v>
      </c>
      <c r="F767" s="1">
        <v>99</v>
      </c>
      <c r="G767" t="s">
        <v>120</v>
      </c>
      <c r="H767" t="s">
        <v>45</v>
      </c>
      <c r="I767" t="s">
        <v>71</v>
      </c>
      <c r="J767" t="s">
        <v>54</v>
      </c>
      <c r="K767" s="2">
        <v>3</v>
      </c>
      <c r="L767" t="s">
        <v>26</v>
      </c>
      <c r="M767" t="s">
        <v>34</v>
      </c>
      <c r="N767" t="s">
        <v>76</v>
      </c>
      <c r="O767" t="s">
        <v>26</v>
      </c>
      <c r="P767" t="s">
        <v>26</v>
      </c>
      <c r="Q767" s="3">
        <v>13</v>
      </c>
      <c r="R767" t="s">
        <v>35</v>
      </c>
      <c r="S767" t="s">
        <v>60</v>
      </c>
    </row>
    <row r="768" spans="1:19" x14ac:dyDescent="0.25">
      <c r="A768">
        <v>767</v>
      </c>
      <c r="B768">
        <v>57</v>
      </c>
      <c r="C768" t="s">
        <v>19</v>
      </c>
      <c r="D768" t="s">
        <v>143</v>
      </c>
      <c r="E768" t="s">
        <v>69</v>
      </c>
      <c r="F768" s="1">
        <v>48</v>
      </c>
      <c r="G768" t="s">
        <v>107</v>
      </c>
      <c r="H768" t="s">
        <v>45</v>
      </c>
      <c r="I768" t="s">
        <v>109</v>
      </c>
      <c r="J768" t="s">
        <v>25</v>
      </c>
      <c r="K768" s="2">
        <v>3.6</v>
      </c>
      <c r="L768" t="s">
        <v>26</v>
      </c>
      <c r="M768" t="s">
        <v>46</v>
      </c>
      <c r="N768" t="s">
        <v>47</v>
      </c>
      <c r="O768" t="s">
        <v>26</v>
      </c>
      <c r="P768" t="s">
        <v>26</v>
      </c>
      <c r="Q768" s="3">
        <v>13</v>
      </c>
      <c r="R768" t="s">
        <v>46</v>
      </c>
      <c r="S768" t="s">
        <v>88</v>
      </c>
    </row>
    <row r="769" spans="1:19" x14ac:dyDescent="0.25">
      <c r="A769">
        <v>768</v>
      </c>
      <c r="B769">
        <v>27</v>
      </c>
      <c r="C769" t="s">
        <v>19</v>
      </c>
      <c r="D769" t="s">
        <v>64</v>
      </c>
      <c r="E769" t="s">
        <v>65</v>
      </c>
      <c r="F769" s="1">
        <v>77</v>
      </c>
      <c r="G769" t="s">
        <v>138</v>
      </c>
      <c r="H769" t="s">
        <v>45</v>
      </c>
      <c r="I769" t="s">
        <v>110</v>
      </c>
      <c r="J769" t="s">
        <v>58</v>
      </c>
      <c r="K769" s="2">
        <v>2.5</v>
      </c>
      <c r="L769" t="s">
        <v>26</v>
      </c>
      <c r="M769" t="s">
        <v>35</v>
      </c>
      <c r="N769" t="s">
        <v>47</v>
      </c>
      <c r="O769" t="s">
        <v>26</v>
      </c>
      <c r="P769" t="s">
        <v>26</v>
      </c>
      <c r="Q769" s="3">
        <v>11</v>
      </c>
      <c r="R769" t="s">
        <v>35</v>
      </c>
      <c r="S769" t="s">
        <v>50</v>
      </c>
    </row>
    <row r="770" spans="1:19" x14ac:dyDescent="0.25">
      <c r="A770">
        <v>769</v>
      </c>
      <c r="B770">
        <v>64</v>
      </c>
      <c r="C770" t="s">
        <v>19</v>
      </c>
      <c r="D770" t="s">
        <v>132</v>
      </c>
      <c r="E770" t="s">
        <v>69</v>
      </c>
      <c r="F770" s="1">
        <v>95</v>
      </c>
      <c r="G770" t="s">
        <v>115</v>
      </c>
      <c r="H770" t="s">
        <v>92</v>
      </c>
      <c r="I770" t="s">
        <v>108</v>
      </c>
      <c r="J770" t="s">
        <v>39</v>
      </c>
      <c r="K770" s="2">
        <v>2.6</v>
      </c>
      <c r="L770" t="s">
        <v>26</v>
      </c>
      <c r="M770" t="s">
        <v>46</v>
      </c>
      <c r="N770" t="s">
        <v>28</v>
      </c>
      <c r="O770" t="s">
        <v>26</v>
      </c>
      <c r="P770" t="s">
        <v>26</v>
      </c>
      <c r="Q770" s="3">
        <v>45</v>
      </c>
      <c r="R770" t="s">
        <v>29</v>
      </c>
      <c r="S770" t="s">
        <v>41</v>
      </c>
    </row>
    <row r="771" spans="1:19" x14ac:dyDescent="0.25">
      <c r="A771">
        <v>770</v>
      </c>
      <c r="B771">
        <v>52</v>
      </c>
      <c r="C771" t="s">
        <v>19</v>
      </c>
      <c r="D771" t="s">
        <v>125</v>
      </c>
      <c r="E771" t="s">
        <v>21</v>
      </c>
      <c r="F771" s="1">
        <v>100</v>
      </c>
      <c r="G771" t="s">
        <v>80</v>
      </c>
      <c r="H771" t="s">
        <v>45</v>
      </c>
      <c r="I771" t="s">
        <v>67</v>
      </c>
      <c r="J771" t="s">
        <v>39</v>
      </c>
      <c r="K771" s="2">
        <v>4.3</v>
      </c>
      <c r="L771" t="s">
        <v>26</v>
      </c>
      <c r="M771" t="s">
        <v>27</v>
      </c>
      <c r="N771" t="s">
        <v>76</v>
      </c>
      <c r="O771" t="s">
        <v>26</v>
      </c>
      <c r="P771" t="s">
        <v>26</v>
      </c>
      <c r="Q771" s="3">
        <v>8</v>
      </c>
      <c r="R771" t="s">
        <v>46</v>
      </c>
      <c r="S771" t="s">
        <v>88</v>
      </c>
    </row>
    <row r="772" spans="1:19" x14ac:dyDescent="0.25">
      <c r="A772">
        <v>771</v>
      </c>
      <c r="B772">
        <v>19</v>
      </c>
      <c r="C772" t="s">
        <v>19</v>
      </c>
      <c r="D772" t="s">
        <v>51</v>
      </c>
      <c r="E772" t="s">
        <v>43</v>
      </c>
      <c r="F772" s="1">
        <v>54</v>
      </c>
      <c r="G772" t="s">
        <v>129</v>
      </c>
      <c r="H772" t="s">
        <v>45</v>
      </c>
      <c r="I772" t="s">
        <v>24</v>
      </c>
      <c r="J772" t="s">
        <v>39</v>
      </c>
      <c r="K772" s="2">
        <v>3.3</v>
      </c>
      <c r="L772" t="s">
        <v>26</v>
      </c>
      <c r="M772" t="s">
        <v>29</v>
      </c>
      <c r="N772" t="s">
        <v>28</v>
      </c>
      <c r="O772" t="s">
        <v>26</v>
      </c>
      <c r="P772" t="s">
        <v>26</v>
      </c>
      <c r="Q772" s="3">
        <v>8</v>
      </c>
      <c r="R772" t="s">
        <v>27</v>
      </c>
      <c r="S772" t="s">
        <v>50</v>
      </c>
    </row>
    <row r="773" spans="1:19" x14ac:dyDescent="0.25">
      <c r="A773">
        <v>772</v>
      </c>
      <c r="B773">
        <v>22</v>
      </c>
      <c r="C773" t="s">
        <v>19</v>
      </c>
      <c r="D773" t="s">
        <v>31</v>
      </c>
      <c r="E773" t="s">
        <v>21</v>
      </c>
      <c r="F773" s="1">
        <v>68</v>
      </c>
      <c r="G773" t="s">
        <v>78</v>
      </c>
      <c r="H773" t="s">
        <v>23</v>
      </c>
      <c r="I773" t="s">
        <v>109</v>
      </c>
      <c r="J773" t="s">
        <v>58</v>
      </c>
      <c r="K773" s="2">
        <v>2.6</v>
      </c>
      <c r="L773" t="s">
        <v>26</v>
      </c>
      <c r="M773" t="s">
        <v>27</v>
      </c>
      <c r="N773" t="s">
        <v>47</v>
      </c>
      <c r="O773" t="s">
        <v>26</v>
      </c>
      <c r="P773" t="s">
        <v>26</v>
      </c>
      <c r="Q773" s="3">
        <v>34</v>
      </c>
      <c r="R773" t="s">
        <v>34</v>
      </c>
      <c r="S773" t="s">
        <v>30</v>
      </c>
    </row>
    <row r="774" spans="1:19" x14ac:dyDescent="0.25">
      <c r="A774">
        <v>773</v>
      </c>
      <c r="B774">
        <v>18</v>
      </c>
      <c r="C774" t="s">
        <v>19</v>
      </c>
      <c r="D774" t="s">
        <v>36</v>
      </c>
      <c r="E774" t="s">
        <v>21</v>
      </c>
      <c r="F774" s="1">
        <v>22</v>
      </c>
      <c r="G774" t="s">
        <v>115</v>
      </c>
      <c r="H774" t="s">
        <v>23</v>
      </c>
      <c r="I774" t="s">
        <v>86</v>
      </c>
      <c r="J774" t="s">
        <v>58</v>
      </c>
      <c r="K774" s="2">
        <v>3.6</v>
      </c>
      <c r="L774" t="s">
        <v>26</v>
      </c>
      <c r="M774" t="s">
        <v>35</v>
      </c>
      <c r="N774" t="s">
        <v>40</v>
      </c>
      <c r="O774" t="s">
        <v>26</v>
      </c>
      <c r="P774" t="s">
        <v>26</v>
      </c>
      <c r="Q774" s="3">
        <v>40</v>
      </c>
      <c r="R774" t="s">
        <v>59</v>
      </c>
      <c r="S774" t="s">
        <v>77</v>
      </c>
    </row>
    <row r="775" spans="1:19" x14ac:dyDescent="0.25">
      <c r="A775">
        <v>774</v>
      </c>
      <c r="B775">
        <v>29</v>
      </c>
      <c r="C775" t="s">
        <v>19</v>
      </c>
      <c r="D775" t="s">
        <v>124</v>
      </c>
      <c r="E775" t="s">
        <v>69</v>
      </c>
      <c r="F775" s="1">
        <v>84</v>
      </c>
      <c r="G775" t="s">
        <v>99</v>
      </c>
      <c r="H775" t="s">
        <v>23</v>
      </c>
      <c r="I775" t="s">
        <v>126</v>
      </c>
      <c r="J775" t="s">
        <v>25</v>
      </c>
      <c r="K775" s="2">
        <v>2.6</v>
      </c>
      <c r="L775" t="s">
        <v>26</v>
      </c>
      <c r="M775" t="s">
        <v>29</v>
      </c>
      <c r="N775" t="s">
        <v>28</v>
      </c>
      <c r="O775" t="s">
        <v>26</v>
      </c>
      <c r="P775" t="s">
        <v>26</v>
      </c>
      <c r="Q775" s="3">
        <v>14</v>
      </c>
      <c r="R775" t="s">
        <v>59</v>
      </c>
      <c r="S775" t="s">
        <v>77</v>
      </c>
    </row>
    <row r="776" spans="1:19" x14ac:dyDescent="0.25">
      <c r="A776">
        <v>775</v>
      </c>
      <c r="B776">
        <v>42</v>
      </c>
      <c r="C776" t="s">
        <v>19</v>
      </c>
      <c r="D776" t="s">
        <v>124</v>
      </c>
      <c r="E776" t="s">
        <v>69</v>
      </c>
      <c r="F776" s="1">
        <v>46</v>
      </c>
      <c r="G776" t="s">
        <v>107</v>
      </c>
      <c r="H776" t="s">
        <v>45</v>
      </c>
      <c r="I776" t="s">
        <v>134</v>
      </c>
      <c r="J776" t="s">
        <v>54</v>
      </c>
      <c r="K776" s="2">
        <v>3.5</v>
      </c>
      <c r="L776" t="s">
        <v>26</v>
      </c>
      <c r="M776" t="s">
        <v>27</v>
      </c>
      <c r="N776" t="s">
        <v>55</v>
      </c>
      <c r="O776" t="s">
        <v>26</v>
      </c>
      <c r="P776" t="s">
        <v>26</v>
      </c>
      <c r="Q776" s="3">
        <v>11</v>
      </c>
      <c r="R776" t="s">
        <v>27</v>
      </c>
      <c r="S776" t="s">
        <v>60</v>
      </c>
    </row>
    <row r="777" spans="1:19" x14ac:dyDescent="0.25">
      <c r="A777">
        <v>776</v>
      </c>
      <c r="B777">
        <v>49</v>
      </c>
      <c r="C777" t="s">
        <v>19</v>
      </c>
      <c r="D777" t="s">
        <v>68</v>
      </c>
      <c r="E777" t="s">
        <v>69</v>
      </c>
      <c r="F777" s="1">
        <v>53</v>
      </c>
      <c r="G777" t="s">
        <v>22</v>
      </c>
      <c r="H777" t="s">
        <v>38</v>
      </c>
      <c r="I777" t="s">
        <v>81</v>
      </c>
      <c r="J777" t="s">
        <v>25</v>
      </c>
      <c r="K777" s="2">
        <v>3</v>
      </c>
      <c r="L777" t="s">
        <v>26</v>
      </c>
      <c r="M777" t="s">
        <v>46</v>
      </c>
      <c r="N777" t="s">
        <v>76</v>
      </c>
      <c r="O777" t="s">
        <v>26</v>
      </c>
      <c r="P777" t="s">
        <v>26</v>
      </c>
      <c r="Q777" s="3">
        <v>8</v>
      </c>
      <c r="R777" t="s">
        <v>46</v>
      </c>
      <c r="S777" t="s">
        <v>88</v>
      </c>
    </row>
    <row r="778" spans="1:19" x14ac:dyDescent="0.25">
      <c r="A778">
        <v>777</v>
      </c>
      <c r="B778">
        <v>49</v>
      </c>
      <c r="C778" t="s">
        <v>19</v>
      </c>
      <c r="D778" t="s">
        <v>56</v>
      </c>
      <c r="E778" t="s">
        <v>21</v>
      </c>
      <c r="F778" s="1">
        <v>60</v>
      </c>
      <c r="G778" t="s">
        <v>90</v>
      </c>
      <c r="H778" t="s">
        <v>45</v>
      </c>
      <c r="I778" t="s">
        <v>33</v>
      </c>
      <c r="J778" t="s">
        <v>39</v>
      </c>
      <c r="K778" s="2">
        <v>5</v>
      </c>
      <c r="L778" t="s">
        <v>26</v>
      </c>
      <c r="M778" t="s">
        <v>46</v>
      </c>
      <c r="N778" t="s">
        <v>55</v>
      </c>
      <c r="O778" t="s">
        <v>26</v>
      </c>
      <c r="P778" t="s">
        <v>26</v>
      </c>
      <c r="Q778" s="3">
        <v>8</v>
      </c>
      <c r="R778" t="s">
        <v>29</v>
      </c>
      <c r="S778" t="s">
        <v>97</v>
      </c>
    </row>
    <row r="779" spans="1:19" x14ac:dyDescent="0.25">
      <c r="A779">
        <v>778</v>
      </c>
      <c r="B779">
        <v>55</v>
      </c>
      <c r="C779" t="s">
        <v>19</v>
      </c>
      <c r="D779" t="s">
        <v>125</v>
      </c>
      <c r="E779" t="s">
        <v>21</v>
      </c>
      <c r="F779" s="1">
        <v>32</v>
      </c>
      <c r="G779" t="s">
        <v>52</v>
      </c>
      <c r="H779" t="s">
        <v>92</v>
      </c>
      <c r="I779" t="s">
        <v>67</v>
      </c>
      <c r="J779" t="s">
        <v>39</v>
      </c>
      <c r="K779" s="2">
        <v>2.5</v>
      </c>
      <c r="L779" t="s">
        <v>26</v>
      </c>
      <c r="M779" t="s">
        <v>27</v>
      </c>
      <c r="N779" t="s">
        <v>28</v>
      </c>
      <c r="O779" t="s">
        <v>26</v>
      </c>
      <c r="P779" t="s">
        <v>26</v>
      </c>
      <c r="Q779" s="3">
        <v>37</v>
      </c>
      <c r="R779" t="s">
        <v>29</v>
      </c>
      <c r="S779" t="s">
        <v>41</v>
      </c>
    </row>
    <row r="780" spans="1:19" x14ac:dyDescent="0.25">
      <c r="A780">
        <v>779</v>
      </c>
      <c r="B780">
        <v>29</v>
      </c>
      <c r="C780" t="s">
        <v>19</v>
      </c>
      <c r="D780" t="s">
        <v>125</v>
      </c>
      <c r="E780" t="s">
        <v>21</v>
      </c>
      <c r="F780" s="1">
        <v>50</v>
      </c>
      <c r="G780" t="s">
        <v>37</v>
      </c>
      <c r="H780" t="s">
        <v>45</v>
      </c>
      <c r="I780" t="s">
        <v>134</v>
      </c>
      <c r="J780" t="s">
        <v>54</v>
      </c>
      <c r="K780" s="2">
        <v>2.9</v>
      </c>
      <c r="L780" t="s">
        <v>26</v>
      </c>
      <c r="M780" t="s">
        <v>35</v>
      </c>
      <c r="N780" t="s">
        <v>76</v>
      </c>
      <c r="O780" t="s">
        <v>26</v>
      </c>
      <c r="P780" t="s">
        <v>26</v>
      </c>
      <c r="Q780" s="3">
        <v>23</v>
      </c>
      <c r="R780" t="s">
        <v>59</v>
      </c>
      <c r="S780" t="s">
        <v>50</v>
      </c>
    </row>
    <row r="781" spans="1:19" x14ac:dyDescent="0.25">
      <c r="A781">
        <v>780</v>
      </c>
      <c r="B781">
        <v>60</v>
      </c>
      <c r="C781" t="s">
        <v>19</v>
      </c>
      <c r="D781" t="s">
        <v>82</v>
      </c>
      <c r="E781" t="s">
        <v>21</v>
      </c>
      <c r="F781" s="1">
        <v>94</v>
      </c>
      <c r="G781" t="s">
        <v>140</v>
      </c>
      <c r="H781" t="s">
        <v>45</v>
      </c>
      <c r="I781" t="s">
        <v>144</v>
      </c>
      <c r="J781" t="s">
        <v>39</v>
      </c>
      <c r="K781" s="2">
        <v>4.5999999999999996</v>
      </c>
      <c r="L781" t="s">
        <v>26</v>
      </c>
      <c r="M781" t="s">
        <v>27</v>
      </c>
      <c r="N781" t="s">
        <v>28</v>
      </c>
      <c r="O781" t="s">
        <v>26</v>
      </c>
      <c r="P781" t="s">
        <v>26</v>
      </c>
      <c r="Q781" s="3">
        <v>38</v>
      </c>
      <c r="R781" t="s">
        <v>35</v>
      </c>
      <c r="S781" t="s">
        <v>50</v>
      </c>
    </row>
    <row r="782" spans="1:19" x14ac:dyDescent="0.25">
      <c r="A782">
        <v>781</v>
      </c>
      <c r="B782">
        <v>34</v>
      </c>
      <c r="C782" t="s">
        <v>19</v>
      </c>
      <c r="D782" t="s">
        <v>73</v>
      </c>
      <c r="E782" t="s">
        <v>43</v>
      </c>
      <c r="F782" s="1">
        <v>26</v>
      </c>
      <c r="G782" t="s">
        <v>85</v>
      </c>
      <c r="H782" t="s">
        <v>45</v>
      </c>
      <c r="I782" t="s">
        <v>49</v>
      </c>
      <c r="J782" t="s">
        <v>39</v>
      </c>
      <c r="K782" s="2">
        <v>3.6</v>
      </c>
      <c r="L782" t="s">
        <v>26</v>
      </c>
      <c r="M782" t="s">
        <v>29</v>
      </c>
      <c r="N782" t="s">
        <v>40</v>
      </c>
      <c r="O782" t="s">
        <v>26</v>
      </c>
      <c r="P782" t="s">
        <v>26</v>
      </c>
      <c r="Q782" s="3">
        <v>38</v>
      </c>
      <c r="R782" t="s">
        <v>35</v>
      </c>
      <c r="S782" t="s">
        <v>60</v>
      </c>
    </row>
    <row r="783" spans="1:19" x14ac:dyDescent="0.25">
      <c r="A783">
        <v>782</v>
      </c>
      <c r="B783">
        <v>30</v>
      </c>
      <c r="C783" t="s">
        <v>19</v>
      </c>
      <c r="D783" t="s">
        <v>119</v>
      </c>
      <c r="E783" t="s">
        <v>69</v>
      </c>
      <c r="F783" s="1">
        <v>44</v>
      </c>
      <c r="G783" t="s">
        <v>129</v>
      </c>
      <c r="H783" t="s">
        <v>23</v>
      </c>
      <c r="I783" t="s">
        <v>126</v>
      </c>
      <c r="J783" t="s">
        <v>25</v>
      </c>
      <c r="K783" s="2">
        <v>3</v>
      </c>
      <c r="L783" t="s">
        <v>26</v>
      </c>
      <c r="M783" t="s">
        <v>46</v>
      </c>
      <c r="N783" t="s">
        <v>76</v>
      </c>
      <c r="O783" t="s">
        <v>26</v>
      </c>
      <c r="P783" t="s">
        <v>26</v>
      </c>
      <c r="Q783" s="3">
        <v>12</v>
      </c>
      <c r="R783" t="s">
        <v>27</v>
      </c>
      <c r="S783" t="s">
        <v>30</v>
      </c>
    </row>
    <row r="784" spans="1:19" x14ac:dyDescent="0.25">
      <c r="A784">
        <v>783</v>
      </c>
      <c r="B784">
        <v>28</v>
      </c>
      <c r="C784" t="s">
        <v>19</v>
      </c>
      <c r="D784" t="s">
        <v>104</v>
      </c>
      <c r="E784" t="s">
        <v>21</v>
      </c>
      <c r="F784" s="1">
        <v>57</v>
      </c>
      <c r="G784" t="s">
        <v>78</v>
      </c>
      <c r="H784" t="s">
        <v>45</v>
      </c>
      <c r="I784" t="s">
        <v>96</v>
      </c>
      <c r="J784" t="s">
        <v>54</v>
      </c>
      <c r="K784" s="2">
        <v>4.5</v>
      </c>
      <c r="L784" t="s">
        <v>26</v>
      </c>
      <c r="M784" t="s">
        <v>46</v>
      </c>
      <c r="N784" t="s">
        <v>55</v>
      </c>
      <c r="O784" t="s">
        <v>26</v>
      </c>
      <c r="P784" t="s">
        <v>26</v>
      </c>
      <c r="Q784" s="3">
        <v>15</v>
      </c>
      <c r="R784" t="s">
        <v>35</v>
      </c>
      <c r="S784" t="s">
        <v>41</v>
      </c>
    </row>
    <row r="785" spans="1:19" x14ac:dyDescent="0.25">
      <c r="A785">
        <v>784</v>
      </c>
      <c r="B785">
        <v>63</v>
      </c>
      <c r="C785" t="s">
        <v>19</v>
      </c>
      <c r="D785" t="s">
        <v>113</v>
      </c>
      <c r="E785" t="s">
        <v>21</v>
      </c>
      <c r="F785" s="1">
        <v>65</v>
      </c>
      <c r="G785" t="s">
        <v>62</v>
      </c>
      <c r="H785" t="s">
        <v>23</v>
      </c>
      <c r="I785" t="s">
        <v>75</v>
      </c>
      <c r="J785" t="s">
        <v>25</v>
      </c>
      <c r="K785" s="2">
        <v>4.5</v>
      </c>
      <c r="L785" t="s">
        <v>26</v>
      </c>
      <c r="M785" t="s">
        <v>59</v>
      </c>
      <c r="N785" t="s">
        <v>47</v>
      </c>
      <c r="O785" t="s">
        <v>26</v>
      </c>
      <c r="P785" t="s">
        <v>26</v>
      </c>
      <c r="Q785" s="3">
        <v>38</v>
      </c>
      <c r="R785" t="s">
        <v>46</v>
      </c>
      <c r="S785" t="s">
        <v>30</v>
      </c>
    </row>
    <row r="786" spans="1:19" x14ac:dyDescent="0.25">
      <c r="A786">
        <v>785</v>
      </c>
      <c r="B786">
        <v>31</v>
      </c>
      <c r="C786" t="s">
        <v>19</v>
      </c>
      <c r="D786" t="s">
        <v>36</v>
      </c>
      <c r="E786" t="s">
        <v>21</v>
      </c>
      <c r="F786" s="1">
        <v>72</v>
      </c>
      <c r="G786" t="s">
        <v>90</v>
      </c>
      <c r="H786" t="s">
        <v>45</v>
      </c>
      <c r="I786" t="s">
        <v>100</v>
      </c>
      <c r="J786" t="s">
        <v>25</v>
      </c>
      <c r="K786" s="2">
        <v>3.2</v>
      </c>
      <c r="L786" t="s">
        <v>26</v>
      </c>
      <c r="M786" t="s">
        <v>59</v>
      </c>
      <c r="N786" t="s">
        <v>76</v>
      </c>
      <c r="O786" t="s">
        <v>26</v>
      </c>
      <c r="P786" t="s">
        <v>26</v>
      </c>
      <c r="Q786" s="3">
        <v>41</v>
      </c>
      <c r="R786" t="s">
        <v>34</v>
      </c>
      <c r="S786" t="s">
        <v>97</v>
      </c>
    </row>
    <row r="787" spans="1:19" x14ac:dyDescent="0.25">
      <c r="A787">
        <v>786</v>
      </c>
      <c r="B787">
        <v>46</v>
      </c>
      <c r="C787" t="s">
        <v>19</v>
      </c>
      <c r="D787" t="s">
        <v>61</v>
      </c>
      <c r="E787" t="s">
        <v>21</v>
      </c>
      <c r="F787" s="1">
        <v>62</v>
      </c>
      <c r="G787" t="s">
        <v>62</v>
      </c>
      <c r="H787" t="s">
        <v>38</v>
      </c>
      <c r="I787" t="s">
        <v>75</v>
      </c>
      <c r="J787" t="s">
        <v>39</v>
      </c>
      <c r="K787" s="2">
        <v>4</v>
      </c>
      <c r="L787" t="s">
        <v>26</v>
      </c>
      <c r="M787" t="s">
        <v>34</v>
      </c>
      <c r="N787" t="s">
        <v>47</v>
      </c>
      <c r="O787" t="s">
        <v>26</v>
      </c>
      <c r="P787" t="s">
        <v>26</v>
      </c>
      <c r="Q787" s="3">
        <v>37</v>
      </c>
      <c r="R787" t="s">
        <v>46</v>
      </c>
      <c r="S787" t="s">
        <v>30</v>
      </c>
    </row>
    <row r="788" spans="1:19" x14ac:dyDescent="0.25">
      <c r="A788">
        <v>787</v>
      </c>
      <c r="B788">
        <v>70</v>
      </c>
      <c r="C788" t="s">
        <v>19</v>
      </c>
      <c r="D788" t="s">
        <v>124</v>
      </c>
      <c r="E788" t="s">
        <v>69</v>
      </c>
      <c r="F788" s="1">
        <v>21</v>
      </c>
      <c r="G788" t="s">
        <v>116</v>
      </c>
      <c r="H788" t="s">
        <v>38</v>
      </c>
      <c r="I788" t="s">
        <v>86</v>
      </c>
      <c r="J788" t="s">
        <v>25</v>
      </c>
      <c r="K788" s="2">
        <v>4.8</v>
      </c>
      <c r="L788" t="s">
        <v>26</v>
      </c>
      <c r="M788" t="s">
        <v>27</v>
      </c>
      <c r="N788" t="s">
        <v>28</v>
      </c>
      <c r="O788" t="s">
        <v>26</v>
      </c>
      <c r="P788" t="s">
        <v>26</v>
      </c>
      <c r="Q788" s="3">
        <v>16</v>
      </c>
      <c r="R788" t="s">
        <v>34</v>
      </c>
      <c r="S788" t="s">
        <v>97</v>
      </c>
    </row>
    <row r="789" spans="1:19" x14ac:dyDescent="0.25">
      <c r="A789">
        <v>788</v>
      </c>
      <c r="B789">
        <v>53</v>
      </c>
      <c r="C789" t="s">
        <v>19</v>
      </c>
      <c r="D789" t="s">
        <v>68</v>
      </c>
      <c r="E789" t="s">
        <v>69</v>
      </c>
      <c r="F789" s="1">
        <v>85</v>
      </c>
      <c r="G789" t="s">
        <v>151</v>
      </c>
      <c r="H789" t="s">
        <v>38</v>
      </c>
      <c r="I789" t="s">
        <v>96</v>
      </c>
      <c r="J789" t="s">
        <v>39</v>
      </c>
      <c r="K789" s="2">
        <v>3.7</v>
      </c>
      <c r="L789" t="s">
        <v>26</v>
      </c>
      <c r="M789" t="s">
        <v>34</v>
      </c>
      <c r="N789" t="s">
        <v>40</v>
      </c>
      <c r="O789" t="s">
        <v>26</v>
      </c>
      <c r="P789" t="s">
        <v>26</v>
      </c>
      <c r="Q789" s="3">
        <v>25</v>
      </c>
      <c r="R789" t="s">
        <v>29</v>
      </c>
      <c r="S789" t="s">
        <v>41</v>
      </c>
    </row>
    <row r="790" spans="1:19" x14ac:dyDescent="0.25">
      <c r="A790">
        <v>789</v>
      </c>
      <c r="B790">
        <v>50</v>
      </c>
      <c r="C790" t="s">
        <v>19</v>
      </c>
      <c r="D790" t="s">
        <v>95</v>
      </c>
      <c r="E790" t="s">
        <v>21</v>
      </c>
      <c r="F790" s="1">
        <v>51</v>
      </c>
      <c r="G790" t="s">
        <v>44</v>
      </c>
      <c r="H790" t="s">
        <v>92</v>
      </c>
      <c r="I790" t="s">
        <v>134</v>
      </c>
      <c r="J790" t="s">
        <v>54</v>
      </c>
      <c r="K790" s="2">
        <v>3.8</v>
      </c>
      <c r="L790" t="s">
        <v>26</v>
      </c>
      <c r="M790" t="s">
        <v>29</v>
      </c>
      <c r="N790" t="s">
        <v>76</v>
      </c>
      <c r="O790" t="s">
        <v>26</v>
      </c>
      <c r="P790" t="s">
        <v>26</v>
      </c>
      <c r="Q790" s="3">
        <v>18</v>
      </c>
      <c r="R790" t="s">
        <v>34</v>
      </c>
      <c r="S790" t="s">
        <v>60</v>
      </c>
    </row>
    <row r="791" spans="1:19" x14ac:dyDescent="0.25">
      <c r="A791">
        <v>790</v>
      </c>
      <c r="B791">
        <v>33</v>
      </c>
      <c r="C791" t="s">
        <v>19</v>
      </c>
      <c r="D791" t="s">
        <v>68</v>
      </c>
      <c r="E791" t="s">
        <v>69</v>
      </c>
      <c r="F791" s="1">
        <v>84</v>
      </c>
      <c r="G791" t="s">
        <v>135</v>
      </c>
      <c r="H791" t="s">
        <v>38</v>
      </c>
      <c r="I791" t="s">
        <v>75</v>
      </c>
      <c r="J791" t="s">
        <v>58</v>
      </c>
      <c r="K791" s="2">
        <v>2.7</v>
      </c>
      <c r="L791" t="s">
        <v>26</v>
      </c>
      <c r="M791" t="s">
        <v>29</v>
      </c>
      <c r="N791" t="s">
        <v>55</v>
      </c>
      <c r="O791" t="s">
        <v>26</v>
      </c>
      <c r="P791" t="s">
        <v>26</v>
      </c>
      <c r="Q791" s="3">
        <v>4</v>
      </c>
      <c r="R791" t="s">
        <v>27</v>
      </c>
      <c r="S791" t="s">
        <v>77</v>
      </c>
    </row>
    <row r="792" spans="1:19" x14ac:dyDescent="0.25">
      <c r="A792">
        <v>791</v>
      </c>
      <c r="B792">
        <v>22</v>
      </c>
      <c r="C792" t="s">
        <v>19</v>
      </c>
      <c r="D792" t="s">
        <v>31</v>
      </c>
      <c r="E792" t="s">
        <v>21</v>
      </c>
      <c r="F792" s="1">
        <v>37</v>
      </c>
      <c r="G792" t="s">
        <v>62</v>
      </c>
      <c r="H792" t="s">
        <v>45</v>
      </c>
      <c r="I792" t="s">
        <v>126</v>
      </c>
      <c r="J792" t="s">
        <v>54</v>
      </c>
      <c r="K792" s="2">
        <v>4.9000000000000004</v>
      </c>
      <c r="L792" t="s">
        <v>26</v>
      </c>
      <c r="M792" t="s">
        <v>29</v>
      </c>
      <c r="N792" t="s">
        <v>76</v>
      </c>
      <c r="O792" t="s">
        <v>26</v>
      </c>
      <c r="P792" t="s">
        <v>26</v>
      </c>
      <c r="Q792" s="3">
        <v>12</v>
      </c>
      <c r="R792" t="s">
        <v>34</v>
      </c>
      <c r="S792" t="s">
        <v>60</v>
      </c>
    </row>
    <row r="793" spans="1:19" x14ac:dyDescent="0.25">
      <c r="A793">
        <v>792</v>
      </c>
      <c r="B793">
        <v>50</v>
      </c>
      <c r="C793" t="s">
        <v>19</v>
      </c>
      <c r="D793" t="s">
        <v>119</v>
      </c>
      <c r="E793" t="s">
        <v>69</v>
      </c>
      <c r="F793" s="1">
        <v>44</v>
      </c>
      <c r="G793" t="s">
        <v>98</v>
      </c>
      <c r="H793" t="s">
        <v>38</v>
      </c>
      <c r="I793" t="s">
        <v>136</v>
      </c>
      <c r="J793" t="s">
        <v>54</v>
      </c>
      <c r="K793" s="2">
        <v>3.1</v>
      </c>
      <c r="L793" t="s">
        <v>26</v>
      </c>
      <c r="M793" t="s">
        <v>27</v>
      </c>
      <c r="N793" t="s">
        <v>72</v>
      </c>
      <c r="O793" t="s">
        <v>26</v>
      </c>
      <c r="P793" t="s">
        <v>26</v>
      </c>
      <c r="Q793" s="3">
        <v>35</v>
      </c>
      <c r="R793" t="s">
        <v>46</v>
      </c>
      <c r="S793" t="s">
        <v>30</v>
      </c>
    </row>
    <row r="794" spans="1:19" x14ac:dyDescent="0.25">
      <c r="A794">
        <v>793</v>
      </c>
      <c r="B794">
        <v>34</v>
      </c>
      <c r="C794" t="s">
        <v>19</v>
      </c>
      <c r="D794" t="s">
        <v>51</v>
      </c>
      <c r="E794" t="s">
        <v>43</v>
      </c>
      <c r="F794" s="1">
        <v>45</v>
      </c>
      <c r="G794" t="s">
        <v>127</v>
      </c>
      <c r="H794" t="s">
        <v>45</v>
      </c>
      <c r="I794" t="s">
        <v>84</v>
      </c>
      <c r="J794" t="s">
        <v>39</v>
      </c>
      <c r="K794" s="2">
        <v>4.2</v>
      </c>
      <c r="L794" t="s">
        <v>26</v>
      </c>
      <c r="M794" t="s">
        <v>29</v>
      </c>
      <c r="N794" t="s">
        <v>47</v>
      </c>
      <c r="O794" t="s">
        <v>26</v>
      </c>
      <c r="P794" t="s">
        <v>26</v>
      </c>
      <c r="Q794" s="3">
        <v>45</v>
      </c>
      <c r="R794" t="s">
        <v>29</v>
      </c>
      <c r="S794" t="s">
        <v>41</v>
      </c>
    </row>
    <row r="795" spans="1:19" x14ac:dyDescent="0.25">
      <c r="A795">
        <v>794</v>
      </c>
      <c r="B795">
        <v>24</v>
      </c>
      <c r="C795" t="s">
        <v>19</v>
      </c>
      <c r="D795" t="s">
        <v>95</v>
      </c>
      <c r="E795" t="s">
        <v>21</v>
      </c>
      <c r="F795" s="1">
        <v>35</v>
      </c>
      <c r="G795" t="s">
        <v>90</v>
      </c>
      <c r="H795" t="s">
        <v>23</v>
      </c>
      <c r="I795" t="s">
        <v>33</v>
      </c>
      <c r="J795" t="s">
        <v>54</v>
      </c>
      <c r="K795" s="2">
        <v>3.8</v>
      </c>
      <c r="L795" t="s">
        <v>26</v>
      </c>
      <c r="M795" t="s">
        <v>35</v>
      </c>
      <c r="N795" t="s">
        <v>40</v>
      </c>
      <c r="O795" t="s">
        <v>26</v>
      </c>
      <c r="P795" t="s">
        <v>26</v>
      </c>
      <c r="Q795" s="3">
        <v>16</v>
      </c>
      <c r="R795" t="s">
        <v>27</v>
      </c>
      <c r="S795" t="s">
        <v>88</v>
      </c>
    </row>
    <row r="796" spans="1:19" x14ac:dyDescent="0.25">
      <c r="A796">
        <v>795</v>
      </c>
      <c r="B796">
        <v>69</v>
      </c>
      <c r="C796" t="s">
        <v>19</v>
      </c>
      <c r="D796" t="s">
        <v>132</v>
      </c>
      <c r="E796" t="s">
        <v>69</v>
      </c>
      <c r="F796" s="1">
        <v>50</v>
      </c>
      <c r="G796" t="s">
        <v>22</v>
      </c>
      <c r="H796" t="s">
        <v>92</v>
      </c>
      <c r="I796" t="s">
        <v>134</v>
      </c>
      <c r="J796" t="s">
        <v>25</v>
      </c>
      <c r="K796" s="2">
        <v>4.2</v>
      </c>
      <c r="L796" t="s">
        <v>26</v>
      </c>
      <c r="M796" t="s">
        <v>34</v>
      </c>
      <c r="N796" t="s">
        <v>76</v>
      </c>
      <c r="O796" t="s">
        <v>26</v>
      </c>
      <c r="P796" t="s">
        <v>26</v>
      </c>
      <c r="Q796" s="3">
        <v>10</v>
      </c>
      <c r="R796" t="s">
        <v>59</v>
      </c>
      <c r="S796" t="s">
        <v>30</v>
      </c>
    </row>
    <row r="797" spans="1:19" x14ac:dyDescent="0.25">
      <c r="A797">
        <v>796</v>
      </c>
      <c r="B797">
        <v>39</v>
      </c>
      <c r="C797" t="s">
        <v>19</v>
      </c>
      <c r="D797" t="s">
        <v>42</v>
      </c>
      <c r="E797" t="s">
        <v>43</v>
      </c>
      <c r="F797" s="1">
        <v>26</v>
      </c>
      <c r="G797" t="s">
        <v>85</v>
      </c>
      <c r="H797" t="s">
        <v>45</v>
      </c>
      <c r="I797" t="s">
        <v>118</v>
      </c>
      <c r="J797" t="s">
        <v>54</v>
      </c>
      <c r="K797" s="2">
        <v>4.5999999999999996</v>
      </c>
      <c r="L797" t="s">
        <v>26</v>
      </c>
      <c r="M797" t="s">
        <v>35</v>
      </c>
      <c r="N797" t="s">
        <v>76</v>
      </c>
      <c r="O797" t="s">
        <v>26</v>
      </c>
      <c r="P797" t="s">
        <v>26</v>
      </c>
      <c r="Q797" s="3">
        <v>34</v>
      </c>
      <c r="R797" t="s">
        <v>29</v>
      </c>
      <c r="S797" t="s">
        <v>50</v>
      </c>
    </row>
    <row r="798" spans="1:19" x14ac:dyDescent="0.25">
      <c r="A798">
        <v>797</v>
      </c>
      <c r="B798">
        <v>42</v>
      </c>
      <c r="C798" t="s">
        <v>19</v>
      </c>
      <c r="D798" t="s">
        <v>125</v>
      </c>
      <c r="E798" t="s">
        <v>21</v>
      </c>
      <c r="F798" s="1">
        <v>78</v>
      </c>
      <c r="G798" t="s">
        <v>117</v>
      </c>
      <c r="H798" t="s">
        <v>92</v>
      </c>
      <c r="I798" t="s">
        <v>94</v>
      </c>
      <c r="J798" t="s">
        <v>58</v>
      </c>
      <c r="K798" s="2">
        <v>4</v>
      </c>
      <c r="L798" t="s">
        <v>26</v>
      </c>
      <c r="M798" t="s">
        <v>59</v>
      </c>
      <c r="N798" t="s">
        <v>72</v>
      </c>
      <c r="O798" t="s">
        <v>26</v>
      </c>
      <c r="P798" t="s">
        <v>26</v>
      </c>
      <c r="Q798" s="3">
        <v>43</v>
      </c>
      <c r="R798" t="s">
        <v>27</v>
      </c>
      <c r="S798" t="s">
        <v>50</v>
      </c>
    </row>
    <row r="799" spans="1:19" x14ac:dyDescent="0.25">
      <c r="A799">
        <v>798</v>
      </c>
      <c r="B799">
        <v>42</v>
      </c>
      <c r="C799" t="s">
        <v>19</v>
      </c>
      <c r="D799" t="s">
        <v>64</v>
      </c>
      <c r="E799" t="s">
        <v>65</v>
      </c>
      <c r="F799" s="1">
        <v>82</v>
      </c>
      <c r="G799" t="s">
        <v>128</v>
      </c>
      <c r="H799" t="s">
        <v>45</v>
      </c>
      <c r="I799" t="s">
        <v>84</v>
      </c>
      <c r="J799" t="s">
        <v>58</v>
      </c>
      <c r="K799" s="2">
        <v>4</v>
      </c>
      <c r="L799" t="s">
        <v>26</v>
      </c>
      <c r="M799" t="s">
        <v>35</v>
      </c>
      <c r="N799" t="s">
        <v>72</v>
      </c>
      <c r="O799" t="s">
        <v>26</v>
      </c>
      <c r="P799" t="s">
        <v>26</v>
      </c>
      <c r="Q799" s="3">
        <v>38</v>
      </c>
      <c r="R799" t="s">
        <v>59</v>
      </c>
      <c r="S799" t="s">
        <v>41</v>
      </c>
    </row>
    <row r="800" spans="1:19" x14ac:dyDescent="0.25">
      <c r="A800">
        <v>799</v>
      </c>
      <c r="B800">
        <v>29</v>
      </c>
      <c r="C800" t="s">
        <v>19</v>
      </c>
      <c r="D800" t="s">
        <v>125</v>
      </c>
      <c r="E800" t="s">
        <v>21</v>
      </c>
      <c r="F800" s="1">
        <v>39</v>
      </c>
      <c r="G800" t="s">
        <v>120</v>
      </c>
      <c r="H800" t="s">
        <v>45</v>
      </c>
      <c r="I800" t="s">
        <v>84</v>
      </c>
      <c r="J800" t="s">
        <v>39</v>
      </c>
      <c r="K800" s="2">
        <v>3.8</v>
      </c>
      <c r="L800" t="s">
        <v>26</v>
      </c>
      <c r="M800" t="s">
        <v>35</v>
      </c>
      <c r="N800" t="s">
        <v>72</v>
      </c>
      <c r="O800" t="s">
        <v>26</v>
      </c>
      <c r="P800" t="s">
        <v>26</v>
      </c>
      <c r="Q800" s="3">
        <v>48</v>
      </c>
      <c r="R800" t="s">
        <v>46</v>
      </c>
      <c r="S800" t="s">
        <v>97</v>
      </c>
    </row>
    <row r="801" spans="1:19" x14ac:dyDescent="0.25">
      <c r="A801">
        <v>800</v>
      </c>
      <c r="B801">
        <v>55</v>
      </c>
      <c r="C801" t="s">
        <v>19</v>
      </c>
      <c r="D801" t="s">
        <v>133</v>
      </c>
      <c r="E801" t="s">
        <v>69</v>
      </c>
      <c r="F801" s="1">
        <v>55</v>
      </c>
      <c r="G801" t="s">
        <v>107</v>
      </c>
      <c r="H801" t="s">
        <v>23</v>
      </c>
      <c r="I801" t="s">
        <v>110</v>
      </c>
      <c r="J801" t="s">
        <v>54</v>
      </c>
      <c r="K801" s="2">
        <v>3.3</v>
      </c>
      <c r="L801" t="s">
        <v>26</v>
      </c>
      <c r="M801" t="s">
        <v>29</v>
      </c>
      <c r="N801" t="s">
        <v>40</v>
      </c>
      <c r="O801" t="s">
        <v>26</v>
      </c>
      <c r="P801" t="s">
        <v>26</v>
      </c>
      <c r="Q801" s="3">
        <v>31</v>
      </c>
      <c r="R801" t="s">
        <v>46</v>
      </c>
      <c r="S801" t="s">
        <v>50</v>
      </c>
    </row>
    <row r="802" spans="1:19" x14ac:dyDescent="0.25">
      <c r="A802">
        <v>801</v>
      </c>
      <c r="B802">
        <v>32</v>
      </c>
      <c r="C802" t="s">
        <v>19</v>
      </c>
      <c r="D802" t="s">
        <v>125</v>
      </c>
      <c r="E802" t="s">
        <v>21</v>
      </c>
      <c r="F802" s="1">
        <v>20</v>
      </c>
      <c r="G802" t="s">
        <v>140</v>
      </c>
      <c r="H802" t="s">
        <v>38</v>
      </c>
      <c r="I802" t="s">
        <v>81</v>
      </c>
      <c r="J802" t="s">
        <v>54</v>
      </c>
      <c r="K802" s="2">
        <v>2.6</v>
      </c>
      <c r="L802" t="s">
        <v>26</v>
      </c>
      <c r="M802" t="s">
        <v>27</v>
      </c>
      <c r="N802" t="s">
        <v>40</v>
      </c>
      <c r="O802" t="s">
        <v>26</v>
      </c>
      <c r="P802" t="s">
        <v>26</v>
      </c>
      <c r="Q802" s="3">
        <v>20</v>
      </c>
      <c r="R802" t="s">
        <v>35</v>
      </c>
      <c r="S802" t="s">
        <v>97</v>
      </c>
    </row>
    <row r="803" spans="1:19" x14ac:dyDescent="0.25">
      <c r="A803">
        <v>802</v>
      </c>
      <c r="B803">
        <v>25</v>
      </c>
      <c r="C803" t="s">
        <v>19</v>
      </c>
      <c r="D803" t="s">
        <v>133</v>
      </c>
      <c r="E803" t="s">
        <v>69</v>
      </c>
      <c r="F803" s="1">
        <v>29</v>
      </c>
      <c r="G803" t="s">
        <v>130</v>
      </c>
      <c r="H803" t="s">
        <v>23</v>
      </c>
      <c r="I803" t="s">
        <v>144</v>
      </c>
      <c r="J803" t="s">
        <v>58</v>
      </c>
      <c r="K803" s="2">
        <v>4.9000000000000004</v>
      </c>
      <c r="L803" t="s">
        <v>26</v>
      </c>
      <c r="M803" t="s">
        <v>27</v>
      </c>
      <c r="N803" t="s">
        <v>28</v>
      </c>
      <c r="O803" t="s">
        <v>26</v>
      </c>
      <c r="P803" t="s">
        <v>26</v>
      </c>
      <c r="Q803" s="3">
        <v>12</v>
      </c>
      <c r="R803" t="s">
        <v>27</v>
      </c>
      <c r="S803" t="s">
        <v>30</v>
      </c>
    </row>
    <row r="804" spans="1:19" x14ac:dyDescent="0.25">
      <c r="A804">
        <v>803</v>
      </c>
      <c r="B804">
        <v>38</v>
      </c>
      <c r="C804" t="s">
        <v>19</v>
      </c>
      <c r="D804" t="s">
        <v>95</v>
      </c>
      <c r="E804" t="s">
        <v>21</v>
      </c>
      <c r="F804" s="1">
        <v>41</v>
      </c>
      <c r="G804" t="s">
        <v>80</v>
      </c>
      <c r="H804" t="s">
        <v>45</v>
      </c>
      <c r="I804" t="s">
        <v>86</v>
      </c>
      <c r="J804" t="s">
        <v>25</v>
      </c>
      <c r="K804" s="2">
        <v>3.5</v>
      </c>
      <c r="L804" t="s">
        <v>26</v>
      </c>
      <c r="M804" t="s">
        <v>29</v>
      </c>
      <c r="N804" t="s">
        <v>47</v>
      </c>
      <c r="O804" t="s">
        <v>26</v>
      </c>
      <c r="P804" t="s">
        <v>26</v>
      </c>
      <c r="Q804" s="3">
        <v>2</v>
      </c>
      <c r="R804" t="s">
        <v>34</v>
      </c>
      <c r="S804" t="s">
        <v>41</v>
      </c>
    </row>
    <row r="805" spans="1:19" x14ac:dyDescent="0.25">
      <c r="A805">
        <v>804</v>
      </c>
      <c r="B805">
        <v>32</v>
      </c>
      <c r="C805" t="s">
        <v>19</v>
      </c>
      <c r="D805" t="s">
        <v>61</v>
      </c>
      <c r="E805" t="s">
        <v>21</v>
      </c>
      <c r="F805" s="1">
        <v>38</v>
      </c>
      <c r="G805" t="s">
        <v>139</v>
      </c>
      <c r="H805" t="s">
        <v>23</v>
      </c>
      <c r="I805" t="s">
        <v>67</v>
      </c>
      <c r="J805" t="s">
        <v>25</v>
      </c>
      <c r="K805" s="2">
        <v>2.8</v>
      </c>
      <c r="L805" t="s">
        <v>26</v>
      </c>
      <c r="M805" t="s">
        <v>27</v>
      </c>
      <c r="N805" t="s">
        <v>28</v>
      </c>
      <c r="O805" t="s">
        <v>26</v>
      </c>
      <c r="P805" t="s">
        <v>26</v>
      </c>
      <c r="Q805" s="3">
        <v>30</v>
      </c>
      <c r="R805" t="s">
        <v>29</v>
      </c>
      <c r="S805" t="s">
        <v>97</v>
      </c>
    </row>
    <row r="806" spans="1:19" x14ac:dyDescent="0.25">
      <c r="A806">
        <v>805</v>
      </c>
      <c r="B806">
        <v>43</v>
      </c>
      <c r="C806" t="s">
        <v>19</v>
      </c>
      <c r="D806" t="s">
        <v>137</v>
      </c>
      <c r="E806" t="s">
        <v>43</v>
      </c>
      <c r="F806" s="1">
        <v>47</v>
      </c>
      <c r="G806" t="s">
        <v>91</v>
      </c>
      <c r="H806" t="s">
        <v>45</v>
      </c>
      <c r="I806" t="s">
        <v>33</v>
      </c>
      <c r="J806" t="s">
        <v>54</v>
      </c>
      <c r="K806" s="2">
        <v>2.6</v>
      </c>
      <c r="L806" t="s">
        <v>26</v>
      </c>
      <c r="M806" t="s">
        <v>35</v>
      </c>
      <c r="N806" t="s">
        <v>76</v>
      </c>
      <c r="O806" t="s">
        <v>26</v>
      </c>
      <c r="P806" t="s">
        <v>26</v>
      </c>
      <c r="Q806" s="3">
        <v>28</v>
      </c>
      <c r="R806" t="s">
        <v>29</v>
      </c>
      <c r="S806" t="s">
        <v>60</v>
      </c>
    </row>
    <row r="807" spans="1:19" x14ac:dyDescent="0.25">
      <c r="A807">
        <v>806</v>
      </c>
      <c r="B807">
        <v>41</v>
      </c>
      <c r="C807" t="s">
        <v>19</v>
      </c>
      <c r="D807" t="s">
        <v>82</v>
      </c>
      <c r="E807" t="s">
        <v>21</v>
      </c>
      <c r="F807" s="1">
        <v>30</v>
      </c>
      <c r="G807" t="s">
        <v>139</v>
      </c>
      <c r="H807" t="s">
        <v>23</v>
      </c>
      <c r="I807" t="s">
        <v>53</v>
      </c>
      <c r="J807" t="s">
        <v>54</v>
      </c>
      <c r="K807" s="2">
        <v>3.7</v>
      </c>
      <c r="L807" t="s">
        <v>26</v>
      </c>
      <c r="M807" t="s">
        <v>29</v>
      </c>
      <c r="N807" t="s">
        <v>47</v>
      </c>
      <c r="O807" t="s">
        <v>26</v>
      </c>
      <c r="P807" t="s">
        <v>26</v>
      </c>
      <c r="Q807" s="3">
        <v>40</v>
      </c>
      <c r="R807" t="s">
        <v>59</v>
      </c>
      <c r="S807" t="s">
        <v>88</v>
      </c>
    </row>
    <row r="808" spans="1:19" x14ac:dyDescent="0.25">
      <c r="A808">
        <v>807</v>
      </c>
      <c r="B808">
        <v>56</v>
      </c>
      <c r="C808" t="s">
        <v>19</v>
      </c>
      <c r="D808" t="s">
        <v>36</v>
      </c>
      <c r="E808" t="s">
        <v>21</v>
      </c>
      <c r="F808" s="1">
        <v>56</v>
      </c>
      <c r="G808" t="s">
        <v>103</v>
      </c>
      <c r="H808" t="s">
        <v>23</v>
      </c>
      <c r="I808" t="s">
        <v>63</v>
      </c>
      <c r="J808" t="s">
        <v>54</v>
      </c>
      <c r="K808" s="2">
        <v>2.7</v>
      </c>
      <c r="L808" t="s">
        <v>26</v>
      </c>
      <c r="M808" t="s">
        <v>27</v>
      </c>
      <c r="N808" t="s">
        <v>55</v>
      </c>
      <c r="O808" t="s">
        <v>26</v>
      </c>
      <c r="P808" t="s">
        <v>26</v>
      </c>
      <c r="Q808" s="3">
        <v>46</v>
      </c>
      <c r="R808" t="s">
        <v>46</v>
      </c>
      <c r="S808" t="s">
        <v>60</v>
      </c>
    </row>
    <row r="809" spans="1:19" x14ac:dyDescent="0.25">
      <c r="A809">
        <v>808</v>
      </c>
      <c r="B809">
        <v>27</v>
      </c>
      <c r="C809" t="s">
        <v>19</v>
      </c>
      <c r="D809" t="s">
        <v>113</v>
      </c>
      <c r="E809" t="s">
        <v>21</v>
      </c>
      <c r="F809" s="1">
        <v>89</v>
      </c>
      <c r="G809" t="s">
        <v>85</v>
      </c>
      <c r="H809" t="s">
        <v>38</v>
      </c>
      <c r="I809" t="s">
        <v>110</v>
      </c>
      <c r="J809" t="s">
        <v>25</v>
      </c>
      <c r="K809" s="2">
        <v>3.3</v>
      </c>
      <c r="L809" t="s">
        <v>26</v>
      </c>
      <c r="M809" t="s">
        <v>34</v>
      </c>
      <c r="N809" t="s">
        <v>28</v>
      </c>
      <c r="O809" t="s">
        <v>26</v>
      </c>
      <c r="P809" t="s">
        <v>26</v>
      </c>
      <c r="Q809" s="3">
        <v>15</v>
      </c>
      <c r="R809" t="s">
        <v>27</v>
      </c>
      <c r="S809" t="s">
        <v>41</v>
      </c>
    </row>
    <row r="810" spans="1:19" x14ac:dyDescent="0.25">
      <c r="A810">
        <v>809</v>
      </c>
      <c r="B810">
        <v>46</v>
      </c>
      <c r="C810" t="s">
        <v>19</v>
      </c>
      <c r="D810" t="s">
        <v>73</v>
      </c>
      <c r="E810" t="s">
        <v>43</v>
      </c>
      <c r="F810" s="1">
        <v>96</v>
      </c>
      <c r="G810" t="s">
        <v>150</v>
      </c>
      <c r="H810" t="s">
        <v>23</v>
      </c>
      <c r="I810" t="s">
        <v>93</v>
      </c>
      <c r="J810" t="s">
        <v>58</v>
      </c>
      <c r="K810" s="2">
        <v>4.5999999999999996</v>
      </c>
      <c r="L810" t="s">
        <v>26</v>
      </c>
      <c r="M810" t="s">
        <v>46</v>
      </c>
      <c r="N810" t="s">
        <v>47</v>
      </c>
      <c r="O810" t="s">
        <v>26</v>
      </c>
      <c r="P810" t="s">
        <v>26</v>
      </c>
      <c r="Q810" s="3">
        <v>38</v>
      </c>
      <c r="R810" t="s">
        <v>35</v>
      </c>
      <c r="S810" t="s">
        <v>97</v>
      </c>
    </row>
    <row r="811" spans="1:19" x14ac:dyDescent="0.25">
      <c r="A811">
        <v>810</v>
      </c>
      <c r="B811">
        <v>48</v>
      </c>
      <c r="C811" t="s">
        <v>19</v>
      </c>
      <c r="D811" t="s">
        <v>137</v>
      </c>
      <c r="E811" t="s">
        <v>43</v>
      </c>
      <c r="F811" s="1">
        <v>81</v>
      </c>
      <c r="G811" t="s">
        <v>131</v>
      </c>
      <c r="H811" t="s">
        <v>45</v>
      </c>
      <c r="I811" t="s">
        <v>84</v>
      </c>
      <c r="J811" t="s">
        <v>58</v>
      </c>
      <c r="K811" s="2">
        <v>4.9000000000000004</v>
      </c>
      <c r="L811" t="s">
        <v>26</v>
      </c>
      <c r="M811" t="s">
        <v>46</v>
      </c>
      <c r="N811" t="s">
        <v>47</v>
      </c>
      <c r="O811" t="s">
        <v>26</v>
      </c>
      <c r="P811" t="s">
        <v>26</v>
      </c>
      <c r="Q811" s="3">
        <v>30</v>
      </c>
      <c r="R811" t="s">
        <v>46</v>
      </c>
      <c r="S811" t="s">
        <v>77</v>
      </c>
    </row>
    <row r="812" spans="1:19" x14ac:dyDescent="0.25">
      <c r="A812">
        <v>811</v>
      </c>
      <c r="B812">
        <v>52</v>
      </c>
      <c r="C812" t="s">
        <v>19</v>
      </c>
      <c r="D812" t="s">
        <v>119</v>
      </c>
      <c r="E812" t="s">
        <v>69</v>
      </c>
      <c r="F812" s="1">
        <v>83</v>
      </c>
      <c r="G812" t="s">
        <v>147</v>
      </c>
      <c r="H812" t="s">
        <v>38</v>
      </c>
      <c r="I812" t="s">
        <v>93</v>
      </c>
      <c r="J812" t="s">
        <v>58</v>
      </c>
      <c r="K812" s="2">
        <v>4.9000000000000004</v>
      </c>
      <c r="L812" t="s">
        <v>26</v>
      </c>
      <c r="M812" t="s">
        <v>59</v>
      </c>
      <c r="N812" t="s">
        <v>76</v>
      </c>
      <c r="O812" t="s">
        <v>26</v>
      </c>
      <c r="P812" t="s">
        <v>26</v>
      </c>
      <c r="Q812" s="3">
        <v>32</v>
      </c>
      <c r="R812" t="s">
        <v>59</v>
      </c>
      <c r="S812" t="s">
        <v>77</v>
      </c>
    </row>
    <row r="813" spans="1:19" x14ac:dyDescent="0.25">
      <c r="A813">
        <v>812</v>
      </c>
      <c r="B813">
        <v>18</v>
      </c>
      <c r="C813" t="s">
        <v>19</v>
      </c>
      <c r="D813" t="s">
        <v>51</v>
      </c>
      <c r="E813" t="s">
        <v>43</v>
      </c>
      <c r="F813" s="1">
        <v>35</v>
      </c>
      <c r="G813" t="s">
        <v>115</v>
      </c>
      <c r="H813" t="s">
        <v>45</v>
      </c>
      <c r="I813" t="s">
        <v>96</v>
      </c>
      <c r="J813" t="s">
        <v>25</v>
      </c>
      <c r="K813" s="2">
        <v>2.7</v>
      </c>
      <c r="L813" t="s">
        <v>26</v>
      </c>
      <c r="M813" t="s">
        <v>59</v>
      </c>
      <c r="N813" t="s">
        <v>40</v>
      </c>
      <c r="O813" t="s">
        <v>26</v>
      </c>
      <c r="P813" t="s">
        <v>26</v>
      </c>
      <c r="Q813" s="3">
        <v>36</v>
      </c>
      <c r="R813" t="s">
        <v>29</v>
      </c>
      <c r="S813" t="s">
        <v>60</v>
      </c>
    </row>
    <row r="814" spans="1:19" x14ac:dyDescent="0.25">
      <c r="A814">
        <v>813</v>
      </c>
      <c r="B814">
        <v>64</v>
      </c>
      <c r="C814" t="s">
        <v>19</v>
      </c>
      <c r="D814" t="s">
        <v>137</v>
      </c>
      <c r="E814" t="s">
        <v>43</v>
      </c>
      <c r="F814" s="1">
        <v>56</v>
      </c>
      <c r="G814" t="s">
        <v>120</v>
      </c>
      <c r="H814" t="s">
        <v>45</v>
      </c>
      <c r="I814" t="s">
        <v>79</v>
      </c>
      <c r="J814" t="s">
        <v>54</v>
      </c>
      <c r="K814" s="2">
        <v>3.2</v>
      </c>
      <c r="L814" t="s">
        <v>26</v>
      </c>
      <c r="M814" t="s">
        <v>46</v>
      </c>
      <c r="N814" t="s">
        <v>55</v>
      </c>
      <c r="O814" t="s">
        <v>26</v>
      </c>
      <c r="P814" t="s">
        <v>26</v>
      </c>
      <c r="Q814" s="3">
        <v>32</v>
      </c>
      <c r="R814" t="s">
        <v>27</v>
      </c>
      <c r="S814" t="s">
        <v>41</v>
      </c>
    </row>
    <row r="815" spans="1:19" x14ac:dyDescent="0.25">
      <c r="A815">
        <v>814</v>
      </c>
      <c r="B815">
        <v>54</v>
      </c>
      <c r="C815" t="s">
        <v>19</v>
      </c>
      <c r="D815" t="s">
        <v>68</v>
      </c>
      <c r="E815" t="s">
        <v>69</v>
      </c>
      <c r="F815" s="1">
        <v>45</v>
      </c>
      <c r="G815" t="s">
        <v>57</v>
      </c>
      <c r="H815" t="s">
        <v>38</v>
      </c>
      <c r="I815" t="s">
        <v>79</v>
      </c>
      <c r="J815" t="s">
        <v>54</v>
      </c>
      <c r="K815" s="2">
        <v>2.9</v>
      </c>
      <c r="L815" t="s">
        <v>26</v>
      </c>
      <c r="M815" t="s">
        <v>27</v>
      </c>
      <c r="N815" t="s">
        <v>76</v>
      </c>
      <c r="O815" t="s">
        <v>26</v>
      </c>
      <c r="P815" t="s">
        <v>26</v>
      </c>
      <c r="Q815" s="3">
        <v>14</v>
      </c>
      <c r="R815" t="s">
        <v>59</v>
      </c>
      <c r="S815" t="s">
        <v>50</v>
      </c>
    </row>
    <row r="816" spans="1:19" x14ac:dyDescent="0.25">
      <c r="A816">
        <v>815</v>
      </c>
      <c r="B816">
        <v>31</v>
      </c>
      <c r="C816" t="s">
        <v>19</v>
      </c>
      <c r="D816" t="s">
        <v>56</v>
      </c>
      <c r="E816" t="s">
        <v>21</v>
      </c>
      <c r="F816" s="1">
        <v>62</v>
      </c>
      <c r="G816" t="s">
        <v>148</v>
      </c>
      <c r="H816" t="s">
        <v>45</v>
      </c>
      <c r="I816" t="s">
        <v>71</v>
      </c>
      <c r="J816" t="s">
        <v>25</v>
      </c>
      <c r="K816" s="2">
        <v>3.8</v>
      </c>
      <c r="L816" t="s">
        <v>26</v>
      </c>
      <c r="M816" t="s">
        <v>35</v>
      </c>
      <c r="N816" t="s">
        <v>28</v>
      </c>
      <c r="O816" t="s">
        <v>26</v>
      </c>
      <c r="P816" t="s">
        <v>26</v>
      </c>
      <c r="Q816" s="3">
        <v>8</v>
      </c>
      <c r="R816" t="s">
        <v>46</v>
      </c>
      <c r="S816" t="s">
        <v>88</v>
      </c>
    </row>
    <row r="817" spans="1:19" x14ac:dyDescent="0.25">
      <c r="A817">
        <v>816</v>
      </c>
      <c r="B817">
        <v>30</v>
      </c>
      <c r="C817" t="s">
        <v>19</v>
      </c>
      <c r="D817" t="s">
        <v>124</v>
      </c>
      <c r="E817" t="s">
        <v>69</v>
      </c>
      <c r="F817" s="1">
        <v>84</v>
      </c>
      <c r="G817" t="s">
        <v>66</v>
      </c>
      <c r="H817" t="s">
        <v>23</v>
      </c>
      <c r="I817" t="s">
        <v>86</v>
      </c>
      <c r="J817" t="s">
        <v>39</v>
      </c>
      <c r="K817" s="2">
        <v>3</v>
      </c>
      <c r="L817" t="s">
        <v>26</v>
      </c>
      <c r="M817" t="s">
        <v>35</v>
      </c>
      <c r="N817" t="s">
        <v>47</v>
      </c>
      <c r="O817" t="s">
        <v>26</v>
      </c>
      <c r="P817" t="s">
        <v>26</v>
      </c>
      <c r="Q817" s="3">
        <v>27</v>
      </c>
      <c r="R817" t="s">
        <v>29</v>
      </c>
      <c r="S817" t="s">
        <v>77</v>
      </c>
    </row>
    <row r="818" spans="1:19" x14ac:dyDescent="0.25">
      <c r="A818">
        <v>817</v>
      </c>
      <c r="B818">
        <v>26</v>
      </c>
      <c r="C818" t="s">
        <v>19</v>
      </c>
      <c r="D818" t="s">
        <v>31</v>
      </c>
      <c r="E818" t="s">
        <v>21</v>
      </c>
      <c r="F818" s="1">
        <v>24</v>
      </c>
      <c r="G818" t="s">
        <v>115</v>
      </c>
      <c r="H818" t="s">
        <v>23</v>
      </c>
      <c r="I818" t="s">
        <v>109</v>
      </c>
      <c r="J818" t="s">
        <v>54</v>
      </c>
      <c r="K818" s="2">
        <v>3.9</v>
      </c>
      <c r="L818" t="s">
        <v>26</v>
      </c>
      <c r="M818" t="s">
        <v>27</v>
      </c>
      <c r="N818" t="s">
        <v>76</v>
      </c>
      <c r="O818" t="s">
        <v>26</v>
      </c>
      <c r="P818" t="s">
        <v>26</v>
      </c>
      <c r="Q818" s="3">
        <v>24</v>
      </c>
      <c r="R818" t="s">
        <v>59</v>
      </c>
      <c r="S818" t="s">
        <v>88</v>
      </c>
    </row>
    <row r="819" spans="1:19" x14ac:dyDescent="0.25">
      <c r="A819">
        <v>818</v>
      </c>
      <c r="B819">
        <v>25</v>
      </c>
      <c r="C819" t="s">
        <v>19</v>
      </c>
      <c r="D819" t="s">
        <v>68</v>
      </c>
      <c r="E819" t="s">
        <v>69</v>
      </c>
      <c r="F819" s="1">
        <v>21</v>
      </c>
      <c r="G819" t="s">
        <v>107</v>
      </c>
      <c r="H819" t="s">
        <v>38</v>
      </c>
      <c r="I819" t="s">
        <v>24</v>
      </c>
      <c r="J819" t="s">
        <v>39</v>
      </c>
      <c r="K819" s="2">
        <v>4.7</v>
      </c>
      <c r="L819" t="s">
        <v>26</v>
      </c>
      <c r="M819" t="s">
        <v>27</v>
      </c>
      <c r="N819" t="s">
        <v>76</v>
      </c>
      <c r="O819" t="s">
        <v>26</v>
      </c>
      <c r="P819" t="s">
        <v>26</v>
      </c>
      <c r="Q819" s="3">
        <v>30</v>
      </c>
      <c r="R819" t="s">
        <v>46</v>
      </c>
      <c r="S819" t="s">
        <v>30</v>
      </c>
    </row>
    <row r="820" spans="1:19" x14ac:dyDescent="0.25">
      <c r="A820">
        <v>819</v>
      </c>
      <c r="B820">
        <v>59</v>
      </c>
      <c r="C820" t="s">
        <v>19</v>
      </c>
      <c r="D820" t="s">
        <v>56</v>
      </c>
      <c r="E820" t="s">
        <v>21</v>
      </c>
      <c r="F820" s="1">
        <v>91</v>
      </c>
      <c r="G820" t="s">
        <v>135</v>
      </c>
      <c r="H820" t="s">
        <v>45</v>
      </c>
      <c r="I820" t="s">
        <v>100</v>
      </c>
      <c r="J820" t="s">
        <v>25</v>
      </c>
      <c r="K820" s="2">
        <v>4.9000000000000004</v>
      </c>
      <c r="L820" t="s">
        <v>26</v>
      </c>
      <c r="M820" t="s">
        <v>35</v>
      </c>
      <c r="N820" t="s">
        <v>76</v>
      </c>
      <c r="O820" t="s">
        <v>26</v>
      </c>
      <c r="P820" t="s">
        <v>26</v>
      </c>
      <c r="Q820" s="3">
        <v>34</v>
      </c>
      <c r="R820" t="s">
        <v>59</v>
      </c>
      <c r="S820" t="s">
        <v>88</v>
      </c>
    </row>
    <row r="821" spans="1:19" x14ac:dyDescent="0.25">
      <c r="A821">
        <v>820</v>
      </c>
      <c r="B821">
        <v>55</v>
      </c>
      <c r="C821" t="s">
        <v>19</v>
      </c>
      <c r="D821" t="s">
        <v>89</v>
      </c>
      <c r="E821" t="s">
        <v>69</v>
      </c>
      <c r="F821" s="1">
        <v>36</v>
      </c>
      <c r="G821" t="s">
        <v>112</v>
      </c>
      <c r="H821" t="s">
        <v>38</v>
      </c>
      <c r="I821" t="s">
        <v>86</v>
      </c>
      <c r="J821" t="s">
        <v>25</v>
      </c>
      <c r="K821" s="2">
        <v>4.8</v>
      </c>
      <c r="L821" t="s">
        <v>26</v>
      </c>
      <c r="M821" t="s">
        <v>34</v>
      </c>
      <c r="N821" t="s">
        <v>47</v>
      </c>
      <c r="O821" t="s">
        <v>26</v>
      </c>
      <c r="P821" t="s">
        <v>26</v>
      </c>
      <c r="Q821" s="3">
        <v>28</v>
      </c>
      <c r="R821" t="s">
        <v>59</v>
      </c>
      <c r="S821" t="s">
        <v>60</v>
      </c>
    </row>
    <row r="822" spans="1:19" x14ac:dyDescent="0.25">
      <c r="A822">
        <v>821</v>
      </c>
      <c r="B822">
        <v>56</v>
      </c>
      <c r="C822" t="s">
        <v>19</v>
      </c>
      <c r="D822" t="s">
        <v>51</v>
      </c>
      <c r="E822" t="s">
        <v>43</v>
      </c>
      <c r="F822" s="1">
        <v>39</v>
      </c>
      <c r="G822" t="s">
        <v>62</v>
      </c>
      <c r="H822" t="s">
        <v>45</v>
      </c>
      <c r="I822" t="s">
        <v>49</v>
      </c>
      <c r="J822" t="s">
        <v>39</v>
      </c>
      <c r="K822" s="2">
        <v>2.5</v>
      </c>
      <c r="L822" t="s">
        <v>26</v>
      </c>
      <c r="M822" t="s">
        <v>35</v>
      </c>
      <c r="N822" t="s">
        <v>72</v>
      </c>
      <c r="O822" t="s">
        <v>26</v>
      </c>
      <c r="P822" t="s">
        <v>26</v>
      </c>
      <c r="Q822" s="3">
        <v>27</v>
      </c>
      <c r="R822" t="s">
        <v>59</v>
      </c>
      <c r="S822" t="s">
        <v>88</v>
      </c>
    </row>
    <row r="823" spans="1:19" x14ac:dyDescent="0.25">
      <c r="A823">
        <v>822</v>
      </c>
      <c r="B823">
        <v>62</v>
      </c>
      <c r="C823" t="s">
        <v>19</v>
      </c>
      <c r="D823" t="s">
        <v>104</v>
      </c>
      <c r="E823" t="s">
        <v>21</v>
      </c>
      <c r="F823" s="1">
        <v>39</v>
      </c>
      <c r="G823" t="s">
        <v>129</v>
      </c>
      <c r="H823" t="s">
        <v>45</v>
      </c>
      <c r="I823" t="s">
        <v>96</v>
      </c>
      <c r="J823" t="s">
        <v>39</v>
      </c>
      <c r="K823" s="2">
        <v>3.9</v>
      </c>
      <c r="L823" t="s">
        <v>26</v>
      </c>
      <c r="M823" t="s">
        <v>35</v>
      </c>
      <c r="N823" t="s">
        <v>55</v>
      </c>
      <c r="O823" t="s">
        <v>26</v>
      </c>
      <c r="P823" t="s">
        <v>26</v>
      </c>
      <c r="Q823" s="3">
        <v>31</v>
      </c>
      <c r="R823" t="s">
        <v>27</v>
      </c>
      <c r="S823" t="s">
        <v>77</v>
      </c>
    </row>
    <row r="824" spans="1:19" x14ac:dyDescent="0.25">
      <c r="A824">
        <v>823</v>
      </c>
      <c r="B824">
        <v>35</v>
      </c>
      <c r="C824" t="s">
        <v>19</v>
      </c>
      <c r="D824" t="s">
        <v>56</v>
      </c>
      <c r="E824" t="s">
        <v>21</v>
      </c>
      <c r="F824" s="1">
        <v>59</v>
      </c>
      <c r="G824" t="s">
        <v>91</v>
      </c>
      <c r="H824" t="s">
        <v>23</v>
      </c>
      <c r="I824" t="s">
        <v>136</v>
      </c>
      <c r="J824" t="s">
        <v>25</v>
      </c>
      <c r="K824" s="2">
        <v>3.4</v>
      </c>
      <c r="L824" t="s">
        <v>26</v>
      </c>
      <c r="M824" t="s">
        <v>35</v>
      </c>
      <c r="N824" t="s">
        <v>55</v>
      </c>
      <c r="O824" t="s">
        <v>26</v>
      </c>
      <c r="P824" t="s">
        <v>26</v>
      </c>
      <c r="Q824" s="3">
        <v>23</v>
      </c>
      <c r="R824" t="s">
        <v>34</v>
      </c>
      <c r="S824" t="s">
        <v>50</v>
      </c>
    </row>
    <row r="825" spans="1:19" x14ac:dyDescent="0.25">
      <c r="A825">
        <v>824</v>
      </c>
      <c r="B825">
        <v>51</v>
      </c>
      <c r="C825" t="s">
        <v>19</v>
      </c>
      <c r="D825" t="s">
        <v>89</v>
      </c>
      <c r="E825" t="s">
        <v>69</v>
      </c>
      <c r="F825" s="1">
        <v>27</v>
      </c>
      <c r="G825" t="s">
        <v>142</v>
      </c>
      <c r="H825" t="s">
        <v>45</v>
      </c>
      <c r="I825" t="s">
        <v>96</v>
      </c>
      <c r="J825" t="s">
        <v>25</v>
      </c>
      <c r="K825" s="2">
        <v>2.5</v>
      </c>
      <c r="L825" t="s">
        <v>26</v>
      </c>
      <c r="M825" t="s">
        <v>46</v>
      </c>
      <c r="N825" t="s">
        <v>40</v>
      </c>
      <c r="O825" t="s">
        <v>26</v>
      </c>
      <c r="P825" t="s">
        <v>26</v>
      </c>
      <c r="Q825" s="3">
        <v>11</v>
      </c>
      <c r="R825" t="s">
        <v>27</v>
      </c>
      <c r="S825" t="s">
        <v>60</v>
      </c>
    </row>
    <row r="826" spans="1:19" x14ac:dyDescent="0.25">
      <c r="A826">
        <v>825</v>
      </c>
      <c r="B826">
        <v>61</v>
      </c>
      <c r="C826" t="s">
        <v>19</v>
      </c>
      <c r="D826" t="s">
        <v>20</v>
      </c>
      <c r="E826" t="s">
        <v>21</v>
      </c>
      <c r="F826" s="1">
        <v>94</v>
      </c>
      <c r="G826" t="s">
        <v>142</v>
      </c>
      <c r="H826" t="s">
        <v>45</v>
      </c>
      <c r="I826" t="s">
        <v>53</v>
      </c>
      <c r="J826" t="s">
        <v>39</v>
      </c>
      <c r="K826" s="2">
        <v>3</v>
      </c>
      <c r="L826" t="s">
        <v>26</v>
      </c>
      <c r="M826" t="s">
        <v>29</v>
      </c>
      <c r="N826" t="s">
        <v>76</v>
      </c>
      <c r="O826" t="s">
        <v>26</v>
      </c>
      <c r="P826" t="s">
        <v>26</v>
      </c>
      <c r="Q826" s="3">
        <v>48</v>
      </c>
      <c r="R826" t="s">
        <v>35</v>
      </c>
      <c r="S826" t="s">
        <v>60</v>
      </c>
    </row>
    <row r="827" spans="1:19" x14ac:dyDescent="0.25">
      <c r="A827">
        <v>826</v>
      </c>
      <c r="B827">
        <v>27</v>
      </c>
      <c r="C827" t="s">
        <v>19</v>
      </c>
      <c r="D827" t="s">
        <v>133</v>
      </c>
      <c r="E827" t="s">
        <v>69</v>
      </c>
      <c r="F827" s="1">
        <v>94</v>
      </c>
      <c r="G827" t="s">
        <v>145</v>
      </c>
      <c r="H827" t="s">
        <v>92</v>
      </c>
      <c r="I827" t="s">
        <v>110</v>
      </c>
      <c r="J827" t="s">
        <v>58</v>
      </c>
      <c r="K827" s="2">
        <v>3.6</v>
      </c>
      <c r="L827" t="s">
        <v>26</v>
      </c>
      <c r="M827" t="s">
        <v>29</v>
      </c>
      <c r="N827" t="s">
        <v>47</v>
      </c>
      <c r="O827" t="s">
        <v>26</v>
      </c>
      <c r="P827" t="s">
        <v>26</v>
      </c>
      <c r="Q827" s="3">
        <v>17</v>
      </c>
      <c r="R827" t="s">
        <v>35</v>
      </c>
      <c r="S827" t="s">
        <v>88</v>
      </c>
    </row>
    <row r="828" spans="1:19" x14ac:dyDescent="0.25">
      <c r="A828">
        <v>827</v>
      </c>
      <c r="B828">
        <v>54</v>
      </c>
      <c r="C828" t="s">
        <v>19</v>
      </c>
      <c r="D828" t="s">
        <v>82</v>
      </c>
      <c r="E828" t="s">
        <v>21</v>
      </c>
      <c r="F828" s="1">
        <v>94</v>
      </c>
      <c r="G828" t="s">
        <v>37</v>
      </c>
      <c r="H828" t="s">
        <v>45</v>
      </c>
      <c r="I828" t="s">
        <v>75</v>
      </c>
      <c r="J828" t="s">
        <v>25</v>
      </c>
      <c r="K828" s="2">
        <v>3.6</v>
      </c>
      <c r="L828" t="s">
        <v>26</v>
      </c>
      <c r="M828" t="s">
        <v>27</v>
      </c>
      <c r="N828" t="s">
        <v>55</v>
      </c>
      <c r="O828" t="s">
        <v>26</v>
      </c>
      <c r="P828" t="s">
        <v>26</v>
      </c>
      <c r="Q828" s="3">
        <v>36</v>
      </c>
      <c r="R828" t="s">
        <v>46</v>
      </c>
      <c r="S828" t="s">
        <v>41</v>
      </c>
    </row>
    <row r="829" spans="1:19" x14ac:dyDescent="0.25">
      <c r="A829">
        <v>828</v>
      </c>
      <c r="B829">
        <v>31</v>
      </c>
      <c r="C829" t="s">
        <v>19</v>
      </c>
      <c r="D829" t="s">
        <v>73</v>
      </c>
      <c r="E829" t="s">
        <v>43</v>
      </c>
      <c r="F829" s="1">
        <v>51</v>
      </c>
      <c r="G829" t="s">
        <v>112</v>
      </c>
      <c r="H829" t="s">
        <v>38</v>
      </c>
      <c r="I829" t="s">
        <v>96</v>
      </c>
      <c r="J829" t="s">
        <v>58</v>
      </c>
      <c r="K829" s="2">
        <v>4.0999999999999996</v>
      </c>
      <c r="L829" t="s">
        <v>26</v>
      </c>
      <c r="M829" t="s">
        <v>27</v>
      </c>
      <c r="N829" t="s">
        <v>40</v>
      </c>
      <c r="O829" t="s">
        <v>26</v>
      </c>
      <c r="P829" t="s">
        <v>26</v>
      </c>
      <c r="Q829" s="3">
        <v>33</v>
      </c>
      <c r="R829" t="s">
        <v>34</v>
      </c>
      <c r="S829" t="s">
        <v>30</v>
      </c>
    </row>
    <row r="830" spans="1:19" x14ac:dyDescent="0.25">
      <c r="A830">
        <v>829</v>
      </c>
      <c r="B830">
        <v>24</v>
      </c>
      <c r="C830" t="s">
        <v>19</v>
      </c>
      <c r="D830" t="s">
        <v>125</v>
      </c>
      <c r="E830" t="s">
        <v>21</v>
      </c>
      <c r="F830" s="1">
        <v>62</v>
      </c>
      <c r="G830" t="s">
        <v>107</v>
      </c>
      <c r="H830" t="s">
        <v>45</v>
      </c>
      <c r="I830" t="s">
        <v>100</v>
      </c>
      <c r="J830" t="s">
        <v>58</v>
      </c>
      <c r="K830" s="2">
        <v>3.7</v>
      </c>
      <c r="L830" t="s">
        <v>26</v>
      </c>
      <c r="M830" t="s">
        <v>34</v>
      </c>
      <c r="N830" t="s">
        <v>72</v>
      </c>
      <c r="O830" t="s">
        <v>26</v>
      </c>
      <c r="P830" t="s">
        <v>26</v>
      </c>
      <c r="Q830" s="3">
        <v>27</v>
      </c>
      <c r="R830" t="s">
        <v>46</v>
      </c>
      <c r="S830" t="s">
        <v>77</v>
      </c>
    </row>
    <row r="831" spans="1:19" x14ac:dyDescent="0.25">
      <c r="A831">
        <v>830</v>
      </c>
      <c r="B831">
        <v>42</v>
      </c>
      <c r="C831" t="s">
        <v>19</v>
      </c>
      <c r="D831" t="s">
        <v>125</v>
      </c>
      <c r="E831" t="s">
        <v>21</v>
      </c>
      <c r="F831" s="1">
        <v>57</v>
      </c>
      <c r="G831" t="s">
        <v>135</v>
      </c>
      <c r="H831" t="s">
        <v>38</v>
      </c>
      <c r="I831" t="s">
        <v>67</v>
      </c>
      <c r="J831" t="s">
        <v>39</v>
      </c>
      <c r="K831" s="2">
        <v>3.1</v>
      </c>
      <c r="L831" t="s">
        <v>26</v>
      </c>
      <c r="M831" t="s">
        <v>59</v>
      </c>
      <c r="N831" t="s">
        <v>72</v>
      </c>
      <c r="O831" t="s">
        <v>26</v>
      </c>
      <c r="P831" t="s">
        <v>26</v>
      </c>
      <c r="Q831" s="3">
        <v>14</v>
      </c>
      <c r="R831" t="s">
        <v>27</v>
      </c>
      <c r="S831" t="s">
        <v>30</v>
      </c>
    </row>
    <row r="832" spans="1:19" x14ac:dyDescent="0.25">
      <c r="A832">
        <v>831</v>
      </c>
      <c r="B832">
        <v>41</v>
      </c>
      <c r="C832" t="s">
        <v>19</v>
      </c>
      <c r="D832" t="s">
        <v>61</v>
      </c>
      <c r="E832" t="s">
        <v>21</v>
      </c>
      <c r="F832" s="1">
        <v>76</v>
      </c>
      <c r="G832" t="s">
        <v>52</v>
      </c>
      <c r="H832" t="s">
        <v>45</v>
      </c>
      <c r="I832" t="s">
        <v>33</v>
      </c>
      <c r="J832" t="s">
        <v>58</v>
      </c>
      <c r="K832" s="2">
        <v>4.2</v>
      </c>
      <c r="L832" t="s">
        <v>26</v>
      </c>
      <c r="M832" t="s">
        <v>35</v>
      </c>
      <c r="N832" t="s">
        <v>28</v>
      </c>
      <c r="O832" t="s">
        <v>26</v>
      </c>
      <c r="P832" t="s">
        <v>26</v>
      </c>
      <c r="Q832" s="3">
        <v>5</v>
      </c>
      <c r="R832" t="s">
        <v>27</v>
      </c>
      <c r="S832" t="s">
        <v>50</v>
      </c>
    </row>
    <row r="833" spans="1:19" x14ac:dyDescent="0.25">
      <c r="A833">
        <v>832</v>
      </c>
      <c r="B833">
        <v>66</v>
      </c>
      <c r="C833" t="s">
        <v>19</v>
      </c>
      <c r="D833" t="s">
        <v>143</v>
      </c>
      <c r="E833" t="s">
        <v>69</v>
      </c>
      <c r="F833" s="1">
        <v>63</v>
      </c>
      <c r="G833" t="s">
        <v>149</v>
      </c>
      <c r="H833" t="s">
        <v>45</v>
      </c>
      <c r="I833" t="s">
        <v>108</v>
      </c>
      <c r="J833" t="s">
        <v>54</v>
      </c>
      <c r="K833" s="2">
        <v>4.3</v>
      </c>
      <c r="L833" t="s">
        <v>26</v>
      </c>
      <c r="M833" t="s">
        <v>59</v>
      </c>
      <c r="N833" t="s">
        <v>28</v>
      </c>
      <c r="O833" t="s">
        <v>26</v>
      </c>
      <c r="P833" t="s">
        <v>26</v>
      </c>
      <c r="Q833" s="3">
        <v>47</v>
      </c>
      <c r="R833" t="s">
        <v>35</v>
      </c>
      <c r="S833" t="s">
        <v>97</v>
      </c>
    </row>
    <row r="834" spans="1:19" x14ac:dyDescent="0.25">
      <c r="A834">
        <v>833</v>
      </c>
      <c r="B834">
        <v>58</v>
      </c>
      <c r="C834" t="s">
        <v>19</v>
      </c>
      <c r="D834" t="s">
        <v>102</v>
      </c>
      <c r="E834" t="s">
        <v>65</v>
      </c>
      <c r="F834" s="1">
        <v>80</v>
      </c>
      <c r="G834" t="s">
        <v>99</v>
      </c>
      <c r="H834" t="s">
        <v>23</v>
      </c>
      <c r="I834" t="s">
        <v>144</v>
      </c>
      <c r="J834" t="s">
        <v>58</v>
      </c>
      <c r="K834" s="2">
        <v>2.5</v>
      </c>
      <c r="L834" t="s">
        <v>26</v>
      </c>
      <c r="M834" t="s">
        <v>27</v>
      </c>
      <c r="N834" t="s">
        <v>28</v>
      </c>
      <c r="O834" t="s">
        <v>26</v>
      </c>
      <c r="P834" t="s">
        <v>26</v>
      </c>
      <c r="Q834" s="3">
        <v>28</v>
      </c>
      <c r="R834" t="s">
        <v>35</v>
      </c>
      <c r="S834" t="s">
        <v>77</v>
      </c>
    </row>
    <row r="835" spans="1:19" x14ac:dyDescent="0.25">
      <c r="A835">
        <v>834</v>
      </c>
      <c r="B835">
        <v>43</v>
      </c>
      <c r="C835" t="s">
        <v>19</v>
      </c>
      <c r="D835" t="s">
        <v>68</v>
      </c>
      <c r="E835" t="s">
        <v>69</v>
      </c>
      <c r="F835" s="1">
        <v>68</v>
      </c>
      <c r="G835" t="s">
        <v>101</v>
      </c>
      <c r="H835" t="s">
        <v>45</v>
      </c>
      <c r="I835" t="s">
        <v>75</v>
      </c>
      <c r="J835" t="s">
        <v>58</v>
      </c>
      <c r="K835" s="2">
        <v>3.5</v>
      </c>
      <c r="L835" t="s">
        <v>26</v>
      </c>
      <c r="M835" t="s">
        <v>59</v>
      </c>
      <c r="N835" t="s">
        <v>55</v>
      </c>
      <c r="O835" t="s">
        <v>26</v>
      </c>
      <c r="P835" t="s">
        <v>26</v>
      </c>
      <c r="Q835" s="3">
        <v>11</v>
      </c>
      <c r="R835" t="s">
        <v>27</v>
      </c>
      <c r="S835" t="s">
        <v>50</v>
      </c>
    </row>
    <row r="836" spans="1:19" x14ac:dyDescent="0.25">
      <c r="A836">
        <v>835</v>
      </c>
      <c r="B836">
        <v>52</v>
      </c>
      <c r="C836" t="s">
        <v>19</v>
      </c>
      <c r="D836" t="s">
        <v>132</v>
      </c>
      <c r="E836" t="s">
        <v>69</v>
      </c>
      <c r="F836" s="1">
        <v>89</v>
      </c>
      <c r="G836" t="s">
        <v>107</v>
      </c>
      <c r="H836" t="s">
        <v>45</v>
      </c>
      <c r="I836" t="s">
        <v>126</v>
      </c>
      <c r="J836" t="s">
        <v>54</v>
      </c>
      <c r="K836" s="2">
        <v>3.1</v>
      </c>
      <c r="L836" t="s">
        <v>26</v>
      </c>
      <c r="M836" t="s">
        <v>59</v>
      </c>
      <c r="N836" t="s">
        <v>40</v>
      </c>
      <c r="O836" t="s">
        <v>26</v>
      </c>
      <c r="P836" t="s">
        <v>26</v>
      </c>
      <c r="Q836" s="3">
        <v>18</v>
      </c>
      <c r="R836" t="s">
        <v>27</v>
      </c>
      <c r="S836" t="s">
        <v>41</v>
      </c>
    </row>
    <row r="837" spans="1:19" x14ac:dyDescent="0.25">
      <c r="A837">
        <v>836</v>
      </c>
      <c r="B837">
        <v>35</v>
      </c>
      <c r="C837" t="s">
        <v>19</v>
      </c>
      <c r="D837" t="s">
        <v>137</v>
      </c>
      <c r="E837" t="s">
        <v>43</v>
      </c>
      <c r="F837" s="1">
        <v>26</v>
      </c>
      <c r="G837" t="s">
        <v>128</v>
      </c>
      <c r="H837" t="s">
        <v>23</v>
      </c>
      <c r="I837" t="s">
        <v>126</v>
      </c>
      <c r="J837" t="s">
        <v>54</v>
      </c>
      <c r="K837" s="2">
        <v>2.5</v>
      </c>
      <c r="L837" t="s">
        <v>26</v>
      </c>
      <c r="M837" t="s">
        <v>59</v>
      </c>
      <c r="N837" t="s">
        <v>47</v>
      </c>
      <c r="O837" t="s">
        <v>26</v>
      </c>
      <c r="P837" t="s">
        <v>26</v>
      </c>
      <c r="Q837" s="3">
        <v>21</v>
      </c>
      <c r="R837" t="s">
        <v>59</v>
      </c>
      <c r="S837" t="s">
        <v>41</v>
      </c>
    </row>
    <row r="838" spans="1:19" x14ac:dyDescent="0.25">
      <c r="A838">
        <v>837</v>
      </c>
      <c r="B838">
        <v>23</v>
      </c>
      <c r="C838" t="s">
        <v>19</v>
      </c>
      <c r="D838" t="s">
        <v>143</v>
      </c>
      <c r="E838" t="s">
        <v>69</v>
      </c>
      <c r="F838" s="1">
        <v>90</v>
      </c>
      <c r="G838" t="s">
        <v>66</v>
      </c>
      <c r="H838" t="s">
        <v>23</v>
      </c>
      <c r="I838" t="s">
        <v>84</v>
      </c>
      <c r="J838" t="s">
        <v>25</v>
      </c>
      <c r="K838" s="2">
        <v>3.9</v>
      </c>
      <c r="L838" t="s">
        <v>26</v>
      </c>
      <c r="M838" t="s">
        <v>46</v>
      </c>
      <c r="N838" t="s">
        <v>76</v>
      </c>
      <c r="O838" t="s">
        <v>26</v>
      </c>
      <c r="P838" t="s">
        <v>26</v>
      </c>
      <c r="Q838" s="3">
        <v>22</v>
      </c>
      <c r="R838" t="s">
        <v>35</v>
      </c>
      <c r="S838" t="s">
        <v>77</v>
      </c>
    </row>
    <row r="839" spans="1:19" x14ac:dyDescent="0.25">
      <c r="A839">
        <v>838</v>
      </c>
      <c r="B839">
        <v>25</v>
      </c>
      <c r="C839" t="s">
        <v>19</v>
      </c>
      <c r="D839" t="s">
        <v>104</v>
      </c>
      <c r="E839" t="s">
        <v>21</v>
      </c>
      <c r="F839" s="1">
        <v>28</v>
      </c>
      <c r="G839" t="s">
        <v>115</v>
      </c>
      <c r="H839" t="s">
        <v>23</v>
      </c>
      <c r="I839" t="s">
        <v>110</v>
      </c>
      <c r="J839" t="s">
        <v>39</v>
      </c>
      <c r="K839" s="2">
        <v>4.9000000000000004</v>
      </c>
      <c r="L839" t="s">
        <v>26</v>
      </c>
      <c r="M839" t="s">
        <v>27</v>
      </c>
      <c r="N839" t="s">
        <v>28</v>
      </c>
      <c r="O839" t="s">
        <v>26</v>
      </c>
      <c r="P839" t="s">
        <v>26</v>
      </c>
      <c r="Q839" s="3">
        <v>33</v>
      </c>
      <c r="R839" t="s">
        <v>35</v>
      </c>
      <c r="S839" t="s">
        <v>97</v>
      </c>
    </row>
    <row r="840" spans="1:19" x14ac:dyDescent="0.25">
      <c r="A840">
        <v>839</v>
      </c>
      <c r="B840">
        <v>33</v>
      </c>
      <c r="C840" t="s">
        <v>19</v>
      </c>
      <c r="D840" t="s">
        <v>64</v>
      </c>
      <c r="E840" t="s">
        <v>65</v>
      </c>
      <c r="F840" s="1">
        <v>29</v>
      </c>
      <c r="G840" t="s">
        <v>22</v>
      </c>
      <c r="H840" t="s">
        <v>45</v>
      </c>
      <c r="I840" t="s">
        <v>24</v>
      </c>
      <c r="J840" t="s">
        <v>39</v>
      </c>
      <c r="K840" s="2">
        <v>4.3</v>
      </c>
      <c r="L840" t="s">
        <v>26</v>
      </c>
      <c r="M840" t="s">
        <v>34</v>
      </c>
      <c r="N840" t="s">
        <v>28</v>
      </c>
      <c r="O840" t="s">
        <v>26</v>
      </c>
      <c r="P840" t="s">
        <v>26</v>
      </c>
      <c r="Q840" s="3">
        <v>49</v>
      </c>
      <c r="R840" t="s">
        <v>27</v>
      </c>
      <c r="S840" t="s">
        <v>50</v>
      </c>
    </row>
    <row r="841" spans="1:19" x14ac:dyDescent="0.25">
      <c r="A841">
        <v>840</v>
      </c>
      <c r="B841">
        <v>48</v>
      </c>
      <c r="C841" t="s">
        <v>19</v>
      </c>
      <c r="D841" t="s">
        <v>56</v>
      </c>
      <c r="E841" t="s">
        <v>21</v>
      </c>
      <c r="F841" s="1">
        <v>31</v>
      </c>
      <c r="G841" t="s">
        <v>115</v>
      </c>
      <c r="H841" t="s">
        <v>23</v>
      </c>
      <c r="I841" t="s">
        <v>86</v>
      </c>
      <c r="J841" t="s">
        <v>39</v>
      </c>
      <c r="K841" s="2">
        <v>2.6</v>
      </c>
      <c r="L841" t="s">
        <v>26</v>
      </c>
      <c r="M841" t="s">
        <v>35</v>
      </c>
      <c r="N841" t="s">
        <v>40</v>
      </c>
      <c r="O841" t="s">
        <v>26</v>
      </c>
      <c r="P841" t="s">
        <v>26</v>
      </c>
      <c r="Q841" s="3">
        <v>10</v>
      </c>
      <c r="R841" t="s">
        <v>59</v>
      </c>
      <c r="S841" t="s">
        <v>97</v>
      </c>
    </row>
    <row r="842" spans="1:19" x14ac:dyDescent="0.25">
      <c r="A842">
        <v>841</v>
      </c>
      <c r="B842">
        <v>42</v>
      </c>
      <c r="C842" t="s">
        <v>19</v>
      </c>
      <c r="D842" t="s">
        <v>56</v>
      </c>
      <c r="E842" t="s">
        <v>21</v>
      </c>
      <c r="F842" s="1">
        <v>24</v>
      </c>
      <c r="G842" t="s">
        <v>90</v>
      </c>
      <c r="H842" t="s">
        <v>23</v>
      </c>
      <c r="I842" t="s">
        <v>86</v>
      </c>
      <c r="J842" t="s">
        <v>54</v>
      </c>
      <c r="K842" s="2">
        <v>4.2</v>
      </c>
      <c r="L842" t="s">
        <v>26</v>
      </c>
      <c r="M842" t="s">
        <v>34</v>
      </c>
      <c r="N842" t="s">
        <v>72</v>
      </c>
      <c r="O842" t="s">
        <v>26</v>
      </c>
      <c r="P842" t="s">
        <v>26</v>
      </c>
      <c r="Q842" s="3">
        <v>18</v>
      </c>
      <c r="R842" t="s">
        <v>46</v>
      </c>
      <c r="S842" t="s">
        <v>41</v>
      </c>
    </row>
    <row r="843" spans="1:19" x14ac:dyDescent="0.25">
      <c r="A843">
        <v>842</v>
      </c>
      <c r="B843">
        <v>55</v>
      </c>
      <c r="C843" t="s">
        <v>19</v>
      </c>
      <c r="D843" t="s">
        <v>31</v>
      </c>
      <c r="E843" t="s">
        <v>21</v>
      </c>
      <c r="F843" s="1">
        <v>88</v>
      </c>
      <c r="G843" t="s">
        <v>105</v>
      </c>
      <c r="H843" t="s">
        <v>45</v>
      </c>
      <c r="I843" t="s">
        <v>118</v>
      </c>
      <c r="J843" t="s">
        <v>54</v>
      </c>
      <c r="K843" s="2">
        <v>2.6</v>
      </c>
      <c r="L843" t="s">
        <v>26</v>
      </c>
      <c r="M843" t="s">
        <v>29</v>
      </c>
      <c r="N843" t="s">
        <v>76</v>
      </c>
      <c r="O843" t="s">
        <v>26</v>
      </c>
      <c r="P843" t="s">
        <v>26</v>
      </c>
      <c r="Q843" s="3">
        <v>28</v>
      </c>
      <c r="R843" t="s">
        <v>46</v>
      </c>
      <c r="S843" t="s">
        <v>30</v>
      </c>
    </row>
    <row r="844" spans="1:19" x14ac:dyDescent="0.25">
      <c r="A844">
        <v>843</v>
      </c>
      <c r="B844">
        <v>59</v>
      </c>
      <c r="C844" t="s">
        <v>19</v>
      </c>
      <c r="D844" t="s">
        <v>56</v>
      </c>
      <c r="E844" t="s">
        <v>21</v>
      </c>
      <c r="F844" s="1">
        <v>87</v>
      </c>
      <c r="G844" t="s">
        <v>70</v>
      </c>
      <c r="H844" t="s">
        <v>45</v>
      </c>
      <c r="I844" t="s">
        <v>84</v>
      </c>
      <c r="J844" t="s">
        <v>39</v>
      </c>
      <c r="K844" s="2">
        <v>3.6</v>
      </c>
      <c r="L844" t="s">
        <v>26</v>
      </c>
      <c r="M844" t="s">
        <v>29</v>
      </c>
      <c r="N844" t="s">
        <v>28</v>
      </c>
      <c r="O844" t="s">
        <v>26</v>
      </c>
      <c r="P844" t="s">
        <v>26</v>
      </c>
      <c r="Q844" s="3">
        <v>25</v>
      </c>
      <c r="R844" t="s">
        <v>46</v>
      </c>
      <c r="S844" t="s">
        <v>41</v>
      </c>
    </row>
    <row r="845" spans="1:19" x14ac:dyDescent="0.25">
      <c r="A845">
        <v>844</v>
      </c>
      <c r="B845">
        <v>65</v>
      </c>
      <c r="C845" t="s">
        <v>19</v>
      </c>
      <c r="D845" t="s">
        <v>104</v>
      </c>
      <c r="E845" t="s">
        <v>21</v>
      </c>
      <c r="F845" s="1">
        <v>80</v>
      </c>
      <c r="G845" t="s">
        <v>138</v>
      </c>
      <c r="H845" t="s">
        <v>38</v>
      </c>
      <c r="I845" t="s">
        <v>118</v>
      </c>
      <c r="J845" t="s">
        <v>54</v>
      </c>
      <c r="K845" s="2">
        <v>3.2</v>
      </c>
      <c r="L845" t="s">
        <v>26</v>
      </c>
      <c r="M845" t="s">
        <v>35</v>
      </c>
      <c r="N845" t="s">
        <v>28</v>
      </c>
      <c r="O845" t="s">
        <v>26</v>
      </c>
      <c r="P845" t="s">
        <v>26</v>
      </c>
      <c r="Q845" s="3">
        <v>6</v>
      </c>
      <c r="R845" t="s">
        <v>46</v>
      </c>
      <c r="S845" t="s">
        <v>41</v>
      </c>
    </row>
    <row r="846" spans="1:19" x14ac:dyDescent="0.25">
      <c r="A846">
        <v>845</v>
      </c>
      <c r="B846">
        <v>59</v>
      </c>
      <c r="C846" t="s">
        <v>19</v>
      </c>
      <c r="D846" t="s">
        <v>42</v>
      </c>
      <c r="E846" t="s">
        <v>43</v>
      </c>
      <c r="F846" s="1">
        <v>48</v>
      </c>
      <c r="G846" t="s">
        <v>70</v>
      </c>
      <c r="H846" t="s">
        <v>23</v>
      </c>
      <c r="I846" t="s">
        <v>75</v>
      </c>
      <c r="J846" t="s">
        <v>25</v>
      </c>
      <c r="K846" s="2">
        <v>4.4000000000000004</v>
      </c>
      <c r="L846" t="s">
        <v>26</v>
      </c>
      <c r="M846" t="s">
        <v>46</v>
      </c>
      <c r="N846" t="s">
        <v>28</v>
      </c>
      <c r="O846" t="s">
        <v>26</v>
      </c>
      <c r="P846" t="s">
        <v>26</v>
      </c>
      <c r="Q846" s="3">
        <v>44</v>
      </c>
      <c r="R846" t="s">
        <v>29</v>
      </c>
      <c r="S846" t="s">
        <v>77</v>
      </c>
    </row>
    <row r="847" spans="1:19" x14ac:dyDescent="0.25">
      <c r="A847">
        <v>846</v>
      </c>
      <c r="B847">
        <v>31</v>
      </c>
      <c r="C847" t="s">
        <v>19</v>
      </c>
      <c r="D847" t="s">
        <v>133</v>
      </c>
      <c r="E847" t="s">
        <v>69</v>
      </c>
      <c r="F847" s="1">
        <v>21</v>
      </c>
      <c r="G847" t="s">
        <v>151</v>
      </c>
      <c r="H847" t="s">
        <v>92</v>
      </c>
      <c r="I847" t="s">
        <v>63</v>
      </c>
      <c r="J847" t="s">
        <v>25</v>
      </c>
      <c r="K847" s="2">
        <v>3.7</v>
      </c>
      <c r="L847" t="s">
        <v>26</v>
      </c>
      <c r="M847" t="s">
        <v>46</v>
      </c>
      <c r="N847" t="s">
        <v>55</v>
      </c>
      <c r="O847" t="s">
        <v>26</v>
      </c>
      <c r="P847" t="s">
        <v>26</v>
      </c>
      <c r="Q847" s="3">
        <v>30</v>
      </c>
      <c r="R847" t="s">
        <v>29</v>
      </c>
      <c r="S847" t="s">
        <v>88</v>
      </c>
    </row>
    <row r="848" spans="1:19" x14ac:dyDescent="0.25">
      <c r="A848">
        <v>847</v>
      </c>
      <c r="B848">
        <v>49</v>
      </c>
      <c r="C848" t="s">
        <v>19</v>
      </c>
      <c r="D848" t="s">
        <v>137</v>
      </c>
      <c r="E848" t="s">
        <v>43</v>
      </c>
      <c r="F848" s="1">
        <v>72</v>
      </c>
      <c r="G848" t="s">
        <v>22</v>
      </c>
      <c r="H848" t="s">
        <v>45</v>
      </c>
      <c r="I848" t="s">
        <v>71</v>
      </c>
      <c r="J848" t="s">
        <v>39</v>
      </c>
      <c r="K848" s="2">
        <v>3.7</v>
      </c>
      <c r="L848" t="s">
        <v>26</v>
      </c>
      <c r="M848" t="s">
        <v>34</v>
      </c>
      <c r="N848" t="s">
        <v>28</v>
      </c>
      <c r="O848" t="s">
        <v>26</v>
      </c>
      <c r="P848" t="s">
        <v>26</v>
      </c>
      <c r="Q848" s="3">
        <v>42</v>
      </c>
      <c r="R848" t="s">
        <v>59</v>
      </c>
      <c r="S848" t="s">
        <v>60</v>
      </c>
    </row>
    <row r="849" spans="1:19" x14ac:dyDescent="0.25">
      <c r="A849">
        <v>848</v>
      </c>
      <c r="B849">
        <v>53</v>
      </c>
      <c r="C849" t="s">
        <v>19</v>
      </c>
      <c r="D849" t="s">
        <v>104</v>
      </c>
      <c r="E849" t="s">
        <v>21</v>
      </c>
      <c r="F849" s="1">
        <v>44</v>
      </c>
      <c r="G849" t="s">
        <v>127</v>
      </c>
      <c r="H849" t="s">
        <v>23</v>
      </c>
      <c r="I849" t="s">
        <v>144</v>
      </c>
      <c r="J849" t="s">
        <v>58</v>
      </c>
      <c r="K849" s="2">
        <v>4.0999999999999996</v>
      </c>
      <c r="L849" t="s">
        <v>26</v>
      </c>
      <c r="M849" t="s">
        <v>34</v>
      </c>
      <c r="N849" t="s">
        <v>55</v>
      </c>
      <c r="O849" t="s">
        <v>26</v>
      </c>
      <c r="P849" t="s">
        <v>26</v>
      </c>
      <c r="Q849" s="3">
        <v>30</v>
      </c>
      <c r="R849" t="s">
        <v>46</v>
      </c>
      <c r="S849" t="s">
        <v>88</v>
      </c>
    </row>
    <row r="850" spans="1:19" x14ac:dyDescent="0.25">
      <c r="A850">
        <v>849</v>
      </c>
      <c r="B850">
        <v>48</v>
      </c>
      <c r="C850" t="s">
        <v>19</v>
      </c>
      <c r="D850" t="s">
        <v>42</v>
      </c>
      <c r="E850" t="s">
        <v>43</v>
      </c>
      <c r="F850" s="1">
        <v>73</v>
      </c>
      <c r="G850" t="s">
        <v>80</v>
      </c>
      <c r="H850" t="s">
        <v>45</v>
      </c>
      <c r="I850" t="s">
        <v>93</v>
      </c>
      <c r="J850" t="s">
        <v>58</v>
      </c>
      <c r="K850" s="2">
        <v>3.6</v>
      </c>
      <c r="L850" t="s">
        <v>26</v>
      </c>
      <c r="M850" t="s">
        <v>46</v>
      </c>
      <c r="N850" t="s">
        <v>76</v>
      </c>
      <c r="O850" t="s">
        <v>26</v>
      </c>
      <c r="P850" t="s">
        <v>26</v>
      </c>
      <c r="Q850" s="3">
        <v>33</v>
      </c>
      <c r="R850" t="s">
        <v>27</v>
      </c>
      <c r="S850" t="s">
        <v>77</v>
      </c>
    </row>
    <row r="851" spans="1:19" x14ac:dyDescent="0.25">
      <c r="A851">
        <v>850</v>
      </c>
      <c r="B851">
        <v>23</v>
      </c>
      <c r="C851" t="s">
        <v>19</v>
      </c>
      <c r="D851" t="s">
        <v>36</v>
      </c>
      <c r="E851" t="s">
        <v>21</v>
      </c>
      <c r="F851" s="1">
        <v>61</v>
      </c>
      <c r="G851" t="s">
        <v>70</v>
      </c>
      <c r="H851" t="s">
        <v>38</v>
      </c>
      <c r="I851" t="s">
        <v>63</v>
      </c>
      <c r="J851" t="s">
        <v>39</v>
      </c>
      <c r="K851" s="2">
        <v>4.3</v>
      </c>
      <c r="L851" t="s">
        <v>26</v>
      </c>
      <c r="M851" t="s">
        <v>59</v>
      </c>
      <c r="N851" t="s">
        <v>28</v>
      </c>
      <c r="O851" t="s">
        <v>26</v>
      </c>
      <c r="P851" t="s">
        <v>26</v>
      </c>
      <c r="Q851" s="3">
        <v>24</v>
      </c>
      <c r="R851" t="s">
        <v>46</v>
      </c>
      <c r="S851" t="s">
        <v>60</v>
      </c>
    </row>
    <row r="852" spans="1:19" x14ac:dyDescent="0.25">
      <c r="A852">
        <v>851</v>
      </c>
      <c r="B852">
        <v>68</v>
      </c>
      <c r="C852" t="s">
        <v>19</v>
      </c>
      <c r="D852" t="s">
        <v>73</v>
      </c>
      <c r="E852" t="s">
        <v>43</v>
      </c>
      <c r="F852" s="1">
        <v>20</v>
      </c>
      <c r="G852" t="s">
        <v>139</v>
      </c>
      <c r="H852" t="s">
        <v>23</v>
      </c>
      <c r="I852" t="s">
        <v>49</v>
      </c>
      <c r="J852" t="s">
        <v>25</v>
      </c>
      <c r="K852" s="2">
        <v>2.6</v>
      </c>
      <c r="L852" t="s">
        <v>26</v>
      </c>
      <c r="M852" t="s">
        <v>34</v>
      </c>
      <c r="N852" t="s">
        <v>76</v>
      </c>
      <c r="O852" t="s">
        <v>26</v>
      </c>
      <c r="P852" t="s">
        <v>26</v>
      </c>
      <c r="Q852" s="3">
        <v>13</v>
      </c>
      <c r="R852" t="s">
        <v>29</v>
      </c>
      <c r="S852" t="s">
        <v>88</v>
      </c>
    </row>
    <row r="853" spans="1:19" x14ac:dyDescent="0.25">
      <c r="A853">
        <v>852</v>
      </c>
      <c r="B853">
        <v>35</v>
      </c>
      <c r="C853" t="s">
        <v>19</v>
      </c>
      <c r="D853" t="s">
        <v>42</v>
      </c>
      <c r="E853" t="s">
        <v>43</v>
      </c>
      <c r="F853" s="1">
        <v>86</v>
      </c>
      <c r="G853" t="s">
        <v>37</v>
      </c>
      <c r="H853" t="s">
        <v>45</v>
      </c>
      <c r="I853" t="s">
        <v>108</v>
      </c>
      <c r="J853" t="s">
        <v>54</v>
      </c>
      <c r="K853" s="2">
        <v>2.9</v>
      </c>
      <c r="L853" t="s">
        <v>26</v>
      </c>
      <c r="M853" t="s">
        <v>27</v>
      </c>
      <c r="N853" t="s">
        <v>28</v>
      </c>
      <c r="O853" t="s">
        <v>26</v>
      </c>
      <c r="P853" t="s">
        <v>26</v>
      </c>
      <c r="Q853" s="3">
        <v>19</v>
      </c>
      <c r="R853" t="s">
        <v>59</v>
      </c>
      <c r="S853" t="s">
        <v>88</v>
      </c>
    </row>
    <row r="854" spans="1:19" x14ac:dyDescent="0.25">
      <c r="A854">
        <v>853</v>
      </c>
      <c r="B854">
        <v>34</v>
      </c>
      <c r="C854" t="s">
        <v>19</v>
      </c>
      <c r="D854" t="s">
        <v>82</v>
      </c>
      <c r="E854" t="s">
        <v>21</v>
      </c>
      <c r="F854" s="1">
        <v>60</v>
      </c>
      <c r="G854" t="s">
        <v>103</v>
      </c>
      <c r="H854" t="s">
        <v>23</v>
      </c>
      <c r="I854" t="s">
        <v>134</v>
      </c>
      <c r="J854" t="s">
        <v>39</v>
      </c>
      <c r="K854" s="2">
        <v>4.2</v>
      </c>
      <c r="L854" t="s">
        <v>26</v>
      </c>
      <c r="M854" t="s">
        <v>29</v>
      </c>
      <c r="N854" t="s">
        <v>47</v>
      </c>
      <c r="O854" t="s">
        <v>26</v>
      </c>
      <c r="P854" t="s">
        <v>26</v>
      </c>
      <c r="Q854" s="3">
        <v>23</v>
      </c>
      <c r="R854" t="s">
        <v>59</v>
      </c>
      <c r="S854" t="s">
        <v>97</v>
      </c>
    </row>
    <row r="855" spans="1:19" x14ac:dyDescent="0.25">
      <c r="A855">
        <v>854</v>
      </c>
      <c r="B855">
        <v>62</v>
      </c>
      <c r="C855" t="s">
        <v>19</v>
      </c>
      <c r="D855" t="s">
        <v>124</v>
      </c>
      <c r="E855" t="s">
        <v>69</v>
      </c>
      <c r="F855" s="1">
        <v>43</v>
      </c>
      <c r="G855" t="s">
        <v>80</v>
      </c>
      <c r="H855" t="s">
        <v>23</v>
      </c>
      <c r="I855" t="s">
        <v>121</v>
      </c>
      <c r="J855" t="s">
        <v>25</v>
      </c>
      <c r="K855" s="2">
        <v>4</v>
      </c>
      <c r="L855" t="s">
        <v>26</v>
      </c>
      <c r="M855" t="s">
        <v>46</v>
      </c>
      <c r="N855" t="s">
        <v>40</v>
      </c>
      <c r="O855" t="s">
        <v>26</v>
      </c>
      <c r="P855" t="s">
        <v>26</v>
      </c>
      <c r="Q855" s="3">
        <v>35</v>
      </c>
      <c r="R855" t="s">
        <v>35</v>
      </c>
      <c r="S855" t="s">
        <v>88</v>
      </c>
    </row>
    <row r="856" spans="1:19" x14ac:dyDescent="0.25">
      <c r="A856">
        <v>855</v>
      </c>
      <c r="B856">
        <v>21</v>
      </c>
      <c r="C856" t="s">
        <v>19</v>
      </c>
      <c r="D856" t="s">
        <v>95</v>
      </c>
      <c r="E856" t="s">
        <v>21</v>
      </c>
      <c r="F856" s="1">
        <v>44</v>
      </c>
      <c r="G856" t="s">
        <v>99</v>
      </c>
      <c r="H856" t="s">
        <v>23</v>
      </c>
      <c r="I856" t="s">
        <v>144</v>
      </c>
      <c r="J856" t="s">
        <v>39</v>
      </c>
      <c r="K856" s="2">
        <v>4.3</v>
      </c>
      <c r="L856" t="s">
        <v>26</v>
      </c>
      <c r="M856" t="s">
        <v>34</v>
      </c>
      <c r="N856" t="s">
        <v>40</v>
      </c>
      <c r="O856" t="s">
        <v>26</v>
      </c>
      <c r="P856" t="s">
        <v>26</v>
      </c>
      <c r="Q856" s="3">
        <v>22</v>
      </c>
      <c r="R856" t="s">
        <v>29</v>
      </c>
      <c r="S856" t="s">
        <v>88</v>
      </c>
    </row>
    <row r="857" spans="1:19" x14ac:dyDescent="0.25">
      <c r="A857">
        <v>856</v>
      </c>
      <c r="B857">
        <v>70</v>
      </c>
      <c r="C857" t="s">
        <v>19</v>
      </c>
      <c r="D857" t="s">
        <v>125</v>
      </c>
      <c r="E857" t="s">
        <v>21</v>
      </c>
      <c r="F857" s="1">
        <v>76</v>
      </c>
      <c r="G857" t="s">
        <v>48</v>
      </c>
      <c r="H857" t="s">
        <v>23</v>
      </c>
      <c r="I857" t="s">
        <v>81</v>
      </c>
      <c r="J857" t="s">
        <v>39</v>
      </c>
      <c r="K857" s="2">
        <v>3</v>
      </c>
      <c r="L857" t="s">
        <v>26</v>
      </c>
      <c r="M857" t="s">
        <v>35</v>
      </c>
      <c r="N857" t="s">
        <v>72</v>
      </c>
      <c r="O857" t="s">
        <v>26</v>
      </c>
      <c r="P857" t="s">
        <v>26</v>
      </c>
      <c r="Q857" s="3">
        <v>14</v>
      </c>
      <c r="R857" t="s">
        <v>27</v>
      </c>
      <c r="S857" t="s">
        <v>60</v>
      </c>
    </row>
    <row r="858" spans="1:19" x14ac:dyDescent="0.25">
      <c r="A858">
        <v>857</v>
      </c>
      <c r="B858">
        <v>55</v>
      </c>
      <c r="C858" t="s">
        <v>19</v>
      </c>
      <c r="D858" t="s">
        <v>56</v>
      </c>
      <c r="E858" t="s">
        <v>21</v>
      </c>
      <c r="F858" s="1">
        <v>33</v>
      </c>
      <c r="G858" t="s">
        <v>120</v>
      </c>
      <c r="H858" t="s">
        <v>45</v>
      </c>
      <c r="I858" t="s">
        <v>81</v>
      </c>
      <c r="J858" t="s">
        <v>54</v>
      </c>
      <c r="K858" s="2">
        <v>3.5</v>
      </c>
      <c r="L858" t="s">
        <v>26</v>
      </c>
      <c r="M858" t="s">
        <v>59</v>
      </c>
      <c r="N858" t="s">
        <v>28</v>
      </c>
      <c r="O858" t="s">
        <v>26</v>
      </c>
      <c r="P858" t="s">
        <v>26</v>
      </c>
      <c r="Q858" s="3">
        <v>47</v>
      </c>
      <c r="R858" t="s">
        <v>59</v>
      </c>
      <c r="S858" t="s">
        <v>30</v>
      </c>
    </row>
    <row r="859" spans="1:19" x14ac:dyDescent="0.25">
      <c r="A859">
        <v>858</v>
      </c>
      <c r="B859">
        <v>43</v>
      </c>
      <c r="C859" t="s">
        <v>19</v>
      </c>
      <c r="D859" t="s">
        <v>61</v>
      </c>
      <c r="E859" t="s">
        <v>21</v>
      </c>
      <c r="F859" s="1">
        <v>60</v>
      </c>
      <c r="G859" t="s">
        <v>70</v>
      </c>
      <c r="H859" t="s">
        <v>23</v>
      </c>
      <c r="I859" t="s">
        <v>109</v>
      </c>
      <c r="J859" t="s">
        <v>58</v>
      </c>
      <c r="K859" s="2">
        <v>3</v>
      </c>
      <c r="L859" t="s">
        <v>26</v>
      </c>
      <c r="M859" t="s">
        <v>35</v>
      </c>
      <c r="N859" t="s">
        <v>55</v>
      </c>
      <c r="O859" t="s">
        <v>26</v>
      </c>
      <c r="P859" t="s">
        <v>26</v>
      </c>
      <c r="Q859" s="3">
        <v>50</v>
      </c>
      <c r="R859" t="s">
        <v>59</v>
      </c>
      <c r="S859" t="s">
        <v>97</v>
      </c>
    </row>
    <row r="860" spans="1:19" x14ac:dyDescent="0.25">
      <c r="A860">
        <v>859</v>
      </c>
      <c r="B860">
        <v>19</v>
      </c>
      <c r="C860" t="s">
        <v>19</v>
      </c>
      <c r="D860" t="s">
        <v>102</v>
      </c>
      <c r="E860" t="s">
        <v>65</v>
      </c>
      <c r="F860" s="1">
        <v>26</v>
      </c>
      <c r="G860" t="s">
        <v>101</v>
      </c>
      <c r="H860" t="s">
        <v>23</v>
      </c>
      <c r="I860" t="s">
        <v>79</v>
      </c>
      <c r="J860" t="s">
        <v>58</v>
      </c>
      <c r="K860" s="2">
        <v>3.1</v>
      </c>
      <c r="L860" t="s">
        <v>26</v>
      </c>
      <c r="M860" t="s">
        <v>46</v>
      </c>
      <c r="N860" t="s">
        <v>40</v>
      </c>
      <c r="O860" t="s">
        <v>26</v>
      </c>
      <c r="P860" t="s">
        <v>26</v>
      </c>
      <c r="Q860" s="3">
        <v>33</v>
      </c>
      <c r="R860" t="s">
        <v>46</v>
      </c>
      <c r="S860" t="s">
        <v>41</v>
      </c>
    </row>
    <row r="861" spans="1:19" x14ac:dyDescent="0.25">
      <c r="A861">
        <v>860</v>
      </c>
      <c r="B861">
        <v>47</v>
      </c>
      <c r="C861" t="s">
        <v>19</v>
      </c>
      <c r="D861" t="s">
        <v>104</v>
      </c>
      <c r="E861" t="s">
        <v>21</v>
      </c>
      <c r="F861" s="1">
        <v>73</v>
      </c>
      <c r="G861" t="s">
        <v>150</v>
      </c>
      <c r="H861" t="s">
        <v>45</v>
      </c>
      <c r="I861" t="s">
        <v>86</v>
      </c>
      <c r="J861" t="s">
        <v>25</v>
      </c>
      <c r="K861" s="2">
        <v>4</v>
      </c>
      <c r="L861" t="s">
        <v>26</v>
      </c>
      <c r="M861" t="s">
        <v>27</v>
      </c>
      <c r="N861" t="s">
        <v>47</v>
      </c>
      <c r="O861" t="s">
        <v>26</v>
      </c>
      <c r="P861" t="s">
        <v>26</v>
      </c>
      <c r="Q861" s="3">
        <v>7</v>
      </c>
      <c r="R861" t="s">
        <v>59</v>
      </c>
      <c r="S861" t="s">
        <v>88</v>
      </c>
    </row>
    <row r="862" spans="1:19" x14ac:dyDescent="0.25">
      <c r="A862">
        <v>861</v>
      </c>
      <c r="B862">
        <v>26</v>
      </c>
      <c r="C862" t="s">
        <v>19</v>
      </c>
      <c r="D862" t="s">
        <v>73</v>
      </c>
      <c r="E862" t="s">
        <v>43</v>
      </c>
      <c r="F862" s="1">
        <v>87</v>
      </c>
      <c r="G862" t="s">
        <v>131</v>
      </c>
      <c r="H862" t="s">
        <v>45</v>
      </c>
      <c r="I862" t="s">
        <v>33</v>
      </c>
      <c r="J862" t="s">
        <v>39</v>
      </c>
      <c r="K862" s="2">
        <v>4.0999999999999996</v>
      </c>
      <c r="L862" t="s">
        <v>26</v>
      </c>
      <c r="M862" t="s">
        <v>59</v>
      </c>
      <c r="N862" t="s">
        <v>55</v>
      </c>
      <c r="O862" t="s">
        <v>26</v>
      </c>
      <c r="P862" t="s">
        <v>26</v>
      </c>
      <c r="Q862" s="3">
        <v>3</v>
      </c>
      <c r="R862" t="s">
        <v>35</v>
      </c>
      <c r="S862" t="s">
        <v>88</v>
      </c>
    </row>
    <row r="863" spans="1:19" x14ac:dyDescent="0.25">
      <c r="A863">
        <v>862</v>
      </c>
      <c r="B863">
        <v>46</v>
      </c>
      <c r="C863" t="s">
        <v>19</v>
      </c>
      <c r="D863" t="s">
        <v>87</v>
      </c>
      <c r="E863" t="s">
        <v>21</v>
      </c>
      <c r="F863" s="1">
        <v>100</v>
      </c>
      <c r="G863" t="s">
        <v>141</v>
      </c>
      <c r="H863" t="s">
        <v>92</v>
      </c>
      <c r="I863" t="s">
        <v>96</v>
      </c>
      <c r="J863" t="s">
        <v>39</v>
      </c>
      <c r="K863" s="2">
        <v>3.3</v>
      </c>
      <c r="L863" t="s">
        <v>26</v>
      </c>
      <c r="M863" t="s">
        <v>46</v>
      </c>
      <c r="N863" t="s">
        <v>72</v>
      </c>
      <c r="O863" t="s">
        <v>26</v>
      </c>
      <c r="P863" t="s">
        <v>26</v>
      </c>
      <c r="Q863" s="3">
        <v>35</v>
      </c>
      <c r="R863" t="s">
        <v>27</v>
      </c>
      <c r="S863" t="s">
        <v>97</v>
      </c>
    </row>
    <row r="864" spans="1:19" x14ac:dyDescent="0.25">
      <c r="A864">
        <v>863</v>
      </c>
      <c r="B864">
        <v>19</v>
      </c>
      <c r="C864" t="s">
        <v>19</v>
      </c>
      <c r="D864" t="s">
        <v>64</v>
      </c>
      <c r="E864" t="s">
        <v>65</v>
      </c>
      <c r="F864" s="1">
        <v>84</v>
      </c>
      <c r="G864" t="s">
        <v>74</v>
      </c>
      <c r="H864" t="s">
        <v>45</v>
      </c>
      <c r="I864" t="s">
        <v>63</v>
      </c>
      <c r="J864" t="s">
        <v>25</v>
      </c>
      <c r="K864" s="2">
        <v>4.9000000000000004</v>
      </c>
      <c r="L864" t="s">
        <v>26</v>
      </c>
      <c r="M864" t="s">
        <v>46</v>
      </c>
      <c r="N864" t="s">
        <v>55</v>
      </c>
      <c r="O864" t="s">
        <v>26</v>
      </c>
      <c r="P864" t="s">
        <v>26</v>
      </c>
      <c r="Q864" s="3">
        <v>13</v>
      </c>
      <c r="R864" t="s">
        <v>46</v>
      </c>
      <c r="S864" t="s">
        <v>30</v>
      </c>
    </row>
    <row r="865" spans="1:19" x14ac:dyDescent="0.25">
      <c r="A865">
        <v>864</v>
      </c>
      <c r="B865">
        <v>49</v>
      </c>
      <c r="C865" t="s">
        <v>19</v>
      </c>
      <c r="D865" t="s">
        <v>51</v>
      </c>
      <c r="E865" t="s">
        <v>43</v>
      </c>
      <c r="F865" s="1">
        <v>41</v>
      </c>
      <c r="G865" t="s">
        <v>129</v>
      </c>
      <c r="H865" t="s">
        <v>45</v>
      </c>
      <c r="I865" t="s">
        <v>109</v>
      </c>
      <c r="J865" t="s">
        <v>54</v>
      </c>
      <c r="K865" s="2">
        <v>3.9</v>
      </c>
      <c r="L865" t="s">
        <v>26</v>
      </c>
      <c r="M865" t="s">
        <v>46</v>
      </c>
      <c r="N865" t="s">
        <v>55</v>
      </c>
      <c r="O865" t="s">
        <v>26</v>
      </c>
      <c r="P865" t="s">
        <v>26</v>
      </c>
      <c r="Q865" s="3">
        <v>42</v>
      </c>
      <c r="R865" t="s">
        <v>46</v>
      </c>
      <c r="S865" t="s">
        <v>30</v>
      </c>
    </row>
    <row r="866" spans="1:19" x14ac:dyDescent="0.25">
      <c r="A866">
        <v>865</v>
      </c>
      <c r="B866">
        <v>51</v>
      </c>
      <c r="C866" t="s">
        <v>19</v>
      </c>
      <c r="D866" t="s">
        <v>36</v>
      </c>
      <c r="E866" t="s">
        <v>21</v>
      </c>
      <c r="F866" s="1">
        <v>59</v>
      </c>
      <c r="G866" t="s">
        <v>22</v>
      </c>
      <c r="H866" t="s">
        <v>38</v>
      </c>
      <c r="I866" t="s">
        <v>63</v>
      </c>
      <c r="J866" t="s">
        <v>25</v>
      </c>
      <c r="K866" s="2">
        <v>3.9</v>
      </c>
      <c r="L866" t="s">
        <v>26</v>
      </c>
      <c r="M866" t="s">
        <v>46</v>
      </c>
      <c r="N866" t="s">
        <v>47</v>
      </c>
      <c r="O866" t="s">
        <v>26</v>
      </c>
      <c r="P866" t="s">
        <v>26</v>
      </c>
      <c r="Q866" s="3">
        <v>5</v>
      </c>
      <c r="R866" t="s">
        <v>46</v>
      </c>
      <c r="S866" t="s">
        <v>50</v>
      </c>
    </row>
    <row r="867" spans="1:19" x14ac:dyDescent="0.25">
      <c r="A867">
        <v>866</v>
      </c>
      <c r="B867">
        <v>64</v>
      </c>
      <c r="C867" t="s">
        <v>19</v>
      </c>
      <c r="D867" t="s">
        <v>20</v>
      </c>
      <c r="E867" t="s">
        <v>21</v>
      </c>
      <c r="F867" s="1">
        <v>26</v>
      </c>
      <c r="G867" t="s">
        <v>112</v>
      </c>
      <c r="H867" t="s">
        <v>23</v>
      </c>
      <c r="I867" t="s">
        <v>63</v>
      </c>
      <c r="J867" t="s">
        <v>25</v>
      </c>
      <c r="K867" s="2">
        <v>4.8</v>
      </c>
      <c r="L867" t="s">
        <v>26</v>
      </c>
      <c r="M867" t="s">
        <v>34</v>
      </c>
      <c r="N867" t="s">
        <v>76</v>
      </c>
      <c r="O867" t="s">
        <v>26</v>
      </c>
      <c r="P867" t="s">
        <v>26</v>
      </c>
      <c r="Q867" s="3">
        <v>23</v>
      </c>
      <c r="R867" t="s">
        <v>29</v>
      </c>
      <c r="S867" t="s">
        <v>50</v>
      </c>
    </row>
    <row r="868" spans="1:19" x14ac:dyDescent="0.25">
      <c r="A868">
        <v>867</v>
      </c>
      <c r="B868">
        <v>67</v>
      </c>
      <c r="C868" t="s">
        <v>19</v>
      </c>
      <c r="D868" t="s">
        <v>89</v>
      </c>
      <c r="E868" t="s">
        <v>69</v>
      </c>
      <c r="F868" s="1">
        <v>69</v>
      </c>
      <c r="G868" t="s">
        <v>130</v>
      </c>
      <c r="H868" t="s">
        <v>45</v>
      </c>
      <c r="I868" t="s">
        <v>93</v>
      </c>
      <c r="J868" t="s">
        <v>54</v>
      </c>
      <c r="K868" s="2">
        <v>2.7</v>
      </c>
      <c r="L868" t="s">
        <v>26</v>
      </c>
      <c r="M868" t="s">
        <v>27</v>
      </c>
      <c r="N868" t="s">
        <v>40</v>
      </c>
      <c r="O868" t="s">
        <v>26</v>
      </c>
      <c r="P868" t="s">
        <v>26</v>
      </c>
      <c r="Q868" s="3">
        <v>11</v>
      </c>
      <c r="R868" t="s">
        <v>46</v>
      </c>
      <c r="S868" t="s">
        <v>77</v>
      </c>
    </row>
    <row r="869" spans="1:19" x14ac:dyDescent="0.25">
      <c r="A869">
        <v>868</v>
      </c>
      <c r="B869">
        <v>37</v>
      </c>
      <c r="C869" t="s">
        <v>19</v>
      </c>
      <c r="D869" t="s">
        <v>102</v>
      </c>
      <c r="E869" t="s">
        <v>65</v>
      </c>
      <c r="F869" s="1">
        <v>20</v>
      </c>
      <c r="G869" t="s">
        <v>112</v>
      </c>
      <c r="H869" t="s">
        <v>45</v>
      </c>
      <c r="I869" t="s">
        <v>49</v>
      </c>
      <c r="J869" t="s">
        <v>39</v>
      </c>
      <c r="K869" s="2">
        <v>3.1</v>
      </c>
      <c r="L869" t="s">
        <v>26</v>
      </c>
      <c r="M869" t="s">
        <v>59</v>
      </c>
      <c r="N869" t="s">
        <v>40</v>
      </c>
      <c r="O869" t="s">
        <v>26</v>
      </c>
      <c r="P869" t="s">
        <v>26</v>
      </c>
      <c r="Q869" s="3">
        <v>23</v>
      </c>
      <c r="R869" t="s">
        <v>34</v>
      </c>
      <c r="S869" t="s">
        <v>30</v>
      </c>
    </row>
    <row r="870" spans="1:19" x14ac:dyDescent="0.25">
      <c r="A870">
        <v>869</v>
      </c>
      <c r="B870">
        <v>40</v>
      </c>
      <c r="C870" t="s">
        <v>19</v>
      </c>
      <c r="D870" t="s">
        <v>82</v>
      </c>
      <c r="E870" t="s">
        <v>21</v>
      </c>
      <c r="F870" s="1">
        <v>83</v>
      </c>
      <c r="G870" t="s">
        <v>98</v>
      </c>
      <c r="H870" t="s">
        <v>45</v>
      </c>
      <c r="I870" t="s">
        <v>96</v>
      </c>
      <c r="J870" t="s">
        <v>54</v>
      </c>
      <c r="K870" s="2">
        <v>3.2</v>
      </c>
      <c r="L870" t="s">
        <v>26</v>
      </c>
      <c r="M870" t="s">
        <v>27</v>
      </c>
      <c r="N870" t="s">
        <v>47</v>
      </c>
      <c r="O870" t="s">
        <v>26</v>
      </c>
      <c r="P870" t="s">
        <v>26</v>
      </c>
      <c r="Q870" s="3">
        <v>2</v>
      </c>
      <c r="R870" t="s">
        <v>27</v>
      </c>
      <c r="S870" t="s">
        <v>97</v>
      </c>
    </row>
    <row r="871" spans="1:19" x14ac:dyDescent="0.25">
      <c r="A871">
        <v>870</v>
      </c>
      <c r="B871">
        <v>38</v>
      </c>
      <c r="C871" t="s">
        <v>19</v>
      </c>
      <c r="D871" t="s">
        <v>124</v>
      </c>
      <c r="E871" t="s">
        <v>69</v>
      </c>
      <c r="F871" s="1">
        <v>54</v>
      </c>
      <c r="G871" t="s">
        <v>83</v>
      </c>
      <c r="H871" t="s">
        <v>45</v>
      </c>
      <c r="I871" t="s">
        <v>67</v>
      </c>
      <c r="J871" t="s">
        <v>39</v>
      </c>
      <c r="K871" s="2">
        <v>2.7</v>
      </c>
      <c r="L871" t="s">
        <v>26</v>
      </c>
      <c r="M871" t="s">
        <v>46</v>
      </c>
      <c r="N871" t="s">
        <v>72</v>
      </c>
      <c r="O871" t="s">
        <v>26</v>
      </c>
      <c r="P871" t="s">
        <v>26</v>
      </c>
      <c r="Q871" s="3">
        <v>33</v>
      </c>
      <c r="R871" t="s">
        <v>46</v>
      </c>
      <c r="S871" t="s">
        <v>41</v>
      </c>
    </row>
    <row r="872" spans="1:19" x14ac:dyDescent="0.25">
      <c r="A872">
        <v>871</v>
      </c>
      <c r="B872">
        <v>66</v>
      </c>
      <c r="C872" t="s">
        <v>19</v>
      </c>
      <c r="D872" t="s">
        <v>104</v>
      </c>
      <c r="E872" t="s">
        <v>21</v>
      </c>
      <c r="F872" s="1">
        <v>66</v>
      </c>
      <c r="G872" t="s">
        <v>66</v>
      </c>
      <c r="H872" t="s">
        <v>45</v>
      </c>
      <c r="I872" t="s">
        <v>144</v>
      </c>
      <c r="J872" t="s">
        <v>58</v>
      </c>
      <c r="K872" s="2">
        <v>2.5</v>
      </c>
      <c r="L872" t="s">
        <v>26</v>
      </c>
      <c r="M872" t="s">
        <v>35</v>
      </c>
      <c r="N872" t="s">
        <v>55</v>
      </c>
      <c r="O872" t="s">
        <v>26</v>
      </c>
      <c r="P872" t="s">
        <v>26</v>
      </c>
      <c r="Q872" s="3">
        <v>6</v>
      </c>
      <c r="R872" t="s">
        <v>34</v>
      </c>
      <c r="S872" t="s">
        <v>77</v>
      </c>
    </row>
    <row r="873" spans="1:19" x14ac:dyDescent="0.25">
      <c r="A873">
        <v>872</v>
      </c>
      <c r="B873">
        <v>47</v>
      </c>
      <c r="C873" t="s">
        <v>19</v>
      </c>
      <c r="D873" t="s">
        <v>68</v>
      </c>
      <c r="E873" t="s">
        <v>69</v>
      </c>
      <c r="F873" s="1">
        <v>42</v>
      </c>
      <c r="G873" t="s">
        <v>78</v>
      </c>
      <c r="H873" t="s">
        <v>45</v>
      </c>
      <c r="I873" t="s">
        <v>63</v>
      </c>
      <c r="J873" t="s">
        <v>39</v>
      </c>
      <c r="K873" s="2">
        <v>2.6</v>
      </c>
      <c r="L873" t="s">
        <v>26</v>
      </c>
      <c r="M873" t="s">
        <v>34</v>
      </c>
      <c r="N873" t="s">
        <v>47</v>
      </c>
      <c r="O873" t="s">
        <v>26</v>
      </c>
      <c r="P873" t="s">
        <v>26</v>
      </c>
      <c r="Q873" s="3">
        <v>45</v>
      </c>
      <c r="R873" t="s">
        <v>59</v>
      </c>
      <c r="S873" t="s">
        <v>60</v>
      </c>
    </row>
    <row r="874" spans="1:19" x14ac:dyDescent="0.25">
      <c r="A874">
        <v>873</v>
      </c>
      <c r="B874">
        <v>56</v>
      </c>
      <c r="C874" t="s">
        <v>19</v>
      </c>
      <c r="D874" t="s">
        <v>36</v>
      </c>
      <c r="E874" t="s">
        <v>21</v>
      </c>
      <c r="F874" s="1">
        <v>33</v>
      </c>
      <c r="G874" t="s">
        <v>114</v>
      </c>
      <c r="H874" t="s">
        <v>45</v>
      </c>
      <c r="I874" t="s">
        <v>71</v>
      </c>
      <c r="J874" t="s">
        <v>39</v>
      </c>
      <c r="K874" s="2">
        <v>2.9</v>
      </c>
      <c r="L874" t="s">
        <v>26</v>
      </c>
      <c r="M874" t="s">
        <v>35</v>
      </c>
      <c r="N874" t="s">
        <v>55</v>
      </c>
      <c r="O874" t="s">
        <v>26</v>
      </c>
      <c r="P874" t="s">
        <v>26</v>
      </c>
      <c r="Q874" s="3">
        <v>25</v>
      </c>
      <c r="R874" t="s">
        <v>35</v>
      </c>
      <c r="S874" t="s">
        <v>60</v>
      </c>
    </row>
    <row r="875" spans="1:19" x14ac:dyDescent="0.25">
      <c r="A875">
        <v>874</v>
      </c>
      <c r="B875">
        <v>51</v>
      </c>
      <c r="C875" t="s">
        <v>19</v>
      </c>
      <c r="D875" t="s">
        <v>137</v>
      </c>
      <c r="E875" t="s">
        <v>43</v>
      </c>
      <c r="F875" s="1">
        <v>77</v>
      </c>
      <c r="G875" t="s">
        <v>91</v>
      </c>
      <c r="H875" t="s">
        <v>45</v>
      </c>
      <c r="I875" t="s">
        <v>71</v>
      </c>
      <c r="J875" t="s">
        <v>54</v>
      </c>
      <c r="K875" s="2">
        <v>4.2</v>
      </c>
      <c r="L875" t="s">
        <v>26</v>
      </c>
      <c r="M875" t="s">
        <v>46</v>
      </c>
      <c r="N875" t="s">
        <v>40</v>
      </c>
      <c r="O875" t="s">
        <v>26</v>
      </c>
      <c r="P875" t="s">
        <v>26</v>
      </c>
      <c r="Q875" s="3">
        <v>24</v>
      </c>
      <c r="R875" t="s">
        <v>29</v>
      </c>
      <c r="S875" t="s">
        <v>60</v>
      </c>
    </row>
    <row r="876" spans="1:19" x14ac:dyDescent="0.25">
      <c r="A876">
        <v>875</v>
      </c>
      <c r="B876">
        <v>25</v>
      </c>
      <c r="C876" t="s">
        <v>19</v>
      </c>
      <c r="D876" t="s">
        <v>102</v>
      </c>
      <c r="E876" t="s">
        <v>65</v>
      </c>
      <c r="F876" s="1">
        <v>65</v>
      </c>
      <c r="G876" t="s">
        <v>32</v>
      </c>
      <c r="H876" t="s">
        <v>45</v>
      </c>
      <c r="I876" t="s">
        <v>136</v>
      </c>
      <c r="J876" t="s">
        <v>58</v>
      </c>
      <c r="K876" s="2">
        <v>4.4000000000000004</v>
      </c>
      <c r="L876" t="s">
        <v>26</v>
      </c>
      <c r="M876" t="s">
        <v>46</v>
      </c>
      <c r="N876" t="s">
        <v>40</v>
      </c>
      <c r="O876" t="s">
        <v>26</v>
      </c>
      <c r="P876" t="s">
        <v>26</v>
      </c>
      <c r="Q876" s="3">
        <v>10</v>
      </c>
      <c r="R876" t="s">
        <v>29</v>
      </c>
      <c r="S876" t="s">
        <v>97</v>
      </c>
    </row>
    <row r="877" spans="1:19" x14ac:dyDescent="0.25">
      <c r="A877">
        <v>876</v>
      </c>
      <c r="B877">
        <v>37</v>
      </c>
      <c r="C877" t="s">
        <v>19</v>
      </c>
      <c r="D877" t="s">
        <v>42</v>
      </c>
      <c r="E877" t="s">
        <v>43</v>
      </c>
      <c r="F877" s="1">
        <v>39</v>
      </c>
      <c r="G877" t="s">
        <v>114</v>
      </c>
      <c r="H877" t="s">
        <v>23</v>
      </c>
      <c r="I877" t="s">
        <v>24</v>
      </c>
      <c r="J877" t="s">
        <v>54</v>
      </c>
      <c r="K877" s="2">
        <v>4.0999999999999996</v>
      </c>
      <c r="L877" t="s">
        <v>26</v>
      </c>
      <c r="M877" t="s">
        <v>29</v>
      </c>
      <c r="N877" t="s">
        <v>40</v>
      </c>
      <c r="O877" t="s">
        <v>26</v>
      </c>
      <c r="P877" t="s">
        <v>26</v>
      </c>
      <c r="Q877" s="3">
        <v>7</v>
      </c>
      <c r="R877" t="s">
        <v>34</v>
      </c>
      <c r="S877" t="s">
        <v>97</v>
      </c>
    </row>
    <row r="878" spans="1:19" x14ac:dyDescent="0.25">
      <c r="A878">
        <v>877</v>
      </c>
      <c r="B878">
        <v>41</v>
      </c>
      <c r="C878" t="s">
        <v>19</v>
      </c>
      <c r="D878" t="s">
        <v>133</v>
      </c>
      <c r="E878" t="s">
        <v>69</v>
      </c>
      <c r="F878" s="1">
        <v>51</v>
      </c>
      <c r="G878" t="s">
        <v>145</v>
      </c>
      <c r="H878" t="s">
        <v>23</v>
      </c>
      <c r="I878" t="s">
        <v>24</v>
      </c>
      <c r="J878" t="s">
        <v>54</v>
      </c>
      <c r="K878" s="2">
        <v>3.8</v>
      </c>
      <c r="L878" t="s">
        <v>26</v>
      </c>
      <c r="M878" t="s">
        <v>29</v>
      </c>
      <c r="N878" t="s">
        <v>72</v>
      </c>
      <c r="O878" t="s">
        <v>26</v>
      </c>
      <c r="P878" t="s">
        <v>26</v>
      </c>
      <c r="Q878" s="3">
        <v>1</v>
      </c>
      <c r="R878" t="s">
        <v>59</v>
      </c>
      <c r="S878" t="s">
        <v>41</v>
      </c>
    </row>
    <row r="879" spans="1:19" x14ac:dyDescent="0.25">
      <c r="A879">
        <v>878</v>
      </c>
      <c r="B879">
        <v>64</v>
      </c>
      <c r="C879" t="s">
        <v>19</v>
      </c>
      <c r="D879" t="s">
        <v>68</v>
      </c>
      <c r="E879" t="s">
        <v>69</v>
      </c>
      <c r="F879" s="1">
        <v>65</v>
      </c>
      <c r="G879" t="s">
        <v>145</v>
      </c>
      <c r="H879" t="s">
        <v>45</v>
      </c>
      <c r="I879" t="s">
        <v>121</v>
      </c>
      <c r="J879" t="s">
        <v>25</v>
      </c>
      <c r="K879" s="2">
        <v>4.9000000000000004</v>
      </c>
      <c r="L879" t="s">
        <v>26</v>
      </c>
      <c r="M879" t="s">
        <v>29</v>
      </c>
      <c r="N879" t="s">
        <v>47</v>
      </c>
      <c r="O879" t="s">
        <v>26</v>
      </c>
      <c r="P879" t="s">
        <v>26</v>
      </c>
      <c r="Q879" s="3">
        <v>45</v>
      </c>
      <c r="R879" t="s">
        <v>29</v>
      </c>
      <c r="S879" t="s">
        <v>97</v>
      </c>
    </row>
    <row r="880" spans="1:19" x14ac:dyDescent="0.25">
      <c r="A880">
        <v>879</v>
      </c>
      <c r="B880">
        <v>23</v>
      </c>
      <c r="C880" t="s">
        <v>19</v>
      </c>
      <c r="D880" t="s">
        <v>89</v>
      </c>
      <c r="E880" t="s">
        <v>69</v>
      </c>
      <c r="F880" s="1">
        <v>89</v>
      </c>
      <c r="G880" t="s">
        <v>122</v>
      </c>
      <c r="H880" t="s">
        <v>38</v>
      </c>
      <c r="I880" t="s">
        <v>94</v>
      </c>
      <c r="J880" t="s">
        <v>54</v>
      </c>
      <c r="K880" s="2">
        <v>4.9000000000000004</v>
      </c>
      <c r="L880" t="s">
        <v>26</v>
      </c>
      <c r="M880" t="s">
        <v>35</v>
      </c>
      <c r="N880" t="s">
        <v>28</v>
      </c>
      <c r="O880" t="s">
        <v>26</v>
      </c>
      <c r="P880" t="s">
        <v>26</v>
      </c>
      <c r="Q880" s="3">
        <v>37</v>
      </c>
      <c r="R880" t="s">
        <v>59</v>
      </c>
      <c r="S880" t="s">
        <v>41</v>
      </c>
    </row>
    <row r="881" spans="1:19" x14ac:dyDescent="0.25">
      <c r="A881">
        <v>880</v>
      </c>
      <c r="B881">
        <v>62</v>
      </c>
      <c r="C881" t="s">
        <v>19</v>
      </c>
      <c r="D881" t="s">
        <v>87</v>
      </c>
      <c r="E881" t="s">
        <v>21</v>
      </c>
      <c r="F881" s="1">
        <v>76</v>
      </c>
      <c r="G881" t="s">
        <v>52</v>
      </c>
      <c r="H881" t="s">
        <v>38</v>
      </c>
      <c r="I881" t="s">
        <v>93</v>
      </c>
      <c r="J881" t="s">
        <v>39</v>
      </c>
      <c r="K881" s="2">
        <v>4.0999999999999996</v>
      </c>
      <c r="L881" t="s">
        <v>26</v>
      </c>
      <c r="M881" t="s">
        <v>27</v>
      </c>
      <c r="N881" t="s">
        <v>40</v>
      </c>
      <c r="O881" t="s">
        <v>26</v>
      </c>
      <c r="P881" t="s">
        <v>26</v>
      </c>
      <c r="Q881" s="3">
        <v>14</v>
      </c>
      <c r="R881" t="s">
        <v>46</v>
      </c>
      <c r="S881" t="s">
        <v>60</v>
      </c>
    </row>
    <row r="882" spans="1:19" x14ac:dyDescent="0.25">
      <c r="A882">
        <v>881</v>
      </c>
      <c r="B882">
        <v>39</v>
      </c>
      <c r="C882" t="s">
        <v>19</v>
      </c>
      <c r="D882" t="s">
        <v>132</v>
      </c>
      <c r="E882" t="s">
        <v>69</v>
      </c>
      <c r="F882" s="1">
        <v>75</v>
      </c>
      <c r="G882" t="s">
        <v>107</v>
      </c>
      <c r="H882" t="s">
        <v>23</v>
      </c>
      <c r="I882" t="s">
        <v>108</v>
      </c>
      <c r="J882" t="s">
        <v>39</v>
      </c>
      <c r="K882" s="2">
        <v>3.1</v>
      </c>
      <c r="L882" t="s">
        <v>26</v>
      </c>
      <c r="M882" t="s">
        <v>29</v>
      </c>
      <c r="N882" t="s">
        <v>28</v>
      </c>
      <c r="O882" t="s">
        <v>26</v>
      </c>
      <c r="P882" t="s">
        <v>26</v>
      </c>
      <c r="Q882" s="3">
        <v>25</v>
      </c>
      <c r="R882" t="s">
        <v>59</v>
      </c>
      <c r="S882" t="s">
        <v>88</v>
      </c>
    </row>
    <row r="883" spans="1:19" x14ac:dyDescent="0.25">
      <c r="A883">
        <v>882</v>
      </c>
      <c r="B883">
        <v>52</v>
      </c>
      <c r="C883" t="s">
        <v>19</v>
      </c>
      <c r="D883" t="s">
        <v>42</v>
      </c>
      <c r="E883" t="s">
        <v>43</v>
      </c>
      <c r="F883" s="1">
        <v>61</v>
      </c>
      <c r="G883" t="s">
        <v>131</v>
      </c>
      <c r="H883" t="s">
        <v>45</v>
      </c>
      <c r="I883" t="s">
        <v>67</v>
      </c>
      <c r="J883" t="s">
        <v>54</v>
      </c>
      <c r="K883" s="2">
        <v>2.7</v>
      </c>
      <c r="L883" t="s">
        <v>26</v>
      </c>
      <c r="M883" t="s">
        <v>27</v>
      </c>
      <c r="N883" t="s">
        <v>47</v>
      </c>
      <c r="O883" t="s">
        <v>26</v>
      </c>
      <c r="P883" t="s">
        <v>26</v>
      </c>
      <c r="Q883" s="3">
        <v>18</v>
      </c>
      <c r="R883" t="s">
        <v>29</v>
      </c>
      <c r="S883" t="s">
        <v>50</v>
      </c>
    </row>
    <row r="884" spans="1:19" x14ac:dyDescent="0.25">
      <c r="A884">
        <v>883</v>
      </c>
      <c r="B884">
        <v>50</v>
      </c>
      <c r="C884" t="s">
        <v>19</v>
      </c>
      <c r="D884" t="s">
        <v>137</v>
      </c>
      <c r="E884" t="s">
        <v>43</v>
      </c>
      <c r="F884" s="1">
        <v>35</v>
      </c>
      <c r="G884" t="s">
        <v>141</v>
      </c>
      <c r="H884" t="s">
        <v>45</v>
      </c>
      <c r="I884" t="s">
        <v>109</v>
      </c>
      <c r="J884" t="s">
        <v>58</v>
      </c>
      <c r="K884" s="2">
        <v>3.8</v>
      </c>
      <c r="L884" t="s">
        <v>26</v>
      </c>
      <c r="M884" t="s">
        <v>35</v>
      </c>
      <c r="N884" t="s">
        <v>47</v>
      </c>
      <c r="O884" t="s">
        <v>26</v>
      </c>
      <c r="P884" t="s">
        <v>26</v>
      </c>
      <c r="Q884" s="3">
        <v>37</v>
      </c>
      <c r="R884" t="s">
        <v>35</v>
      </c>
      <c r="S884" t="s">
        <v>97</v>
      </c>
    </row>
    <row r="885" spans="1:19" x14ac:dyDescent="0.25">
      <c r="A885">
        <v>884</v>
      </c>
      <c r="B885">
        <v>28</v>
      </c>
      <c r="C885" t="s">
        <v>19</v>
      </c>
      <c r="D885" t="s">
        <v>51</v>
      </c>
      <c r="E885" t="s">
        <v>43</v>
      </c>
      <c r="F885" s="1">
        <v>37</v>
      </c>
      <c r="G885" t="s">
        <v>138</v>
      </c>
      <c r="H885" t="s">
        <v>38</v>
      </c>
      <c r="I885" t="s">
        <v>81</v>
      </c>
      <c r="J885" t="s">
        <v>58</v>
      </c>
      <c r="K885" s="2">
        <v>4.3</v>
      </c>
      <c r="L885" t="s">
        <v>26</v>
      </c>
      <c r="M885" t="s">
        <v>29</v>
      </c>
      <c r="N885" t="s">
        <v>40</v>
      </c>
      <c r="O885" t="s">
        <v>26</v>
      </c>
      <c r="P885" t="s">
        <v>26</v>
      </c>
      <c r="Q885" s="3">
        <v>30</v>
      </c>
      <c r="R885" t="s">
        <v>34</v>
      </c>
      <c r="S885" t="s">
        <v>88</v>
      </c>
    </row>
    <row r="886" spans="1:19" x14ac:dyDescent="0.25">
      <c r="A886">
        <v>885</v>
      </c>
      <c r="B886">
        <v>67</v>
      </c>
      <c r="C886" t="s">
        <v>19</v>
      </c>
      <c r="D886" t="s">
        <v>87</v>
      </c>
      <c r="E886" t="s">
        <v>21</v>
      </c>
      <c r="F886" s="1">
        <v>91</v>
      </c>
      <c r="G886" t="s">
        <v>78</v>
      </c>
      <c r="H886" t="s">
        <v>23</v>
      </c>
      <c r="I886" t="s">
        <v>134</v>
      </c>
      <c r="J886" t="s">
        <v>25</v>
      </c>
      <c r="K886" s="2">
        <v>4.0999999999999996</v>
      </c>
      <c r="L886" t="s">
        <v>26</v>
      </c>
      <c r="M886" t="s">
        <v>29</v>
      </c>
      <c r="N886" t="s">
        <v>28</v>
      </c>
      <c r="O886" t="s">
        <v>26</v>
      </c>
      <c r="P886" t="s">
        <v>26</v>
      </c>
      <c r="Q886" s="3">
        <v>34</v>
      </c>
      <c r="R886" t="s">
        <v>34</v>
      </c>
      <c r="S886" t="s">
        <v>41</v>
      </c>
    </row>
    <row r="887" spans="1:19" x14ac:dyDescent="0.25">
      <c r="A887">
        <v>886</v>
      </c>
      <c r="B887">
        <v>41</v>
      </c>
      <c r="C887" t="s">
        <v>19</v>
      </c>
      <c r="D887" t="s">
        <v>82</v>
      </c>
      <c r="E887" t="s">
        <v>21</v>
      </c>
      <c r="F887" s="1">
        <v>99</v>
      </c>
      <c r="G887" t="s">
        <v>123</v>
      </c>
      <c r="H887" t="s">
        <v>23</v>
      </c>
      <c r="I887" t="s">
        <v>75</v>
      </c>
      <c r="J887" t="s">
        <v>58</v>
      </c>
      <c r="K887" s="2">
        <v>4.4000000000000004</v>
      </c>
      <c r="L887" t="s">
        <v>26</v>
      </c>
      <c r="M887" t="s">
        <v>27</v>
      </c>
      <c r="N887" t="s">
        <v>40</v>
      </c>
      <c r="O887" t="s">
        <v>26</v>
      </c>
      <c r="P887" t="s">
        <v>26</v>
      </c>
      <c r="Q887" s="3">
        <v>49</v>
      </c>
      <c r="R887" t="s">
        <v>59</v>
      </c>
      <c r="S887" t="s">
        <v>97</v>
      </c>
    </row>
    <row r="888" spans="1:19" x14ac:dyDescent="0.25">
      <c r="A888">
        <v>887</v>
      </c>
      <c r="B888">
        <v>19</v>
      </c>
      <c r="C888" t="s">
        <v>19</v>
      </c>
      <c r="D888" t="s">
        <v>61</v>
      </c>
      <c r="E888" t="s">
        <v>21</v>
      </c>
      <c r="F888" s="1">
        <v>54</v>
      </c>
      <c r="G888" t="s">
        <v>140</v>
      </c>
      <c r="H888" t="s">
        <v>38</v>
      </c>
      <c r="I888" t="s">
        <v>110</v>
      </c>
      <c r="J888" t="s">
        <v>54</v>
      </c>
      <c r="K888" s="2">
        <v>3.6</v>
      </c>
      <c r="L888" t="s">
        <v>26</v>
      </c>
      <c r="M888" t="s">
        <v>46</v>
      </c>
      <c r="N888" t="s">
        <v>28</v>
      </c>
      <c r="O888" t="s">
        <v>26</v>
      </c>
      <c r="P888" t="s">
        <v>26</v>
      </c>
      <c r="Q888" s="3">
        <v>48</v>
      </c>
      <c r="R888" t="s">
        <v>34</v>
      </c>
      <c r="S888" t="s">
        <v>88</v>
      </c>
    </row>
    <row r="889" spans="1:19" x14ac:dyDescent="0.25">
      <c r="A889">
        <v>888</v>
      </c>
      <c r="B889">
        <v>70</v>
      </c>
      <c r="C889" t="s">
        <v>19</v>
      </c>
      <c r="D889" t="s">
        <v>68</v>
      </c>
      <c r="E889" t="s">
        <v>69</v>
      </c>
      <c r="F889" s="1">
        <v>47</v>
      </c>
      <c r="G889" t="s">
        <v>148</v>
      </c>
      <c r="H889" t="s">
        <v>23</v>
      </c>
      <c r="I889" t="s">
        <v>49</v>
      </c>
      <c r="J889" t="s">
        <v>25</v>
      </c>
      <c r="K889" s="2">
        <v>3.3</v>
      </c>
      <c r="L889" t="s">
        <v>26</v>
      </c>
      <c r="M889" t="s">
        <v>27</v>
      </c>
      <c r="N889" t="s">
        <v>72</v>
      </c>
      <c r="O889" t="s">
        <v>26</v>
      </c>
      <c r="P889" t="s">
        <v>26</v>
      </c>
      <c r="Q889" s="3">
        <v>33</v>
      </c>
      <c r="R889" t="s">
        <v>46</v>
      </c>
      <c r="S889" t="s">
        <v>30</v>
      </c>
    </row>
    <row r="890" spans="1:19" x14ac:dyDescent="0.25">
      <c r="A890">
        <v>889</v>
      </c>
      <c r="B890">
        <v>49</v>
      </c>
      <c r="C890" t="s">
        <v>19</v>
      </c>
      <c r="D890" t="s">
        <v>119</v>
      </c>
      <c r="E890" t="s">
        <v>69</v>
      </c>
      <c r="F890" s="1">
        <v>77</v>
      </c>
      <c r="G890" t="s">
        <v>83</v>
      </c>
      <c r="H890" t="s">
        <v>38</v>
      </c>
      <c r="I890" t="s">
        <v>81</v>
      </c>
      <c r="J890" t="s">
        <v>39</v>
      </c>
      <c r="K890" s="2">
        <v>3.6</v>
      </c>
      <c r="L890" t="s">
        <v>26</v>
      </c>
      <c r="M890" t="s">
        <v>29</v>
      </c>
      <c r="N890" t="s">
        <v>28</v>
      </c>
      <c r="O890" t="s">
        <v>26</v>
      </c>
      <c r="P890" t="s">
        <v>26</v>
      </c>
      <c r="Q890" s="3">
        <v>44</v>
      </c>
      <c r="R890" t="s">
        <v>35</v>
      </c>
      <c r="S890" t="s">
        <v>50</v>
      </c>
    </row>
    <row r="891" spans="1:19" x14ac:dyDescent="0.25">
      <c r="A891">
        <v>890</v>
      </c>
      <c r="B891">
        <v>59</v>
      </c>
      <c r="C891" t="s">
        <v>19</v>
      </c>
      <c r="D891" t="s">
        <v>133</v>
      </c>
      <c r="E891" t="s">
        <v>69</v>
      </c>
      <c r="F891" s="1">
        <v>84</v>
      </c>
      <c r="G891" t="s">
        <v>117</v>
      </c>
      <c r="H891" t="s">
        <v>38</v>
      </c>
      <c r="I891" t="s">
        <v>79</v>
      </c>
      <c r="J891" t="s">
        <v>58</v>
      </c>
      <c r="K891" s="2">
        <v>2.8</v>
      </c>
      <c r="L891" t="s">
        <v>26</v>
      </c>
      <c r="M891" t="s">
        <v>29</v>
      </c>
      <c r="N891" t="s">
        <v>40</v>
      </c>
      <c r="O891" t="s">
        <v>26</v>
      </c>
      <c r="P891" t="s">
        <v>26</v>
      </c>
      <c r="Q891" s="3">
        <v>50</v>
      </c>
      <c r="R891" t="s">
        <v>29</v>
      </c>
      <c r="S891" t="s">
        <v>41</v>
      </c>
    </row>
    <row r="892" spans="1:19" x14ac:dyDescent="0.25">
      <c r="A892">
        <v>891</v>
      </c>
      <c r="B892">
        <v>52</v>
      </c>
      <c r="C892" t="s">
        <v>19</v>
      </c>
      <c r="D892" t="s">
        <v>143</v>
      </c>
      <c r="E892" t="s">
        <v>69</v>
      </c>
      <c r="F892" s="1">
        <v>51</v>
      </c>
      <c r="G892" t="s">
        <v>85</v>
      </c>
      <c r="H892" t="s">
        <v>38</v>
      </c>
      <c r="I892" t="s">
        <v>75</v>
      </c>
      <c r="J892" t="s">
        <v>39</v>
      </c>
      <c r="K892" s="2">
        <v>4.3</v>
      </c>
      <c r="L892" t="s">
        <v>26</v>
      </c>
      <c r="M892" t="s">
        <v>27</v>
      </c>
      <c r="N892" t="s">
        <v>72</v>
      </c>
      <c r="O892" t="s">
        <v>26</v>
      </c>
      <c r="P892" t="s">
        <v>26</v>
      </c>
      <c r="Q892" s="3">
        <v>47</v>
      </c>
      <c r="R892" t="s">
        <v>27</v>
      </c>
      <c r="S892" t="s">
        <v>88</v>
      </c>
    </row>
    <row r="893" spans="1:19" x14ac:dyDescent="0.25">
      <c r="A893">
        <v>892</v>
      </c>
      <c r="B893">
        <v>20</v>
      </c>
      <c r="C893" t="s">
        <v>19</v>
      </c>
      <c r="D893" t="s">
        <v>87</v>
      </c>
      <c r="E893" t="s">
        <v>21</v>
      </c>
      <c r="F893" s="1">
        <v>26</v>
      </c>
      <c r="G893" t="s">
        <v>138</v>
      </c>
      <c r="H893" t="s">
        <v>38</v>
      </c>
      <c r="I893" t="s">
        <v>93</v>
      </c>
      <c r="J893" t="s">
        <v>54</v>
      </c>
      <c r="K893" s="2">
        <v>3.9</v>
      </c>
      <c r="L893" t="s">
        <v>26</v>
      </c>
      <c r="M893" t="s">
        <v>29</v>
      </c>
      <c r="N893" t="s">
        <v>76</v>
      </c>
      <c r="O893" t="s">
        <v>26</v>
      </c>
      <c r="P893" t="s">
        <v>26</v>
      </c>
      <c r="Q893" s="3">
        <v>24</v>
      </c>
      <c r="R893" t="s">
        <v>46</v>
      </c>
      <c r="S893" t="s">
        <v>97</v>
      </c>
    </row>
    <row r="894" spans="1:19" x14ac:dyDescent="0.25">
      <c r="A894">
        <v>893</v>
      </c>
      <c r="B894">
        <v>31</v>
      </c>
      <c r="C894" t="s">
        <v>19</v>
      </c>
      <c r="D894" t="s">
        <v>61</v>
      </c>
      <c r="E894" t="s">
        <v>21</v>
      </c>
      <c r="F894" s="1">
        <v>64</v>
      </c>
      <c r="G894" t="s">
        <v>130</v>
      </c>
      <c r="H894" t="s">
        <v>23</v>
      </c>
      <c r="I894" t="s">
        <v>24</v>
      </c>
      <c r="J894" t="s">
        <v>54</v>
      </c>
      <c r="K894" s="2">
        <v>2.7</v>
      </c>
      <c r="L894" t="s">
        <v>26</v>
      </c>
      <c r="M894" t="s">
        <v>29</v>
      </c>
      <c r="N894" t="s">
        <v>40</v>
      </c>
      <c r="O894" t="s">
        <v>26</v>
      </c>
      <c r="P894" t="s">
        <v>26</v>
      </c>
      <c r="Q894" s="3">
        <v>43</v>
      </c>
      <c r="R894" t="s">
        <v>59</v>
      </c>
      <c r="S894" t="s">
        <v>88</v>
      </c>
    </row>
    <row r="895" spans="1:19" x14ac:dyDescent="0.25">
      <c r="A895">
        <v>894</v>
      </c>
      <c r="B895">
        <v>33</v>
      </c>
      <c r="C895" t="s">
        <v>19</v>
      </c>
      <c r="D895" t="s">
        <v>132</v>
      </c>
      <c r="E895" t="s">
        <v>69</v>
      </c>
      <c r="F895" s="1">
        <v>51</v>
      </c>
      <c r="G895" t="s">
        <v>145</v>
      </c>
      <c r="H895" t="s">
        <v>45</v>
      </c>
      <c r="I895" t="s">
        <v>108</v>
      </c>
      <c r="J895" t="s">
        <v>39</v>
      </c>
      <c r="K895" s="2">
        <v>4.7</v>
      </c>
      <c r="L895" t="s">
        <v>26</v>
      </c>
      <c r="M895" t="s">
        <v>59</v>
      </c>
      <c r="N895" t="s">
        <v>28</v>
      </c>
      <c r="O895" t="s">
        <v>26</v>
      </c>
      <c r="P895" t="s">
        <v>26</v>
      </c>
      <c r="Q895" s="3">
        <v>14</v>
      </c>
      <c r="R895" t="s">
        <v>29</v>
      </c>
      <c r="S895" t="s">
        <v>88</v>
      </c>
    </row>
    <row r="896" spans="1:19" x14ac:dyDescent="0.25">
      <c r="A896">
        <v>895</v>
      </c>
      <c r="B896">
        <v>44</v>
      </c>
      <c r="C896" t="s">
        <v>19</v>
      </c>
      <c r="D896" t="s">
        <v>104</v>
      </c>
      <c r="E896" t="s">
        <v>21</v>
      </c>
      <c r="F896" s="1">
        <v>60</v>
      </c>
      <c r="G896" t="s">
        <v>52</v>
      </c>
      <c r="H896" t="s">
        <v>23</v>
      </c>
      <c r="I896" t="s">
        <v>75</v>
      </c>
      <c r="J896" t="s">
        <v>39</v>
      </c>
      <c r="K896" s="2">
        <v>3.8</v>
      </c>
      <c r="L896" t="s">
        <v>26</v>
      </c>
      <c r="M896" t="s">
        <v>29</v>
      </c>
      <c r="N896" t="s">
        <v>40</v>
      </c>
      <c r="O896" t="s">
        <v>26</v>
      </c>
      <c r="P896" t="s">
        <v>26</v>
      </c>
      <c r="Q896" s="3">
        <v>3</v>
      </c>
      <c r="R896" t="s">
        <v>59</v>
      </c>
      <c r="S896" t="s">
        <v>60</v>
      </c>
    </row>
    <row r="897" spans="1:19" x14ac:dyDescent="0.25">
      <c r="A897">
        <v>896</v>
      </c>
      <c r="B897">
        <v>40</v>
      </c>
      <c r="C897" t="s">
        <v>19</v>
      </c>
      <c r="D897" t="s">
        <v>124</v>
      </c>
      <c r="E897" t="s">
        <v>69</v>
      </c>
      <c r="F897" s="1">
        <v>69</v>
      </c>
      <c r="G897" t="s">
        <v>91</v>
      </c>
      <c r="H897" t="s">
        <v>92</v>
      </c>
      <c r="I897" t="s">
        <v>79</v>
      </c>
      <c r="J897" t="s">
        <v>39</v>
      </c>
      <c r="K897" s="2">
        <v>4.7</v>
      </c>
      <c r="L897" t="s">
        <v>26</v>
      </c>
      <c r="M897" t="s">
        <v>59</v>
      </c>
      <c r="N897" t="s">
        <v>47</v>
      </c>
      <c r="O897" t="s">
        <v>26</v>
      </c>
      <c r="P897" t="s">
        <v>26</v>
      </c>
      <c r="Q897" s="3">
        <v>33</v>
      </c>
      <c r="R897" t="s">
        <v>59</v>
      </c>
      <c r="S897" t="s">
        <v>60</v>
      </c>
    </row>
    <row r="898" spans="1:19" x14ac:dyDescent="0.25">
      <c r="A898">
        <v>897</v>
      </c>
      <c r="B898">
        <v>69</v>
      </c>
      <c r="C898" t="s">
        <v>19</v>
      </c>
      <c r="D898" t="s">
        <v>106</v>
      </c>
      <c r="E898" t="s">
        <v>69</v>
      </c>
      <c r="F898" s="1">
        <v>29</v>
      </c>
      <c r="G898" t="s">
        <v>74</v>
      </c>
      <c r="H898" t="s">
        <v>45</v>
      </c>
      <c r="I898" t="s">
        <v>93</v>
      </c>
      <c r="J898" t="s">
        <v>39</v>
      </c>
      <c r="K898" s="2">
        <v>4.7</v>
      </c>
      <c r="L898" t="s">
        <v>26</v>
      </c>
      <c r="M898" t="s">
        <v>27</v>
      </c>
      <c r="N898" t="s">
        <v>28</v>
      </c>
      <c r="O898" t="s">
        <v>26</v>
      </c>
      <c r="P898" t="s">
        <v>26</v>
      </c>
      <c r="Q898" s="3">
        <v>38</v>
      </c>
      <c r="R898" t="s">
        <v>35</v>
      </c>
      <c r="S898" t="s">
        <v>30</v>
      </c>
    </row>
    <row r="899" spans="1:19" x14ac:dyDescent="0.25">
      <c r="A899">
        <v>898</v>
      </c>
      <c r="B899">
        <v>29</v>
      </c>
      <c r="C899" t="s">
        <v>19</v>
      </c>
      <c r="D899" t="s">
        <v>56</v>
      </c>
      <c r="E899" t="s">
        <v>21</v>
      </c>
      <c r="F899" s="1">
        <v>91</v>
      </c>
      <c r="G899" t="s">
        <v>115</v>
      </c>
      <c r="H899" t="s">
        <v>45</v>
      </c>
      <c r="I899" t="s">
        <v>24</v>
      </c>
      <c r="J899" t="s">
        <v>39</v>
      </c>
      <c r="K899" s="2">
        <v>3.4</v>
      </c>
      <c r="L899" t="s">
        <v>26</v>
      </c>
      <c r="M899" t="s">
        <v>46</v>
      </c>
      <c r="N899" t="s">
        <v>28</v>
      </c>
      <c r="O899" t="s">
        <v>26</v>
      </c>
      <c r="P899" t="s">
        <v>26</v>
      </c>
      <c r="Q899" s="3">
        <v>46</v>
      </c>
      <c r="R899" t="s">
        <v>29</v>
      </c>
      <c r="S899" t="s">
        <v>41</v>
      </c>
    </row>
    <row r="900" spans="1:19" x14ac:dyDescent="0.25">
      <c r="A900">
        <v>899</v>
      </c>
      <c r="B900">
        <v>54</v>
      </c>
      <c r="C900" t="s">
        <v>19</v>
      </c>
      <c r="D900" t="s">
        <v>133</v>
      </c>
      <c r="E900" t="s">
        <v>69</v>
      </c>
      <c r="F900" s="1">
        <v>70</v>
      </c>
      <c r="G900" t="s">
        <v>107</v>
      </c>
      <c r="H900" t="s">
        <v>23</v>
      </c>
      <c r="I900" t="s">
        <v>108</v>
      </c>
      <c r="J900" t="s">
        <v>39</v>
      </c>
      <c r="K900" s="2">
        <v>3.5</v>
      </c>
      <c r="L900" t="s">
        <v>26</v>
      </c>
      <c r="M900" t="s">
        <v>27</v>
      </c>
      <c r="N900" t="s">
        <v>72</v>
      </c>
      <c r="O900" t="s">
        <v>26</v>
      </c>
      <c r="P900" t="s">
        <v>26</v>
      </c>
      <c r="Q900" s="3">
        <v>19</v>
      </c>
      <c r="R900" t="s">
        <v>34</v>
      </c>
      <c r="S900" t="s">
        <v>97</v>
      </c>
    </row>
    <row r="901" spans="1:19" x14ac:dyDescent="0.25">
      <c r="A901">
        <v>900</v>
      </c>
      <c r="B901">
        <v>65</v>
      </c>
      <c r="C901" t="s">
        <v>19</v>
      </c>
      <c r="D901" t="s">
        <v>31</v>
      </c>
      <c r="E901" t="s">
        <v>21</v>
      </c>
      <c r="F901" s="1">
        <v>58</v>
      </c>
      <c r="G901" t="s">
        <v>44</v>
      </c>
      <c r="H901" t="s">
        <v>45</v>
      </c>
      <c r="I901" t="s">
        <v>100</v>
      </c>
      <c r="J901" t="s">
        <v>54</v>
      </c>
      <c r="K901" s="2">
        <v>4</v>
      </c>
      <c r="L901" t="s">
        <v>26</v>
      </c>
      <c r="M901" t="s">
        <v>59</v>
      </c>
      <c r="N901" t="s">
        <v>55</v>
      </c>
      <c r="O901" t="s">
        <v>26</v>
      </c>
      <c r="P901" t="s">
        <v>26</v>
      </c>
      <c r="Q901" s="3">
        <v>20</v>
      </c>
      <c r="R901" t="s">
        <v>46</v>
      </c>
      <c r="S901" t="s">
        <v>50</v>
      </c>
    </row>
    <row r="902" spans="1:19" x14ac:dyDescent="0.25">
      <c r="A902">
        <v>901</v>
      </c>
      <c r="B902">
        <v>54</v>
      </c>
      <c r="C902" t="s">
        <v>19</v>
      </c>
      <c r="D902" t="s">
        <v>124</v>
      </c>
      <c r="E902" t="s">
        <v>69</v>
      </c>
      <c r="F902" s="1">
        <v>98</v>
      </c>
      <c r="G902" t="s">
        <v>66</v>
      </c>
      <c r="H902" t="s">
        <v>23</v>
      </c>
      <c r="I902" t="s">
        <v>24</v>
      </c>
      <c r="J902" t="s">
        <v>58</v>
      </c>
      <c r="K902" s="2">
        <v>3.3</v>
      </c>
      <c r="L902" t="s">
        <v>26</v>
      </c>
      <c r="M902" t="s">
        <v>35</v>
      </c>
      <c r="N902" t="s">
        <v>40</v>
      </c>
      <c r="O902" t="s">
        <v>26</v>
      </c>
      <c r="P902" t="s">
        <v>26</v>
      </c>
      <c r="Q902" s="3">
        <v>42</v>
      </c>
      <c r="R902" t="s">
        <v>34</v>
      </c>
      <c r="S902" t="s">
        <v>60</v>
      </c>
    </row>
    <row r="903" spans="1:19" x14ac:dyDescent="0.25">
      <c r="A903">
        <v>902</v>
      </c>
      <c r="B903">
        <v>60</v>
      </c>
      <c r="C903" t="s">
        <v>19</v>
      </c>
      <c r="D903" t="s">
        <v>119</v>
      </c>
      <c r="E903" t="s">
        <v>69</v>
      </c>
      <c r="F903" s="1">
        <v>68</v>
      </c>
      <c r="G903" t="s">
        <v>70</v>
      </c>
      <c r="H903" t="s">
        <v>23</v>
      </c>
      <c r="I903" t="s">
        <v>84</v>
      </c>
      <c r="J903" t="s">
        <v>54</v>
      </c>
      <c r="K903" s="2">
        <v>4.7</v>
      </c>
      <c r="L903" t="s">
        <v>26</v>
      </c>
      <c r="M903" t="s">
        <v>59</v>
      </c>
      <c r="N903" t="s">
        <v>72</v>
      </c>
      <c r="O903" t="s">
        <v>26</v>
      </c>
      <c r="P903" t="s">
        <v>26</v>
      </c>
      <c r="Q903" s="3">
        <v>34</v>
      </c>
      <c r="R903" t="s">
        <v>35</v>
      </c>
      <c r="S903" t="s">
        <v>88</v>
      </c>
    </row>
    <row r="904" spans="1:19" x14ac:dyDescent="0.25">
      <c r="A904">
        <v>903</v>
      </c>
      <c r="B904">
        <v>43</v>
      </c>
      <c r="C904" t="s">
        <v>19</v>
      </c>
      <c r="D904" t="s">
        <v>124</v>
      </c>
      <c r="E904" t="s">
        <v>69</v>
      </c>
      <c r="F904" s="1">
        <v>44</v>
      </c>
      <c r="G904" t="s">
        <v>22</v>
      </c>
      <c r="H904" t="s">
        <v>45</v>
      </c>
      <c r="I904" t="s">
        <v>118</v>
      </c>
      <c r="J904" t="s">
        <v>54</v>
      </c>
      <c r="K904" s="2">
        <v>2.8</v>
      </c>
      <c r="L904" t="s">
        <v>26</v>
      </c>
      <c r="M904" t="s">
        <v>59</v>
      </c>
      <c r="N904" t="s">
        <v>47</v>
      </c>
      <c r="O904" t="s">
        <v>26</v>
      </c>
      <c r="P904" t="s">
        <v>26</v>
      </c>
      <c r="Q904" s="3">
        <v>5</v>
      </c>
      <c r="R904" t="s">
        <v>35</v>
      </c>
      <c r="S904" t="s">
        <v>88</v>
      </c>
    </row>
    <row r="905" spans="1:19" x14ac:dyDescent="0.25">
      <c r="A905">
        <v>904</v>
      </c>
      <c r="B905">
        <v>44</v>
      </c>
      <c r="C905" t="s">
        <v>19</v>
      </c>
      <c r="D905" t="s">
        <v>102</v>
      </c>
      <c r="E905" t="s">
        <v>65</v>
      </c>
      <c r="F905" s="1">
        <v>45</v>
      </c>
      <c r="G905" t="s">
        <v>149</v>
      </c>
      <c r="H905" t="s">
        <v>45</v>
      </c>
      <c r="I905" t="s">
        <v>144</v>
      </c>
      <c r="J905" t="s">
        <v>25</v>
      </c>
      <c r="K905" s="2">
        <v>3.3</v>
      </c>
      <c r="L905" t="s">
        <v>26</v>
      </c>
      <c r="M905" t="s">
        <v>34</v>
      </c>
      <c r="N905" t="s">
        <v>28</v>
      </c>
      <c r="O905" t="s">
        <v>26</v>
      </c>
      <c r="P905" t="s">
        <v>26</v>
      </c>
      <c r="Q905" s="3">
        <v>3</v>
      </c>
      <c r="R905" t="s">
        <v>46</v>
      </c>
      <c r="S905" t="s">
        <v>60</v>
      </c>
    </row>
    <row r="906" spans="1:19" x14ac:dyDescent="0.25">
      <c r="A906">
        <v>905</v>
      </c>
      <c r="B906">
        <v>69</v>
      </c>
      <c r="C906" t="s">
        <v>19</v>
      </c>
      <c r="D906" t="s">
        <v>113</v>
      </c>
      <c r="E906" t="s">
        <v>21</v>
      </c>
      <c r="F906" s="1">
        <v>99</v>
      </c>
      <c r="G906" t="s">
        <v>120</v>
      </c>
      <c r="H906" t="s">
        <v>23</v>
      </c>
      <c r="I906" t="s">
        <v>136</v>
      </c>
      <c r="J906" t="s">
        <v>39</v>
      </c>
      <c r="K906" s="2">
        <v>2.9</v>
      </c>
      <c r="L906" t="s">
        <v>26</v>
      </c>
      <c r="M906" t="s">
        <v>27</v>
      </c>
      <c r="N906" t="s">
        <v>40</v>
      </c>
      <c r="O906" t="s">
        <v>26</v>
      </c>
      <c r="P906" t="s">
        <v>26</v>
      </c>
      <c r="Q906" s="3">
        <v>46</v>
      </c>
      <c r="R906" t="s">
        <v>46</v>
      </c>
      <c r="S906" t="s">
        <v>97</v>
      </c>
    </row>
    <row r="907" spans="1:19" x14ac:dyDescent="0.25">
      <c r="A907">
        <v>906</v>
      </c>
      <c r="B907">
        <v>46</v>
      </c>
      <c r="C907" t="s">
        <v>19</v>
      </c>
      <c r="D907" t="s">
        <v>82</v>
      </c>
      <c r="E907" t="s">
        <v>21</v>
      </c>
      <c r="F907" s="1">
        <v>68</v>
      </c>
      <c r="G907" t="s">
        <v>91</v>
      </c>
      <c r="H907" t="s">
        <v>38</v>
      </c>
      <c r="I907" t="s">
        <v>109</v>
      </c>
      <c r="J907" t="s">
        <v>39</v>
      </c>
      <c r="K907" s="2">
        <v>2.8</v>
      </c>
      <c r="L907" t="s">
        <v>26</v>
      </c>
      <c r="M907" t="s">
        <v>27</v>
      </c>
      <c r="N907" t="s">
        <v>55</v>
      </c>
      <c r="O907" t="s">
        <v>26</v>
      </c>
      <c r="P907" t="s">
        <v>26</v>
      </c>
      <c r="Q907" s="3">
        <v>16</v>
      </c>
      <c r="R907" t="s">
        <v>29</v>
      </c>
      <c r="S907" t="s">
        <v>50</v>
      </c>
    </row>
    <row r="908" spans="1:19" x14ac:dyDescent="0.25">
      <c r="A908">
        <v>907</v>
      </c>
      <c r="B908">
        <v>41</v>
      </c>
      <c r="C908" t="s">
        <v>19</v>
      </c>
      <c r="D908" t="s">
        <v>95</v>
      </c>
      <c r="E908" t="s">
        <v>21</v>
      </c>
      <c r="F908" s="1">
        <v>56</v>
      </c>
      <c r="G908" t="s">
        <v>131</v>
      </c>
      <c r="H908" t="s">
        <v>45</v>
      </c>
      <c r="I908" t="s">
        <v>108</v>
      </c>
      <c r="J908" t="s">
        <v>39</v>
      </c>
      <c r="K908" s="2">
        <v>4.2</v>
      </c>
      <c r="L908" t="s">
        <v>26</v>
      </c>
      <c r="M908" t="s">
        <v>59</v>
      </c>
      <c r="N908" t="s">
        <v>55</v>
      </c>
      <c r="O908" t="s">
        <v>26</v>
      </c>
      <c r="P908" t="s">
        <v>26</v>
      </c>
      <c r="Q908" s="3">
        <v>21</v>
      </c>
      <c r="R908" t="s">
        <v>59</v>
      </c>
      <c r="S908" t="s">
        <v>77</v>
      </c>
    </row>
    <row r="909" spans="1:19" x14ac:dyDescent="0.25">
      <c r="A909">
        <v>908</v>
      </c>
      <c r="B909">
        <v>32</v>
      </c>
      <c r="C909" t="s">
        <v>19</v>
      </c>
      <c r="D909" t="s">
        <v>31</v>
      </c>
      <c r="E909" t="s">
        <v>21</v>
      </c>
      <c r="F909" s="1">
        <v>43</v>
      </c>
      <c r="G909" t="s">
        <v>70</v>
      </c>
      <c r="H909" t="s">
        <v>23</v>
      </c>
      <c r="I909" t="s">
        <v>109</v>
      </c>
      <c r="J909" t="s">
        <v>25</v>
      </c>
      <c r="K909" s="2">
        <v>4.4000000000000004</v>
      </c>
      <c r="L909" t="s">
        <v>26</v>
      </c>
      <c r="M909" t="s">
        <v>46</v>
      </c>
      <c r="N909" t="s">
        <v>28</v>
      </c>
      <c r="O909" t="s">
        <v>26</v>
      </c>
      <c r="P909" t="s">
        <v>26</v>
      </c>
      <c r="Q909" s="3">
        <v>34</v>
      </c>
      <c r="R909" t="s">
        <v>27</v>
      </c>
      <c r="S909" t="s">
        <v>77</v>
      </c>
    </row>
    <row r="910" spans="1:19" x14ac:dyDescent="0.25">
      <c r="A910">
        <v>909</v>
      </c>
      <c r="B910">
        <v>26</v>
      </c>
      <c r="C910" t="s">
        <v>19</v>
      </c>
      <c r="D910" t="s">
        <v>89</v>
      </c>
      <c r="E910" t="s">
        <v>69</v>
      </c>
      <c r="F910" s="1">
        <v>99</v>
      </c>
      <c r="G910" t="s">
        <v>127</v>
      </c>
      <c r="H910" t="s">
        <v>45</v>
      </c>
      <c r="I910" t="s">
        <v>49</v>
      </c>
      <c r="J910" t="s">
        <v>25</v>
      </c>
      <c r="K910" s="2">
        <v>3.6</v>
      </c>
      <c r="L910" t="s">
        <v>26</v>
      </c>
      <c r="M910" t="s">
        <v>35</v>
      </c>
      <c r="N910" t="s">
        <v>40</v>
      </c>
      <c r="O910" t="s">
        <v>26</v>
      </c>
      <c r="P910" t="s">
        <v>26</v>
      </c>
      <c r="Q910" s="3">
        <v>9</v>
      </c>
      <c r="R910" t="s">
        <v>46</v>
      </c>
      <c r="S910" t="s">
        <v>97</v>
      </c>
    </row>
    <row r="911" spans="1:19" x14ac:dyDescent="0.25">
      <c r="A911">
        <v>910</v>
      </c>
      <c r="B911">
        <v>61</v>
      </c>
      <c r="C911" t="s">
        <v>19</v>
      </c>
      <c r="D911" t="s">
        <v>133</v>
      </c>
      <c r="E911" t="s">
        <v>69</v>
      </c>
      <c r="F911" s="1">
        <v>56</v>
      </c>
      <c r="G911" t="s">
        <v>62</v>
      </c>
      <c r="H911" t="s">
        <v>23</v>
      </c>
      <c r="I911" t="s">
        <v>67</v>
      </c>
      <c r="J911" t="s">
        <v>58</v>
      </c>
      <c r="K911" s="2">
        <v>2.7</v>
      </c>
      <c r="L911" t="s">
        <v>26</v>
      </c>
      <c r="M911" t="s">
        <v>59</v>
      </c>
      <c r="N911" t="s">
        <v>28</v>
      </c>
      <c r="O911" t="s">
        <v>26</v>
      </c>
      <c r="P911" t="s">
        <v>26</v>
      </c>
      <c r="Q911" s="3">
        <v>36</v>
      </c>
      <c r="R911" t="s">
        <v>46</v>
      </c>
      <c r="S911" t="s">
        <v>41</v>
      </c>
    </row>
    <row r="912" spans="1:19" x14ac:dyDescent="0.25">
      <c r="A912">
        <v>911</v>
      </c>
      <c r="B912">
        <v>49</v>
      </c>
      <c r="C912" t="s">
        <v>19</v>
      </c>
      <c r="D912" t="s">
        <v>104</v>
      </c>
      <c r="E912" t="s">
        <v>21</v>
      </c>
      <c r="F912" s="1">
        <v>25</v>
      </c>
      <c r="G912" t="s">
        <v>131</v>
      </c>
      <c r="H912" t="s">
        <v>38</v>
      </c>
      <c r="I912" t="s">
        <v>71</v>
      </c>
      <c r="J912" t="s">
        <v>39</v>
      </c>
      <c r="K912" s="2">
        <v>3.4</v>
      </c>
      <c r="L912" t="s">
        <v>26</v>
      </c>
      <c r="M912" t="s">
        <v>34</v>
      </c>
      <c r="N912" t="s">
        <v>28</v>
      </c>
      <c r="O912" t="s">
        <v>26</v>
      </c>
      <c r="P912" t="s">
        <v>26</v>
      </c>
      <c r="Q912" s="3">
        <v>22</v>
      </c>
      <c r="R912" t="s">
        <v>27</v>
      </c>
      <c r="S912" t="s">
        <v>88</v>
      </c>
    </row>
    <row r="913" spans="1:19" x14ac:dyDescent="0.25">
      <c r="A913">
        <v>912</v>
      </c>
      <c r="B913">
        <v>53</v>
      </c>
      <c r="C913" t="s">
        <v>19</v>
      </c>
      <c r="D913" t="s">
        <v>95</v>
      </c>
      <c r="E913" t="s">
        <v>21</v>
      </c>
      <c r="F913" s="1">
        <v>74</v>
      </c>
      <c r="G913" t="s">
        <v>129</v>
      </c>
      <c r="H913" t="s">
        <v>45</v>
      </c>
      <c r="I913" t="s">
        <v>94</v>
      </c>
      <c r="J913" t="s">
        <v>25</v>
      </c>
      <c r="K913" s="2">
        <v>2.8</v>
      </c>
      <c r="L913" t="s">
        <v>26</v>
      </c>
      <c r="M913" t="s">
        <v>35</v>
      </c>
      <c r="N913" t="s">
        <v>72</v>
      </c>
      <c r="O913" t="s">
        <v>26</v>
      </c>
      <c r="P913" t="s">
        <v>26</v>
      </c>
      <c r="Q913" s="3">
        <v>2</v>
      </c>
      <c r="R913" t="s">
        <v>34</v>
      </c>
      <c r="S913" t="s">
        <v>60</v>
      </c>
    </row>
    <row r="914" spans="1:19" x14ac:dyDescent="0.25">
      <c r="A914">
        <v>913</v>
      </c>
      <c r="B914">
        <v>24</v>
      </c>
      <c r="C914" t="s">
        <v>19</v>
      </c>
      <c r="D914" t="s">
        <v>104</v>
      </c>
      <c r="E914" t="s">
        <v>21</v>
      </c>
      <c r="F914" s="1">
        <v>56</v>
      </c>
      <c r="G914" t="s">
        <v>74</v>
      </c>
      <c r="H914" t="s">
        <v>45</v>
      </c>
      <c r="I914" t="s">
        <v>96</v>
      </c>
      <c r="J914" t="s">
        <v>25</v>
      </c>
      <c r="K914" s="2">
        <v>3.4</v>
      </c>
      <c r="L914" t="s">
        <v>26</v>
      </c>
      <c r="M914" t="s">
        <v>34</v>
      </c>
      <c r="N914" t="s">
        <v>47</v>
      </c>
      <c r="O914" t="s">
        <v>26</v>
      </c>
      <c r="P914" t="s">
        <v>26</v>
      </c>
      <c r="Q914" s="3">
        <v>32</v>
      </c>
      <c r="R914" t="s">
        <v>34</v>
      </c>
      <c r="S914" t="s">
        <v>88</v>
      </c>
    </row>
    <row r="915" spans="1:19" x14ac:dyDescent="0.25">
      <c r="A915">
        <v>914</v>
      </c>
      <c r="B915">
        <v>37</v>
      </c>
      <c r="C915" t="s">
        <v>19</v>
      </c>
      <c r="D915" t="s">
        <v>51</v>
      </c>
      <c r="E915" t="s">
        <v>43</v>
      </c>
      <c r="F915" s="1">
        <v>47</v>
      </c>
      <c r="G915" t="s">
        <v>140</v>
      </c>
      <c r="H915" t="s">
        <v>45</v>
      </c>
      <c r="I915" t="s">
        <v>134</v>
      </c>
      <c r="J915" t="s">
        <v>58</v>
      </c>
      <c r="K915" s="2">
        <v>2.6</v>
      </c>
      <c r="L915" t="s">
        <v>26</v>
      </c>
      <c r="M915" t="s">
        <v>34</v>
      </c>
      <c r="N915" t="s">
        <v>47</v>
      </c>
      <c r="O915" t="s">
        <v>26</v>
      </c>
      <c r="P915" t="s">
        <v>26</v>
      </c>
      <c r="Q915" s="3">
        <v>29</v>
      </c>
      <c r="R915" t="s">
        <v>35</v>
      </c>
      <c r="S915" t="s">
        <v>97</v>
      </c>
    </row>
    <row r="916" spans="1:19" x14ac:dyDescent="0.25">
      <c r="A916">
        <v>915</v>
      </c>
      <c r="B916">
        <v>43</v>
      </c>
      <c r="C916" t="s">
        <v>19</v>
      </c>
      <c r="D916" t="s">
        <v>82</v>
      </c>
      <c r="E916" t="s">
        <v>21</v>
      </c>
      <c r="F916" s="1">
        <v>67</v>
      </c>
      <c r="G916" t="s">
        <v>149</v>
      </c>
      <c r="H916" t="s">
        <v>23</v>
      </c>
      <c r="I916" t="s">
        <v>75</v>
      </c>
      <c r="J916" t="s">
        <v>54</v>
      </c>
      <c r="K916" s="2">
        <v>4.0999999999999996</v>
      </c>
      <c r="L916" t="s">
        <v>26</v>
      </c>
      <c r="M916" t="s">
        <v>46</v>
      </c>
      <c r="N916" t="s">
        <v>55</v>
      </c>
      <c r="O916" t="s">
        <v>26</v>
      </c>
      <c r="P916" t="s">
        <v>26</v>
      </c>
      <c r="Q916" s="3">
        <v>27</v>
      </c>
      <c r="R916" t="s">
        <v>29</v>
      </c>
      <c r="S916" t="s">
        <v>97</v>
      </c>
    </row>
    <row r="917" spans="1:19" x14ac:dyDescent="0.25">
      <c r="A917">
        <v>916</v>
      </c>
      <c r="B917">
        <v>31</v>
      </c>
      <c r="C917" t="s">
        <v>19</v>
      </c>
      <c r="D917" t="s">
        <v>82</v>
      </c>
      <c r="E917" t="s">
        <v>21</v>
      </c>
      <c r="F917" s="1">
        <v>22</v>
      </c>
      <c r="G917" t="s">
        <v>44</v>
      </c>
      <c r="H917" t="s">
        <v>23</v>
      </c>
      <c r="I917" t="s">
        <v>75</v>
      </c>
      <c r="J917" t="s">
        <v>25</v>
      </c>
      <c r="K917" s="2">
        <v>2.9</v>
      </c>
      <c r="L917" t="s">
        <v>26</v>
      </c>
      <c r="M917" t="s">
        <v>59</v>
      </c>
      <c r="N917" t="s">
        <v>76</v>
      </c>
      <c r="O917" t="s">
        <v>26</v>
      </c>
      <c r="P917" t="s">
        <v>26</v>
      </c>
      <c r="Q917" s="3">
        <v>33</v>
      </c>
      <c r="R917" t="s">
        <v>27</v>
      </c>
      <c r="S917" t="s">
        <v>30</v>
      </c>
    </row>
    <row r="918" spans="1:19" x14ac:dyDescent="0.25">
      <c r="A918">
        <v>917</v>
      </c>
      <c r="B918">
        <v>49</v>
      </c>
      <c r="C918" t="s">
        <v>19</v>
      </c>
      <c r="D918" t="s">
        <v>36</v>
      </c>
      <c r="E918" t="s">
        <v>21</v>
      </c>
      <c r="F918" s="1">
        <v>34</v>
      </c>
      <c r="G918" t="s">
        <v>115</v>
      </c>
      <c r="H918" t="s">
        <v>38</v>
      </c>
      <c r="I918" t="s">
        <v>144</v>
      </c>
      <c r="J918" t="s">
        <v>39</v>
      </c>
      <c r="K918" s="2">
        <v>2.7</v>
      </c>
      <c r="L918" t="s">
        <v>26</v>
      </c>
      <c r="M918" t="s">
        <v>35</v>
      </c>
      <c r="N918" t="s">
        <v>55</v>
      </c>
      <c r="O918" t="s">
        <v>26</v>
      </c>
      <c r="P918" t="s">
        <v>26</v>
      </c>
      <c r="Q918" s="3">
        <v>16</v>
      </c>
      <c r="R918" t="s">
        <v>29</v>
      </c>
      <c r="S918" t="s">
        <v>88</v>
      </c>
    </row>
    <row r="919" spans="1:19" x14ac:dyDescent="0.25">
      <c r="A919">
        <v>918</v>
      </c>
      <c r="B919">
        <v>69</v>
      </c>
      <c r="C919" t="s">
        <v>19</v>
      </c>
      <c r="D919" t="s">
        <v>31</v>
      </c>
      <c r="E919" t="s">
        <v>21</v>
      </c>
      <c r="F919" s="1">
        <v>64</v>
      </c>
      <c r="G919" t="s">
        <v>70</v>
      </c>
      <c r="H919" t="s">
        <v>45</v>
      </c>
      <c r="I919" t="s">
        <v>33</v>
      </c>
      <c r="J919" t="s">
        <v>39</v>
      </c>
      <c r="K919" s="2">
        <v>3.7</v>
      </c>
      <c r="L919" t="s">
        <v>26</v>
      </c>
      <c r="M919" t="s">
        <v>59</v>
      </c>
      <c r="N919" t="s">
        <v>55</v>
      </c>
      <c r="O919" t="s">
        <v>26</v>
      </c>
      <c r="P919" t="s">
        <v>26</v>
      </c>
      <c r="Q919" s="3">
        <v>11</v>
      </c>
      <c r="R919" t="s">
        <v>34</v>
      </c>
      <c r="S919" t="s">
        <v>60</v>
      </c>
    </row>
    <row r="920" spans="1:19" x14ac:dyDescent="0.25">
      <c r="A920">
        <v>919</v>
      </c>
      <c r="B920">
        <v>65</v>
      </c>
      <c r="C920" t="s">
        <v>19</v>
      </c>
      <c r="D920" t="s">
        <v>61</v>
      </c>
      <c r="E920" t="s">
        <v>21</v>
      </c>
      <c r="F920" s="1">
        <v>42</v>
      </c>
      <c r="G920" t="s">
        <v>98</v>
      </c>
      <c r="H920" t="s">
        <v>45</v>
      </c>
      <c r="I920" t="s">
        <v>121</v>
      </c>
      <c r="J920" t="s">
        <v>39</v>
      </c>
      <c r="K920" s="2">
        <v>4.3</v>
      </c>
      <c r="L920" t="s">
        <v>26</v>
      </c>
      <c r="M920" t="s">
        <v>35</v>
      </c>
      <c r="N920" t="s">
        <v>72</v>
      </c>
      <c r="O920" t="s">
        <v>26</v>
      </c>
      <c r="P920" t="s">
        <v>26</v>
      </c>
      <c r="Q920" s="3">
        <v>11</v>
      </c>
      <c r="R920" t="s">
        <v>35</v>
      </c>
      <c r="S920" t="s">
        <v>30</v>
      </c>
    </row>
    <row r="921" spans="1:19" x14ac:dyDescent="0.25">
      <c r="A921">
        <v>920</v>
      </c>
      <c r="B921">
        <v>41</v>
      </c>
      <c r="C921" t="s">
        <v>19</v>
      </c>
      <c r="D921" t="s">
        <v>56</v>
      </c>
      <c r="E921" t="s">
        <v>21</v>
      </c>
      <c r="F921" s="1">
        <v>82</v>
      </c>
      <c r="G921" t="s">
        <v>37</v>
      </c>
      <c r="H921" t="s">
        <v>23</v>
      </c>
      <c r="I921" t="s">
        <v>96</v>
      </c>
      <c r="J921" t="s">
        <v>25</v>
      </c>
      <c r="K921" s="2">
        <v>2.6</v>
      </c>
      <c r="L921" t="s">
        <v>26</v>
      </c>
      <c r="M921" t="s">
        <v>46</v>
      </c>
      <c r="N921" t="s">
        <v>72</v>
      </c>
      <c r="O921" t="s">
        <v>26</v>
      </c>
      <c r="P921" t="s">
        <v>26</v>
      </c>
      <c r="Q921" s="3">
        <v>17</v>
      </c>
      <c r="R921" t="s">
        <v>59</v>
      </c>
      <c r="S921" t="s">
        <v>77</v>
      </c>
    </row>
    <row r="922" spans="1:19" x14ac:dyDescent="0.25">
      <c r="A922">
        <v>921</v>
      </c>
      <c r="B922">
        <v>37</v>
      </c>
      <c r="C922" t="s">
        <v>19</v>
      </c>
      <c r="D922" t="s">
        <v>133</v>
      </c>
      <c r="E922" t="s">
        <v>69</v>
      </c>
      <c r="F922" s="1">
        <v>81</v>
      </c>
      <c r="G922" t="s">
        <v>74</v>
      </c>
      <c r="H922" t="s">
        <v>92</v>
      </c>
      <c r="I922" t="s">
        <v>81</v>
      </c>
      <c r="J922" t="s">
        <v>54</v>
      </c>
      <c r="K922" s="2">
        <v>4.3</v>
      </c>
      <c r="L922" t="s">
        <v>26</v>
      </c>
      <c r="M922" t="s">
        <v>27</v>
      </c>
      <c r="N922" t="s">
        <v>40</v>
      </c>
      <c r="O922" t="s">
        <v>26</v>
      </c>
      <c r="P922" t="s">
        <v>26</v>
      </c>
      <c r="Q922" s="3">
        <v>37</v>
      </c>
      <c r="R922" t="s">
        <v>35</v>
      </c>
      <c r="S922" t="s">
        <v>41</v>
      </c>
    </row>
    <row r="923" spans="1:19" x14ac:dyDescent="0.25">
      <c r="A923">
        <v>922</v>
      </c>
      <c r="B923">
        <v>70</v>
      </c>
      <c r="C923" t="s">
        <v>19</v>
      </c>
      <c r="D923" t="s">
        <v>64</v>
      </c>
      <c r="E923" t="s">
        <v>65</v>
      </c>
      <c r="F923" s="1">
        <v>24</v>
      </c>
      <c r="G923" t="s">
        <v>147</v>
      </c>
      <c r="H923" t="s">
        <v>23</v>
      </c>
      <c r="I923" t="s">
        <v>67</v>
      </c>
      <c r="J923" t="s">
        <v>54</v>
      </c>
      <c r="K923" s="2">
        <v>4.0999999999999996</v>
      </c>
      <c r="L923" t="s">
        <v>26</v>
      </c>
      <c r="M923" t="s">
        <v>29</v>
      </c>
      <c r="N923" t="s">
        <v>28</v>
      </c>
      <c r="O923" t="s">
        <v>26</v>
      </c>
      <c r="P923" t="s">
        <v>26</v>
      </c>
      <c r="Q923" s="3">
        <v>18</v>
      </c>
      <c r="R923" t="s">
        <v>46</v>
      </c>
      <c r="S923" t="s">
        <v>41</v>
      </c>
    </row>
    <row r="924" spans="1:19" x14ac:dyDescent="0.25">
      <c r="A924">
        <v>923</v>
      </c>
      <c r="B924">
        <v>63</v>
      </c>
      <c r="C924" t="s">
        <v>19</v>
      </c>
      <c r="D924" t="s">
        <v>51</v>
      </c>
      <c r="E924" t="s">
        <v>43</v>
      </c>
      <c r="F924" s="1">
        <v>60</v>
      </c>
      <c r="G924" t="s">
        <v>142</v>
      </c>
      <c r="H924" t="s">
        <v>45</v>
      </c>
      <c r="I924" t="s">
        <v>109</v>
      </c>
      <c r="J924" t="s">
        <v>58</v>
      </c>
      <c r="K924" s="2">
        <v>4.2</v>
      </c>
      <c r="L924" t="s">
        <v>26</v>
      </c>
      <c r="M924" t="s">
        <v>29</v>
      </c>
      <c r="N924" t="s">
        <v>55</v>
      </c>
      <c r="O924" t="s">
        <v>26</v>
      </c>
      <c r="P924" t="s">
        <v>26</v>
      </c>
      <c r="Q924" s="3">
        <v>13</v>
      </c>
      <c r="R924" t="s">
        <v>27</v>
      </c>
      <c r="S924" t="s">
        <v>88</v>
      </c>
    </row>
    <row r="925" spans="1:19" x14ac:dyDescent="0.25">
      <c r="A925">
        <v>924</v>
      </c>
      <c r="B925">
        <v>55</v>
      </c>
      <c r="C925" t="s">
        <v>19</v>
      </c>
      <c r="D925" t="s">
        <v>56</v>
      </c>
      <c r="E925" t="s">
        <v>21</v>
      </c>
      <c r="F925" s="1">
        <v>24</v>
      </c>
      <c r="G925" t="s">
        <v>74</v>
      </c>
      <c r="H925" t="s">
        <v>45</v>
      </c>
      <c r="I925" t="s">
        <v>67</v>
      </c>
      <c r="J925" t="s">
        <v>39</v>
      </c>
      <c r="K925" s="2">
        <v>4.2</v>
      </c>
      <c r="L925" t="s">
        <v>26</v>
      </c>
      <c r="M925" t="s">
        <v>46</v>
      </c>
      <c r="N925" t="s">
        <v>72</v>
      </c>
      <c r="O925" t="s">
        <v>26</v>
      </c>
      <c r="P925" t="s">
        <v>26</v>
      </c>
      <c r="Q925" s="3">
        <v>7</v>
      </c>
      <c r="R925" t="s">
        <v>46</v>
      </c>
      <c r="S925" t="s">
        <v>41</v>
      </c>
    </row>
    <row r="926" spans="1:19" x14ac:dyDescent="0.25">
      <c r="A926">
        <v>925</v>
      </c>
      <c r="B926">
        <v>52</v>
      </c>
      <c r="C926" t="s">
        <v>19</v>
      </c>
      <c r="D926" t="s">
        <v>125</v>
      </c>
      <c r="E926" t="s">
        <v>21</v>
      </c>
      <c r="F926" s="1">
        <v>78</v>
      </c>
      <c r="G926" t="s">
        <v>111</v>
      </c>
      <c r="H926" t="s">
        <v>92</v>
      </c>
      <c r="I926" t="s">
        <v>118</v>
      </c>
      <c r="J926" t="s">
        <v>25</v>
      </c>
      <c r="K926" s="2">
        <v>3.1</v>
      </c>
      <c r="L926" t="s">
        <v>26</v>
      </c>
      <c r="M926" t="s">
        <v>27</v>
      </c>
      <c r="N926" t="s">
        <v>55</v>
      </c>
      <c r="O926" t="s">
        <v>26</v>
      </c>
      <c r="P926" t="s">
        <v>26</v>
      </c>
      <c r="Q926" s="3">
        <v>37</v>
      </c>
      <c r="R926" t="s">
        <v>35</v>
      </c>
      <c r="S926" t="s">
        <v>60</v>
      </c>
    </row>
    <row r="927" spans="1:19" x14ac:dyDescent="0.25">
      <c r="A927">
        <v>926</v>
      </c>
      <c r="B927">
        <v>22</v>
      </c>
      <c r="C927" t="s">
        <v>19</v>
      </c>
      <c r="D927" t="s">
        <v>36</v>
      </c>
      <c r="E927" t="s">
        <v>21</v>
      </c>
      <c r="F927" s="1">
        <v>88</v>
      </c>
      <c r="G927" t="s">
        <v>117</v>
      </c>
      <c r="H927" t="s">
        <v>23</v>
      </c>
      <c r="I927" t="s">
        <v>86</v>
      </c>
      <c r="J927" t="s">
        <v>25</v>
      </c>
      <c r="K927" s="2">
        <v>4.9000000000000004</v>
      </c>
      <c r="L927" t="s">
        <v>26</v>
      </c>
      <c r="M927" t="s">
        <v>27</v>
      </c>
      <c r="N927" t="s">
        <v>28</v>
      </c>
      <c r="O927" t="s">
        <v>26</v>
      </c>
      <c r="P927" t="s">
        <v>26</v>
      </c>
      <c r="Q927" s="3">
        <v>8</v>
      </c>
      <c r="R927" t="s">
        <v>35</v>
      </c>
      <c r="S927" t="s">
        <v>88</v>
      </c>
    </row>
    <row r="928" spans="1:19" x14ac:dyDescent="0.25">
      <c r="A928">
        <v>927</v>
      </c>
      <c r="B928">
        <v>54</v>
      </c>
      <c r="C928" t="s">
        <v>19</v>
      </c>
      <c r="D928" t="s">
        <v>36</v>
      </c>
      <c r="E928" t="s">
        <v>21</v>
      </c>
      <c r="F928" s="1">
        <v>63</v>
      </c>
      <c r="G928" t="s">
        <v>37</v>
      </c>
      <c r="H928" t="s">
        <v>92</v>
      </c>
      <c r="I928" t="s">
        <v>96</v>
      </c>
      <c r="J928" t="s">
        <v>39</v>
      </c>
      <c r="K928" s="2">
        <v>4.4000000000000004</v>
      </c>
      <c r="L928" t="s">
        <v>26</v>
      </c>
      <c r="M928" t="s">
        <v>46</v>
      </c>
      <c r="N928" t="s">
        <v>28</v>
      </c>
      <c r="O928" t="s">
        <v>26</v>
      </c>
      <c r="P928" t="s">
        <v>26</v>
      </c>
      <c r="Q928" s="3">
        <v>11</v>
      </c>
      <c r="R928" t="s">
        <v>35</v>
      </c>
      <c r="S928" t="s">
        <v>77</v>
      </c>
    </row>
    <row r="929" spans="1:19" x14ac:dyDescent="0.25">
      <c r="A929">
        <v>928</v>
      </c>
      <c r="B929">
        <v>28</v>
      </c>
      <c r="C929" t="s">
        <v>19</v>
      </c>
      <c r="D929" t="s">
        <v>51</v>
      </c>
      <c r="E929" t="s">
        <v>43</v>
      </c>
      <c r="F929" s="1">
        <v>78</v>
      </c>
      <c r="G929" t="s">
        <v>130</v>
      </c>
      <c r="H929" t="s">
        <v>23</v>
      </c>
      <c r="I929" t="s">
        <v>94</v>
      </c>
      <c r="J929" t="s">
        <v>54</v>
      </c>
      <c r="K929" s="2">
        <v>4.4000000000000004</v>
      </c>
      <c r="L929" t="s">
        <v>26</v>
      </c>
      <c r="M929" t="s">
        <v>34</v>
      </c>
      <c r="N929" t="s">
        <v>55</v>
      </c>
      <c r="O929" t="s">
        <v>26</v>
      </c>
      <c r="P929" t="s">
        <v>26</v>
      </c>
      <c r="Q929" s="3">
        <v>8</v>
      </c>
      <c r="R929" t="s">
        <v>29</v>
      </c>
      <c r="S929" t="s">
        <v>77</v>
      </c>
    </row>
    <row r="930" spans="1:19" x14ac:dyDescent="0.25">
      <c r="A930">
        <v>929</v>
      </c>
      <c r="B930">
        <v>67</v>
      </c>
      <c r="C930" t="s">
        <v>19</v>
      </c>
      <c r="D930" t="s">
        <v>82</v>
      </c>
      <c r="E930" t="s">
        <v>21</v>
      </c>
      <c r="F930" s="1">
        <v>37</v>
      </c>
      <c r="G930" t="s">
        <v>74</v>
      </c>
      <c r="H930" t="s">
        <v>92</v>
      </c>
      <c r="I930" t="s">
        <v>134</v>
      </c>
      <c r="J930" t="s">
        <v>25</v>
      </c>
      <c r="K930" s="2">
        <v>3.4</v>
      </c>
      <c r="L930" t="s">
        <v>26</v>
      </c>
      <c r="M930" t="s">
        <v>34</v>
      </c>
      <c r="N930" t="s">
        <v>76</v>
      </c>
      <c r="O930" t="s">
        <v>26</v>
      </c>
      <c r="P930" t="s">
        <v>26</v>
      </c>
      <c r="Q930" s="3">
        <v>31</v>
      </c>
      <c r="R930" t="s">
        <v>35</v>
      </c>
      <c r="S930" t="s">
        <v>97</v>
      </c>
    </row>
    <row r="931" spans="1:19" x14ac:dyDescent="0.25">
      <c r="A931">
        <v>930</v>
      </c>
      <c r="B931">
        <v>59</v>
      </c>
      <c r="C931" t="s">
        <v>19</v>
      </c>
      <c r="D931" t="s">
        <v>137</v>
      </c>
      <c r="E931" t="s">
        <v>43</v>
      </c>
      <c r="F931" s="1">
        <v>94</v>
      </c>
      <c r="G931" t="s">
        <v>145</v>
      </c>
      <c r="H931" t="s">
        <v>45</v>
      </c>
      <c r="I931" t="s">
        <v>53</v>
      </c>
      <c r="J931" t="s">
        <v>58</v>
      </c>
      <c r="K931" s="2">
        <v>4.5</v>
      </c>
      <c r="L931" t="s">
        <v>26</v>
      </c>
      <c r="M931" t="s">
        <v>29</v>
      </c>
      <c r="N931" t="s">
        <v>72</v>
      </c>
      <c r="O931" t="s">
        <v>26</v>
      </c>
      <c r="P931" t="s">
        <v>26</v>
      </c>
      <c r="Q931" s="3">
        <v>26</v>
      </c>
      <c r="R931" t="s">
        <v>59</v>
      </c>
      <c r="S931" t="s">
        <v>30</v>
      </c>
    </row>
    <row r="932" spans="1:19" x14ac:dyDescent="0.25">
      <c r="A932">
        <v>931</v>
      </c>
      <c r="B932">
        <v>26</v>
      </c>
      <c r="C932" t="s">
        <v>19</v>
      </c>
      <c r="D932" t="s">
        <v>113</v>
      </c>
      <c r="E932" t="s">
        <v>21</v>
      </c>
      <c r="F932" s="1">
        <v>78</v>
      </c>
      <c r="G932" t="s">
        <v>78</v>
      </c>
      <c r="H932" t="s">
        <v>23</v>
      </c>
      <c r="I932" t="s">
        <v>96</v>
      </c>
      <c r="J932" t="s">
        <v>58</v>
      </c>
      <c r="K932" s="2">
        <v>4.5</v>
      </c>
      <c r="L932" t="s">
        <v>26</v>
      </c>
      <c r="M932" t="s">
        <v>27</v>
      </c>
      <c r="N932" t="s">
        <v>76</v>
      </c>
      <c r="O932" t="s">
        <v>26</v>
      </c>
      <c r="P932" t="s">
        <v>26</v>
      </c>
      <c r="Q932" s="3">
        <v>20</v>
      </c>
      <c r="R932" t="s">
        <v>27</v>
      </c>
      <c r="S932" t="s">
        <v>77</v>
      </c>
    </row>
    <row r="933" spans="1:19" x14ac:dyDescent="0.25">
      <c r="A933">
        <v>932</v>
      </c>
      <c r="B933">
        <v>24</v>
      </c>
      <c r="C933" t="s">
        <v>19</v>
      </c>
      <c r="D933" t="s">
        <v>64</v>
      </c>
      <c r="E933" t="s">
        <v>65</v>
      </c>
      <c r="F933" s="1">
        <v>36</v>
      </c>
      <c r="G933" t="s">
        <v>145</v>
      </c>
      <c r="H933" t="s">
        <v>45</v>
      </c>
      <c r="I933" t="s">
        <v>67</v>
      </c>
      <c r="J933" t="s">
        <v>25</v>
      </c>
      <c r="K933" s="2">
        <v>4.0999999999999996</v>
      </c>
      <c r="L933" t="s">
        <v>26</v>
      </c>
      <c r="M933" t="s">
        <v>35</v>
      </c>
      <c r="N933" t="s">
        <v>55</v>
      </c>
      <c r="O933" t="s">
        <v>26</v>
      </c>
      <c r="P933" t="s">
        <v>26</v>
      </c>
      <c r="Q933" s="3">
        <v>24</v>
      </c>
      <c r="R933" t="s">
        <v>34</v>
      </c>
      <c r="S933" t="s">
        <v>30</v>
      </c>
    </row>
    <row r="934" spans="1:19" x14ac:dyDescent="0.25">
      <c r="A934">
        <v>933</v>
      </c>
      <c r="B934">
        <v>62</v>
      </c>
      <c r="C934" t="s">
        <v>19</v>
      </c>
      <c r="D934" t="s">
        <v>87</v>
      </c>
      <c r="E934" t="s">
        <v>21</v>
      </c>
      <c r="F934" s="1">
        <v>24</v>
      </c>
      <c r="G934" t="s">
        <v>116</v>
      </c>
      <c r="H934" t="s">
        <v>23</v>
      </c>
      <c r="I934" t="s">
        <v>144</v>
      </c>
      <c r="J934" t="s">
        <v>25</v>
      </c>
      <c r="K934" s="2">
        <v>3.2</v>
      </c>
      <c r="L934" t="s">
        <v>26</v>
      </c>
      <c r="M934" t="s">
        <v>29</v>
      </c>
      <c r="N934" t="s">
        <v>55</v>
      </c>
      <c r="O934" t="s">
        <v>26</v>
      </c>
      <c r="P934" t="s">
        <v>26</v>
      </c>
      <c r="Q934" s="3">
        <v>45</v>
      </c>
      <c r="R934" t="s">
        <v>59</v>
      </c>
      <c r="S934" t="s">
        <v>77</v>
      </c>
    </row>
    <row r="935" spans="1:19" x14ac:dyDescent="0.25">
      <c r="A935">
        <v>934</v>
      </c>
      <c r="B935">
        <v>70</v>
      </c>
      <c r="C935" t="s">
        <v>19</v>
      </c>
      <c r="D935" t="s">
        <v>51</v>
      </c>
      <c r="E935" t="s">
        <v>43</v>
      </c>
      <c r="F935" s="1">
        <v>84</v>
      </c>
      <c r="G935" t="s">
        <v>112</v>
      </c>
      <c r="H935" t="s">
        <v>45</v>
      </c>
      <c r="I935" t="s">
        <v>136</v>
      </c>
      <c r="J935" t="s">
        <v>39</v>
      </c>
      <c r="K935" s="2">
        <v>2.7</v>
      </c>
      <c r="L935" t="s">
        <v>26</v>
      </c>
      <c r="M935" t="s">
        <v>59</v>
      </c>
      <c r="N935" t="s">
        <v>76</v>
      </c>
      <c r="O935" t="s">
        <v>26</v>
      </c>
      <c r="P935" t="s">
        <v>26</v>
      </c>
      <c r="Q935" s="3">
        <v>33</v>
      </c>
      <c r="R935" t="s">
        <v>59</v>
      </c>
      <c r="S935" t="s">
        <v>88</v>
      </c>
    </row>
    <row r="936" spans="1:19" x14ac:dyDescent="0.25">
      <c r="A936">
        <v>935</v>
      </c>
      <c r="B936">
        <v>45</v>
      </c>
      <c r="C936" t="s">
        <v>19</v>
      </c>
      <c r="D936" t="s">
        <v>36</v>
      </c>
      <c r="E936" t="s">
        <v>21</v>
      </c>
      <c r="F936" s="1">
        <v>47</v>
      </c>
      <c r="G936" t="s">
        <v>48</v>
      </c>
      <c r="H936" t="s">
        <v>38</v>
      </c>
      <c r="I936" t="s">
        <v>134</v>
      </c>
      <c r="J936" t="s">
        <v>39</v>
      </c>
      <c r="K936" s="2">
        <v>3.7</v>
      </c>
      <c r="L936" t="s">
        <v>26</v>
      </c>
      <c r="M936" t="s">
        <v>34</v>
      </c>
      <c r="N936" t="s">
        <v>28</v>
      </c>
      <c r="O936" t="s">
        <v>26</v>
      </c>
      <c r="P936" t="s">
        <v>26</v>
      </c>
      <c r="Q936" s="3">
        <v>21</v>
      </c>
      <c r="R936" t="s">
        <v>34</v>
      </c>
      <c r="S936" t="s">
        <v>88</v>
      </c>
    </row>
    <row r="937" spans="1:19" x14ac:dyDescent="0.25">
      <c r="A937">
        <v>936</v>
      </c>
      <c r="B937">
        <v>58</v>
      </c>
      <c r="C937" t="s">
        <v>19</v>
      </c>
      <c r="D937" t="s">
        <v>104</v>
      </c>
      <c r="E937" t="s">
        <v>21</v>
      </c>
      <c r="F937" s="1">
        <v>51</v>
      </c>
      <c r="G937" t="s">
        <v>123</v>
      </c>
      <c r="H937" t="s">
        <v>23</v>
      </c>
      <c r="I937" t="s">
        <v>53</v>
      </c>
      <c r="J937" t="s">
        <v>58</v>
      </c>
      <c r="K937" s="2">
        <v>2.6</v>
      </c>
      <c r="L937" t="s">
        <v>26</v>
      </c>
      <c r="M937" t="s">
        <v>27</v>
      </c>
      <c r="N937" t="s">
        <v>76</v>
      </c>
      <c r="O937" t="s">
        <v>26</v>
      </c>
      <c r="P937" t="s">
        <v>26</v>
      </c>
      <c r="Q937" s="3">
        <v>2</v>
      </c>
      <c r="R937" t="s">
        <v>34</v>
      </c>
      <c r="S937" t="s">
        <v>30</v>
      </c>
    </row>
    <row r="938" spans="1:19" x14ac:dyDescent="0.25">
      <c r="A938">
        <v>937</v>
      </c>
      <c r="B938">
        <v>31</v>
      </c>
      <c r="C938" t="s">
        <v>19</v>
      </c>
      <c r="D938" t="s">
        <v>73</v>
      </c>
      <c r="E938" t="s">
        <v>43</v>
      </c>
      <c r="F938" s="1">
        <v>84</v>
      </c>
      <c r="G938" t="s">
        <v>32</v>
      </c>
      <c r="H938" t="s">
        <v>45</v>
      </c>
      <c r="I938" t="s">
        <v>71</v>
      </c>
      <c r="J938" t="s">
        <v>54</v>
      </c>
      <c r="K938" s="2">
        <v>2.7</v>
      </c>
      <c r="L938" t="s">
        <v>26</v>
      </c>
      <c r="M938" t="s">
        <v>59</v>
      </c>
      <c r="N938" t="s">
        <v>40</v>
      </c>
      <c r="O938" t="s">
        <v>26</v>
      </c>
      <c r="P938" t="s">
        <v>26</v>
      </c>
      <c r="Q938" s="3">
        <v>28</v>
      </c>
      <c r="R938" t="s">
        <v>35</v>
      </c>
      <c r="S938" t="s">
        <v>41</v>
      </c>
    </row>
    <row r="939" spans="1:19" x14ac:dyDescent="0.25">
      <c r="A939">
        <v>938</v>
      </c>
      <c r="B939">
        <v>32</v>
      </c>
      <c r="C939" t="s">
        <v>19</v>
      </c>
      <c r="D939" t="s">
        <v>61</v>
      </c>
      <c r="E939" t="s">
        <v>21</v>
      </c>
      <c r="F939" s="1">
        <v>24</v>
      </c>
      <c r="G939" t="s">
        <v>146</v>
      </c>
      <c r="H939" t="s">
        <v>45</v>
      </c>
      <c r="I939" t="s">
        <v>136</v>
      </c>
      <c r="J939" t="s">
        <v>54</v>
      </c>
      <c r="K939" s="2">
        <v>2.7</v>
      </c>
      <c r="L939" t="s">
        <v>26</v>
      </c>
      <c r="M939" t="s">
        <v>59</v>
      </c>
      <c r="N939" t="s">
        <v>28</v>
      </c>
      <c r="O939" t="s">
        <v>26</v>
      </c>
      <c r="P939" t="s">
        <v>26</v>
      </c>
      <c r="Q939" s="3">
        <v>18</v>
      </c>
      <c r="R939" t="s">
        <v>29</v>
      </c>
      <c r="S939" t="s">
        <v>60</v>
      </c>
    </row>
    <row r="940" spans="1:19" x14ac:dyDescent="0.25">
      <c r="A940">
        <v>939</v>
      </c>
      <c r="B940">
        <v>36</v>
      </c>
      <c r="C940" t="s">
        <v>19</v>
      </c>
      <c r="D940" t="s">
        <v>20</v>
      </c>
      <c r="E940" t="s">
        <v>21</v>
      </c>
      <c r="F940" s="1">
        <v>97</v>
      </c>
      <c r="G940" t="s">
        <v>150</v>
      </c>
      <c r="H940" t="s">
        <v>38</v>
      </c>
      <c r="I940" t="s">
        <v>86</v>
      </c>
      <c r="J940" t="s">
        <v>58</v>
      </c>
      <c r="K940" s="2">
        <v>4.8</v>
      </c>
      <c r="L940" t="s">
        <v>26</v>
      </c>
      <c r="M940" t="s">
        <v>34</v>
      </c>
      <c r="N940" t="s">
        <v>40</v>
      </c>
      <c r="O940" t="s">
        <v>26</v>
      </c>
      <c r="P940" t="s">
        <v>26</v>
      </c>
      <c r="Q940" s="3">
        <v>21</v>
      </c>
      <c r="R940" t="s">
        <v>59</v>
      </c>
      <c r="S940" t="s">
        <v>30</v>
      </c>
    </row>
    <row r="941" spans="1:19" x14ac:dyDescent="0.25">
      <c r="A941">
        <v>940</v>
      </c>
      <c r="B941">
        <v>25</v>
      </c>
      <c r="C941" t="s">
        <v>19</v>
      </c>
      <c r="D941" t="s">
        <v>113</v>
      </c>
      <c r="E941" t="s">
        <v>21</v>
      </c>
      <c r="F941" s="1">
        <v>89</v>
      </c>
      <c r="G941" t="s">
        <v>85</v>
      </c>
      <c r="H941" t="s">
        <v>23</v>
      </c>
      <c r="I941" t="s">
        <v>126</v>
      </c>
      <c r="J941" t="s">
        <v>25</v>
      </c>
      <c r="K941" s="2">
        <v>4.8</v>
      </c>
      <c r="L941" t="s">
        <v>26</v>
      </c>
      <c r="M941" t="s">
        <v>29</v>
      </c>
      <c r="N941" t="s">
        <v>47</v>
      </c>
      <c r="O941" t="s">
        <v>26</v>
      </c>
      <c r="P941" t="s">
        <v>26</v>
      </c>
      <c r="Q941" s="3">
        <v>24</v>
      </c>
      <c r="R941" t="s">
        <v>27</v>
      </c>
      <c r="S941" t="s">
        <v>88</v>
      </c>
    </row>
    <row r="942" spans="1:19" x14ac:dyDescent="0.25">
      <c r="A942">
        <v>941</v>
      </c>
      <c r="B942">
        <v>48</v>
      </c>
      <c r="C942" t="s">
        <v>19</v>
      </c>
      <c r="D942" t="s">
        <v>133</v>
      </c>
      <c r="E942" t="s">
        <v>69</v>
      </c>
      <c r="F942" s="1">
        <v>44</v>
      </c>
      <c r="G942" t="s">
        <v>112</v>
      </c>
      <c r="H942" t="s">
        <v>38</v>
      </c>
      <c r="I942" t="s">
        <v>33</v>
      </c>
      <c r="J942" t="s">
        <v>39</v>
      </c>
      <c r="K942" s="2">
        <v>2.6</v>
      </c>
      <c r="L942" t="s">
        <v>26</v>
      </c>
      <c r="M942" t="s">
        <v>46</v>
      </c>
      <c r="N942" t="s">
        <v>76</v>
      </c>
      <c r="O942" t="s">
        <v>26</v>
      </c>
      <c r="P942" t="s">
        <v>26</v>
      </c>
      <c r="Q942" s="3">
        <v>15</v>
      </c>
      <c r="R942" t="s">
        <v>46</v>
      </c>
      <c r="S942" t="s">
        <v>97</v>
      </c>
    </row>
    <row r="943" spans="1:19" x14ac:dyDescent="0.25">
      <c r="A943">
        <v>942</v>
      </c>
      <c r="B943">
        <v>39</v>
      </c>
      <c r="C943" t="s">
        <v>19</v>
      </c>
      <c r="D943" t="s">
        <v>68</v>
      </c>
      <c r="E943" t="s">
        <v>69</v>
      </c>
      <c r="F943" s="1">
        <v>35</v>
      </c>
      <c r="G943" t="s">
        <v>115</v>
      </c>
      <c r="H943" t="s">
        <v>23</v>
      </c>
      <c r="I943" t="s">
        <v>94</v>
      </c>
      <c r="J943" t="s">
        <v>25</v>
      </c>
      <c r="K943" s="2">
        <v>4.5</v>
      </c>
      <c r="L943" t="s">
        <v>26</v>
      </c>
      <c r="M943" t="s">
        <v>34</v>
      </c>
      <c r="N943" t="s">
        <v>72</v>
      </c>
      <c r="O943" t="s">
        <v>26</v>
      </c>
      <c r="P943" t="s">
        <v>26</v>
      </c>
      <c r="Q943" s="3">
        <v>38</v>
      </c>
      <c r="R943" t="s">
        <v>46</v>
      </c>
      <c r="S943" t="s">
        <v>97</v>
      </c>
    </row>
    <row r="944" spans="1:19" x14ac:dyDescent="0.25">
      <c r="A944">
        <v>943</v>
      </c>
      <c r="B944">
        <v>26</v>
      </c>
      <c r="C944" t="s">
        <v>19</v>
      </c>
      <c r="D944" t="s">
        <v>82</v>
      </c>
      <c r="E944" t="s">
        <v>21</v>
      </c>
      <c r="F944" s="1">
        <v>91</v>
      </c>
      <c r="G944" t="s">
        <v>117</v>
      </c>
      <c r="H944" t="s">
        <v>45</v>
      </c>
      <c r="I944" t="s">
        <v>109</v>
      </c>
      <c r="J944" t="s">
        <v>25</v>
      </c>
      <c r="K944" s="2">
        <v>3.2</v>
      </c>
      <c r="L944" t="s">
        <v>26</v>
      </c>
      <c r="M944" t="s">
        <v>35</v>
      </c>
      <c r="N944" t="s">
        <v>28</v>
      </c>
      <c r="O944" t="s">
        <v>26</v>
      </c>
      <c r="P944" t="s">
        <v>26</v>
      </c>
      <c r="Q944" s="3">
        <v>38</v>
      </c>
      <c r="R944" t="s">
        <v>46</v>
      </c>
      <c r="S944" t="s">
        <v>77</v>
      </c>
    </row>
    <row r="945" spans="1:19" x14ac:dyDescent="0.25">
      <c r="A945">
        <v>944</v>
      </c>
      <c r="B945">
        <v>32</v>
      </c>
      <c r="C945" t="s">
        <v>19</v>
      </c>
      <c r="D945" t="s">
        <v>124</v>
      </c>
      <c r="E945" t="s">
        <v>69</v>
      </c>
      <c r="F945" s="1">
        <v>63</v>
      </c>
      <c r="G945" t="s">
        <v>101</v>
      </c>
      <c r="H945" t="s">
        <v>23</v>
      </c>
      <c r="I945" t="s">
        <v>109</v>
      </c>
      <c r="J945" t="s">
        <v>25</v>
      </c>
      <c r="K945" s="2">
        <v>3.8</v>
      </c>
      <c r="L945" t="s">
        <v>26</v>
      </c>
      <c r="M945" t="s">
        <v>46</v>
      </c>
      <c r="N945" t="s">
        <v>47</v>
      </c>
      <c r="O945" t="s">
        <v>26</v>
      </c>
      <c r="P945" t="s">
        <v>26</v>
      </c>
      <c r="Q945" s="3">
        <v>13</v>
      </c>
      <c r="R945" t="s">
        <v>29</v>
      </c>
      <c r="S945" t="s">
        <v>30</v>
      </c>
    </row>
    <row r="946" spans="1:19" x14ac:dyDescent="0.25">
      <c r="A946">
        <v>945</v>
      </c>
      <c r="B946">
        <v>54</v>
      </c>
      <c r="C946" t="s">
        <v>19</v>
      </c>
      <c r="D946" t="s">
        <v>133</v>
      </c>
      <c r="E946" t="s">
        <v>69</v>
      </c>
      <c r="F946" s="1">
        <v>97</v>
      </c>
      <c r="G946" t="s">
        <v>116</v>
      </c>
      <c r="H946" t="s">
        <v>38</v>
      </c>
      <c r="I946" t="s">
        <v>24</v>
      </c>
      <c r="J946" t="s">
        <v>39</v>
      </c>
      <c r="K946" s="2">
        <v>4.8</v>
      </c>
      <c r="L946" t="s">
        <v>26</v>
      </c>
      <c r="M946" t="s">
        <v>59</v>
      </c>
      <c r="N946" t="s">
        <v>28</v>
      </c>
      <c r="O946" t="s">
        <v>26</v>
      </c>
      <c r="P946" t="s">
        <v>26</v>
      </c>
      <c r="Q946" s="3">
        <v>39</v>
      </c>
      <c r="R946" t="s">
        <v>35</v>
      </c>
      <c r="S946" t="s">
        <v>77</v>
      </c>
    </row>
    <row r="947" spans="1:19" x14ac:dyDescent="0.25">
      <c r="A947">
        <v>946</v>
      </c>
      <c r="B947">
        <v>38</v>
      </c>
      <c r="C947" t="s">
        <v>19</v>
      </c>
      <c r="D947" t="s">
        <v>137</v>
      </c>
      <c r="E947" t="s">
        <v>43</v>
      </c>
      <c r="F947" s="1">
        <v>38</v>
      </c>
      <c r="G947" t="s">
        <v>148</v>
      </c>
      <c r="H947" t="s">
        <v>45</v>
      </c>
      <c r="I947" t="s">
        <v>84</v>
      </c>
      <c r="J947" t="s">
        <v>54</v>
      </c>
      <c r="K947" s="2">
        <v>4.0999999999999996</v>
      </c>
      <c r="L947" t="s">
        <v>26</v>
      </c>
      <c r="M947" t="s">
        <v>59</v>
      </c>
      <c r="N947" t="s">
        <v>76</v>
      </c>
      <c r="O947" t="s">
        <v>26</v>
      </c>
      <c r="P947" t="s">
        <v>26</v>
      </c>
      <c r="Q947" s="3">
        <v>8</v>
      </c>
      <c r="R947" t="s">
        <v>29</v>
      </c>
      <c r="S947" t="s">
        <v>97</v>
      </c>
    </row>
    <row r="948" spans="1:19" x14ac:dyDescent="0.25">
      <c r="A948">
        <v>947</v>
      </c>
      <c r="B948">
        <v>46</v>
      </c>
      <c r="C948" t="s">
        <v>19</v>
      </c>
      <c r="D948" t="s">
        <v>64</v>
      </c>
      <c r="E948" t="s">
        <v>65</v>
      </c>
      <c r="F948" s="1">
        <v>24</v>
      </c>
      <c r="G948" t="s">
        <v>138</v>
      </c>
      <c r="H948" t="s">
        <v>92</v>
      </c>
      <c r="I948" t="s">
        <v>144</v>
      </c>
      <c r="J948" t="s">
        <v>39</v>
      </c>
      <c r="K948" s="2">
        <v>2.8</v>
      </c>
      <c r="L948" t="s">
        <v>26</v>
      </c>
      <c r="M948" t="s">
        <v>46</v>
      </c>
      <c r="N948" t="s">
        <v>47</v>
      </c>
      <c r="O948" t="s">
        <v>26</v>
      </c>
      <c r="P948" t="s">
        <v>26</v>
      </c>
      <c r="Q948" s="3">
        <v>4</v>
      </c>
      <c r="R948" t="s">
        <v>46</v>
      </c>
      <c r="S948" t="s">
        <v>60</v>
      </c>
    </row>
    <row r="949" spans="1:19" x14ac:dyDescent="0.25">
      <c r="A949">
        <v>948</v>
      </c>
      <c r="B949">
        <v>57</v>
      </c>
      <c r="C949" t="s">
        <v>19</v>
      </c>
      <c r="D949" t="s">
        <v>20</v>
      </c>
      <c r="E949" t="s">
        <v>21</v>
      </c>
      <c r="F949" s="1">
        <v>32</v>
      </c>
      <c r="G949" t="s">
        <v>116</v>
      </c>
      <c r="H949" t="s">
        <v>45</v>
      </c>
      <c r="I949" t="s">
        <v>63</v>
      </c>
      <c r="J949" t="s">
        <v>25</v>
      </c>
      <c r="K949" s="2">
        <v>3.9</v>
      </c>
      <c r="L949" t="s">
        <v>26</v>
      </c>
      <c r="M949" t="s">
        <v>35</v>
      </c>
      <c r="N949" t="s">
        <v>76</v>
      </c>
      <c r="O949" t="s">
        <v>26</v>
      </c>
      <c r="P949" t="s">
        <v>26</v>
      </c>
      <c r="Q949" s="3">
        <v>6</v>
      </c>
      <c r="R949" t="s">
        <v>35</v>
      </c>
      <c r="S949" t="s">
        <v>97</v>
      </c>
    </row>
    <row r="950" spans="1:19" x14ac:dyDescent="0.25">
      <c r="A950">
        <v>949</v>
      </c>
      <c r="B950">
        <v>49</v>
      </c>
      <c r="C950" t="s">
        <v>19</v>
      </c>
      <c r="D950" t="s">
        <v>124</v>
      </c>
      <c r="E950" t="s">
        <v>69</v>
      </c>
      <c r="F950" s="1">
        <v>90</v>
      </c>
      <c r="G950" t="s">
        <v>90</v>
      </c>
      <c r="H950" t="s">
        <v>23</v>
      </c>
      <c r="I950" t="s">
        <v>79</v>
      </c>
      <c r="J950" t="s">
        <v>54</v>
      </c>
      <c r="K950" s="2">
        <v>4.9000000000000004</v>
      </c>
      <c r="L950" t="s">
        <v>26</v>
      </c>
      <c r="M950" t="s">
        <v>29</v>
      </c>
      <c r="N950" t="s">
        <v>28</v>
      </c>
      <c r="O950" t="s">
        <v>26</v>
      </c>
      <c r="P950" t="s">
        <v>26</v>
      </c>
      <c r="Q950" s="3">
        <v>11</v>
      </c>
      <c r="R950" t="s">
        <v>29</v>
      </c>
      <c r="S950" t="s">
        <v>97</v>
      </c>
    </row>
    <row r="951" spans="1:19" x14ac:dyDescent="0.25">
      <c r="A951">
        <v>950</v>
      </c>
      <c r="B951">
        <v>33</v>
      </c>
      <c r="C951" t="s">
        <v>19</v>
      </c>
      <c r="D951" t="s">
        <v>36</v>
      </c>
      <c r="E951" t="s">
        <v>21</v>
      </c>
      <c r="F951" s="1">
        <v>36</v>
      </c>
      <c r="G951" t="s">
        <v>57</v>
      </c>
      <c r="H951" t="s">
        <v>45</v>
      </c>
      <c r="I951" t="s">
        <v>79</v>
      </c>
      <c r="J951" t="s">
        <v>54</v>
      </c>
      <c r="K951" s="2">
        <v>3.4</v>
      </c>
      <c r="L951" t="s">
        <v>26</v>
      </c>
      <c r="M951" t="s">
        <v>35</v>
      </c>
      <c r="N951" t="s">
        <v>55</v>
      </c>
      <c r="O951" t="s">
        <v>26</v>
      </c>
      <c r="P951" t="s">
        <v>26</v>
      </c>
      <c r="Q951" s="3">
        <v>49</v>
      </c>
      <c r="R951" t="s">
        <v>29</v>
      </c>
      <c r="S951" t="s">
        <v>88</v>
      </c>
    </row>
    <row r="952" spans="1:19" x14ac:dyDescent="0.25">
      <c r="A952">
        <v>951</v>
      </c>
      <c r="B952">
        <v>54</v>
      </c>
      <c r="C952" t="s">
        <v>19</v>
      </c>
      <c r="D952" t="s">
        <v>132</v>
      </c>
      <c r="E952" t="s">
        <v>69</v>
      </c>
      <c r="F952" s="1">
        <v>37</v>
      </c>
      <c r="G952" t="s">
        <v>130</v>
      </c>
      <c r="H952" t="s">
        <v>92</v>
      </c>
      <c r="I952" t="s">
        <v>49</v>
      </c>
      <c r="J952" t="s">
        <v>25</v>
      </c>
      <c r="K952" s="2">
        <v>4.0999999999999996</v>
      </c>
      <c r="L952" t="s">
        <v>26</v>
      </c>
      <c r="M952" t="s">
        <v>35</v>
      </c>
      <c r="N952" t="s">
        <v>40</v>
      </c>
      <c r="O952" t="s">
        <v>26</v>
      </c>
      <c r="P952" t="s">
        <v>26</v>
      </c>
      <c r="Q952" s="3">
        <v>30</v>
      </c>
      <c r="R952" t="s">
        <v>46</v>
      </c>
      <c r="S952" t="s">
        <v>60</v>
      </c>
    </row>
    <row r="953" spans="1:19" x14ac:dyDescent="0.25">
      <c r="A953">
        <v>952</v>
      </c>
      <c r="B953">
        <v>47</v>
      </c>
      <c r="C953" t="s">
        <v>19</v>
      </c>
      <c r="D953" t="s">
        <v>82</v>
      </c>
      <c r="E953" t="s">
        <v>21</v>
      </c>
      <c r="F953" s="1">
        <v>51</v>
      </c>
      <c r="G953" t="s">
        <v>120</v>
      </c>
      <c r="H953" t="s">
        <v>45</v>
      </c>
      <c r="I953" t="s">
        <v>109</v>
      </c>
      <c r="J953" t="s">
        <v>54</v>
      </c>
      <c r="K953" s="2">
        <v>2.9</v>
      </c>
      <c r="L953" t="s">
        <v>26</v>
      </c>
      <c r="M953" t="s">
        <v>29</v>
      </c>
      <c r="N953" t="s">
        <v>28</v>
      </c>
      <c r="O953" t="s">
        <v>26</v>
      </c>
      <c r="P953" t="s">
        <v>26</v>
      </c>
      <c r="Q953" s="3">
        <v>34</v>
      </c>
      <c r="R953" t="s">
        <v>34</v>
      </c>
      <c r="S953" t="s">
        <v>88</v>
      </c>
    </row>
    <row r="954" spans="1:19" x14ac:dyDescent="0.25">
      <c r="A954">
        <v>953</v>
      </c>
      <c r="B954">
        <v>36</v>
      </c>
      <c r="C954" t="s">
        <v>19</v>
      </c>
      <c r="D954" t="s">
        <v>124</v>
      </c>
      <c r="E954" t="s">
        <v>69</v>
      </c>
      <c r="F954" s="1">
        <v>71</v>
      </c>
      <c r="G954" t="s">
        <v>135</v>
      </c>
      <c r="H954" t="s">
        <v>38</v>
      </c>
      <c r="I954" t="s">
        <v>108</v>
      </c>
      <c r="J954" t="s">
        <v>58</v>
      </c>
      <c r="K954" s="2">
        <v>3.1</v>
      </c>
      <c r="L954" t="s">
        <v>26</v>
      </c>
      <c r="M954" t="s">
        <v>34</v>
      </c>
      <c r="N954" t="s">
        <v>72</v>
      </c>
      <c r="O954" t="s">
        <v>26</v>
      </c>
      <c r="P954" t="s">
        <v>26</v>
      </c>
      <c r="Q954" s="3">
        <v>28</v>
      </c>
      <c r="R954" t="s">
        <v>46</v>
      </c>
      <c r="S954" t="s">
        <v>88</v>
      </c>
    </row>
    <row r="955" spans="1:19" x14ac:dyDescent="0.25">
      <c r="A955">
        <v>954</v>
      </c>
      <c r="B955">
        <v>68</v>
      </c>
      <c r="C955" t="s">
        <v>19</v>
      </c>
      <c r="D955" t="s">
        <v>89</v>
      </c>
      <c r="E955" t="s">
        <v>69</v>
      </c>
      <c r="F955" s="1">
        <v>50</v>
      </c>
      <c r="G955" t="s">
        <v>140</v>
      </c>
      <c r="H955" t="s">
        <v>38</v>
      </c>
      <c r="I955" t="s">
        <v>109</v>
      </c>
      <c r="J955" t="s">
        <v>39</v>
      </c>
      <c r="K955" s="2">
        <v>3.6</v>
      </c>
      <c r="L955" t="s">
        <v>26</v>
      </c>
      <c r="M955" t="s">
        <v>27</v>
      </c>
      <c r="N955" t="s">
        <v>72</v>
      </c>
      <c r="O955" t="s">
        <v>26</v>
      </c>
      <c r="P955" t="s">
        <v>26</v>
      </c>
      <c r="Q955" s="3">
        <v>36</v>
      </c>
      <c r="R955" t="s">
        <v>29</v>
      </c>
      <c r="S955" t="s">
        <v>60</v>
      </c>
    </row>
    <row r="956" spans="1:19" x14ac:dyDescent="0.25">
      <c r="A956">
        <v>955</v>
      </c>
      <c r="B956">
        <v>60</v>
      </c>
      <c r="C956" t="s">
        <v>19</v>
      </c>
      <c r="D956" t="s">
        <v>124</v>
      </c>
      <c r="E956" t="s">
        <v>69</v>
      </c>
      <c r="F956" s="1">
        <v>74</v>
      </c>
      <c r="G956" t="s">
        <v>62</v>
      </c>
      <c r="H956" t="s">
        <v>38</v>
      </c>
      <c r="I956" t="s">
        <v>49</v>
      </c>
      <c r="J956" t="s">
        <v>58</v>
      </c>
      <c r="K956" s="2">
        <v>3.5</v>
      </c>
      <c r="L956" t="s">
        <v>26</v>
      </c>
      <c r="M956" t="s">
        <v>29</v>
      </c>
      <c r="N956" t="s">
        <v>55</v>
      </c>
      <c r="O956" t="s">
        <v>26</v>
      </c>
      <c r="P956" t="s">
        <v>26</v>
      </c>
      <c r="Q956" s="3">
        <v>18</v>
      </c>
      <c r="R956" t="s">
        <v>27</v>
      </c>
      <c r="S956" t="s">
        <v>97</v>
      </c>
    </row>
    <row r="957" spans="1:19" x14ac:dyDescent="0.25">
      <c r="A957">
        <v>956</v>
      </c>
      <c r="B957">
        <v>55</v>
      </c>
      <c r="C957" t="s">
        <v>19</v>
      </c>
      <c r="D957" t="s">
        <v>82</v>
      </c>
      <c r="E957" t="s">
        <v>21</v>
      </c>
      <c r="F957" s="1">
        <v>75</v>
      </c>
      <c r="G957" t="s">
        <v>91</v>
      </c>
      <c r="H957" t="s">
        <v>23</v>
      </c>
      <c r="I957" t="s">
        <v>93</v>
      </c>
      <c r="J957" t="s">
        <v>54</v>
      </c>
      <c r="K957" s="2">
        <v>3.4</v>
      </c>
      <c r="L957" t="s">
        <v>26</v>
      </c>
      <c r="M957" t="s">
        <v>29</v>
      </c>
      <c r="N957" t="s">
        <v>40</v>
      </c>
      <c r="O957" t="s">
        <v>26</v>
      </c>
      <c r="P957" t="s">
        <v>26</v>
      </c>
      <c r="Q957" s="3">
        <v>4</v>
      </c>
      <c r="R957" t="s">
        <v>46</v>
      </c>
      <c r="S957" t="s">
        <v>88</v>
      </c>
    </row>
    <row r="958" spans="1:19" x14ac:dyDescent="0.25">
      <c r="A958">
        <v>957</v>
      </c>
      <c r="B958">
        <v>29</v>
      </c>
      <c r="C958" t="s">
        <v>19</v>
      </c>
      <c r="D958" t="s">
        <v>56</v>
      </c>
      <c r="E958" t="s">
        <v>21</v>
      </c>
      <c r="F958" s="1">
        <v>99</v>
      </c>
      <c r="G958" t="s">
        <v>91</v>
      </c>
      <c r="H958" t="s">
        <v>92</v>
      </c>
      <c r="I958" t="s">
        <v>109</v>
      </c>
      <c r="J958" t="s">
        <v>39</v>
      </c>
      <c r="K958" s="2">
        <v>2.9</v>
      </c>
      <c r="L958" t="s">
        <v>26</v>
      </c>
      <c r="M958" t="s">
        <v>29</v>
      </c>
      <c r="N958" t="s">
        <v>72</v>
      </c>
      <c r="O958" t="s">
        <v>26</v>
      </c>
      <c r="P958" t="s">
        <v>26</v>
      </c>
      <c r="Q958" s="3">
        <v>42</v>
      </c>
      <c r="R958" t="s">
        <v>59</v>
      </c>
      <c r="S958" t="s">
        <v>60</v>
      </c>
    </row>
    <row r="959" spans="1:19" x14ac:dyDescent="0.25">
      <c r="A959">
        <v>958</v>
      </c>
      <c r="B959">
        <v>38</v>
      </c>
      <c r="C959" t="s">
        <v>19</v>
      </c>
      <c r="D959" t="s">
        <v>119</v>
      </c>
      <c r="E959" t="s">
        <v>69</v>
      </c>
      <c r="F959" s="1">
        <v>23</v>
      </c>
      <c r="G959" t="s">
        <v>116</v>
      </c>
      <c r="H959" t="s">
        <v>92</v>
      </c>
      <c r="I959" t="s">
        <v>84</v>
      </c>
      <c r="J959" t="s">
        <v>39</v>
      </c>
      <c r="K959" s="2">
        <v>4.7</v>
      </c>
      <c r="L959" t="s">
        <v>26</v>
      </c>
      <c r="M959" t="s">
        <v>34</v>
      </c>
      <c r="N959" t="s">
        <v>76</v>
      </c>
      <c r="O959" t="s">
        <v>26</v>
      </c>
      <c r="P959" t="s">
        <v>26</v>
      </c>
      <c r="Q959" s="3">
        <v>11</v>
      </c>
      <c r="R959" t="s">
        <v>35</v>
      </c>
      <c r="S959" t="s">
        <v>60</v>
      </c>
    </row>
    <row r="960" spans="1:19" x14ac:dyDescent="0.25">
      <c r="A960">
        <v>959</v>
      </c>
      <c r="B960">
        <v>70</v>
      </c>
      <c r="C960" t="s">
        <v>19</v>
      </c>
      <c r="D960" t="s">
        <v>51</v>
      </c>
      <c r="E960" t="s">
        <v>43</v>
      </c>
      <c r="F960" s="1">
        <v>53</v>
      </c>
      <c r="G960" t="s">
        <v>149</v>
      </c>
      <c r="H960" t="s">
        <v>92</v>
      </c>
      <c r="I960" t="s">
        <v>118</v>
      </c>
      <c r="J960" t="s">
        <v>25</v>
      </c>
      <c r="K960" s="2">
        <v>4.4000000000000004</v>
      </c>
      <c r="L960" t="s">
        <v>26</v>
      </c>
      <c r="M960" t="s">
        <v>35</v>
      </c>
      <c r="N960" t="s">
        <v>40</v>
      </c>
      <c r="O960" t="s">
        <v>26</v>
      </c>
      <c r="P960" t="s">
        <v>26</v>
      </c>
      <c r="Q960" s="3">
        <v>31</v>
      </c>
      <c r="R960" t="s">
        <v>27</v>
      </c>
      <c r="S960" t="s">
        <v>77</v>
      </c>
    </row>
    <row r="961" spans="1:19" x14ac:dyDescent="0.25">
      <c r="A961">
        <v>960</v>
      </c>
      <c r="B961">
        <v>36</v>
      </c>
      <c r="C961" t="s">
        <v>19</v>
      </c>
      <c r="D961" t="s">
        <v>87</v>
      </c>
      <c r="E961" t="s">
        <v>21</v>
      </c>
      <c r="F961" s="1">
        <v>99</v>
      </c>
      <c r="G961" t="s">
        <v>107</v>
      </c>
      <c r="H961" t="s">
        <v>45</v>
      </c>
      <c r="I961" t="s">
        <v>109</v>
      </c>
      <c r="J961" t="s">
        <v>39</v>
      </c>
      <c r="K961" s="2">
        <v>2.6</v>
      </c>
      <c r="L961" t="s">
        <v>26</v>
      </c>
      <c r="M961" t="s">
        <v>35</v>
      </c>
      <c r="N961" t="s">
        <v>55</v>
      </c>
      <c r="O961" t="s">
        <v>26</v>
      </c>
      <c r="P961" t="s">
        <v>26</v>
      </c>
      <c r="Q961" s="3">
        <v>12</v>
      </c>
      <c r="R961" t="s">
        <v>35</v>
      </c>
      <c r="S961" t="s">
        <v>30</v>
      </c>
    </row>
    <row r="962" spans="1:19" x14ac:dyDescent="0.25">
      <c r="A962">
        <v>961</v>
      </c>
      <c r="B962">
        <v>18</v>
      </c>
      <c r="C962" t="s">
        <v>19</v>
      </c>
      <c r="D962" t="s">
        <v>106</v>
      </c>
      <c r="E962" t="s">
        <v>69</v>
      </c>
      <c r="F962" s="1">
        <v>48</v>
      </c>
      <c r="G962" t="s">
        <v>62</v>
      </c>
      <c r="H962" t="s">
        <v>92</v>
      </c>
      <c r="I962" t="s">
        <v>126</v>
      </c>
      <c r="J962" t="s">
        <v>39</v>
      </c>
      <c r="K962" s="2">
        <v>4.4000000000000004</v>
      </c>
      <c r="L962" t="s">
        <v>26</v>
      </c>
      <c r="M962" t="s">
        <v>59</v>
      </c>
      <c r="N962" t="s">
        <v>55</v>
      </c>
      <c r="O962" t="s">
        <v>26</v>
      </c>
      <c r="P962" t="s">
        <v>26</v>
      </c>
      <c r="Q962" s="3">
        <v>20</v>
      </c>
      <c r="R962" t="s">
        <v>29</v>
      </c>
      <c r="S962" t="s">
        <v>60</v>
      </c>
    </row>
    <row r="963" spans="1:19" x14ac:dyDescent="0.25">
      <c r="A963">
        <v>962</v>
      </c>
      <c r="B963">
        <v>62</v>
      </c>
      <c r="C963" t="s">
        <v>19</v>
      </c>
      <c r="D963" t="s">
        <v>137</v>
      </c>
      <c r="E963" t="s">
        <v>43</v>
      </c>
      <c r="F963" s="1">
        <v>72</v>
      </c>
      <c r="G963" t="s">
        <v>138</v>
      </c>
      <c r="H963" t="s">
        <v>23</v>
      </c>
      <c r="I963" t="s">
        <v>79</v>
      </c>
      <c r="J963" t="s">
        <v>58</v>
      </c>
      <c r="K963" s="2">
        <v>3.7</v>
      </c>
      <c r="L963" t="s">
        <v>26</v>
      </c>
      <c r="M963" t="s">
        <v>29</v>
      </c>
      <c r="N963" t="s">
        <v>47</v>
      </c>
      <c r="O963" t="s">
        <v>26</v>
      </c>
      <c r="P963" t="s">
        <v>26</v>
      </c>
      <c r="Q963" s="3">
        <v>37</v>
      </c>
      <c r="R963" t="s">
        <v>59</v>
      </c>
      <c r="S963" t="s">
        <v>60</v>
      </c>
    </row>
    <row r="964" spans="1:19" x14ac:dyDescent="0.25">
      <c r="A964">
        <v>963</v>
      </c>
      <c r="B964">
        <v>29</v>
      </c>
      <c r="C964" t="s">
        <v>19</v>
      </c>
      <c r="D964" t="s">
        <v>89</v>
      </c>
      <c r="E964" t="s">
        <v>69</v>
      </c>
      <c r="F964" s="1">
        <v>64</v>
      </c>
      <c r="G964" t="s">
        <v>151</v>
      </c>
      <c r="H964" t="s">
        <v>23</v>
      </c>
      <c r="I964" t="s">
        <v>96</v>
      </c>
      <c r="J964" t="s">
        <v>39</v>
      </c>
      <c r="K964" s="2">
        <v>4.4000000000000004</v>
      </c>
      <c r="L964" t="s">
        <v>26</v>
      </c>
      <c r="M964" t="s">
        <v>35</v>
      </c>
      <c r="N964" t="s">
        <v>55</v>
      </c>
      <c r="O964" t="s">
        <v>26</v>
      </c>
      <c r="P964" t="s">
        <v>26</v>
      </c>
      <c r="Q964" s="3">
        <v>26</v>
      </c>
      <c r="R964" t="s">
        <v>59</v>
      </c>
      <c r="S964" t="s">
        <v>30</v>
      </c>
    </row>
    <row r="965" spans="1:19" x14ac:dyDescent="0.25">
      <c r="A965">
        <v>964</v>
      </c>
      <c r="B965">
        <v>21</v>
      </c>
      <c r="C965" t="s">
        <v>19</v>
      </c>
      <c r="D965" t="s">
        <v>137</v>
      </c>
      <c r="E965" t="s">
        <v>43</v>
      </c>
      <c r="F965" s="1">
        <v>63</v>
      </c>
      <c r="G965" t="s">
        <v>131</v>
      </c>
      <c r="H965" t="s">
        <v>23</v>
      </c>
      <c r="I965" t="s">
        <v>96</v>
      </c>
      <c r="J965" t="s">
        <v>39</v>
      </c>
      <c r="K965" s="2">
        <v>2.5</v>
      </c>
      <c r="L965" t="s">
        <v>26</v>
      </c>
      <c r="M965" t="s">
        <v>35</v>
      </c>
      <c r="N965" t="s">
        <v>72</v>
      </c>
      <c r="O965" t="s">
        <v>26</v>
      </c>
      <c r="P965" t="s">
        <v>26</v>
      </c>
      <c r="Q965" s="3">
        <v>14</v>
      </c>
      <c r="R965" t="s">
        <v>27</v>
      </c>
      <c r="S965" t="s">
        <v>41</v>
      </c>
    </row>
    <row r="966" spans="1:19" x14ac:dyDescent="0.25">
      <c r="A966">
        <v>965</v>
      </c>
      <c r="B966">
        <v>42</v>
      </c>
      <c r="C966" t="s">
        <v>19</v>
      </c>
      <c r="D966" t="s">
        <v>42</v>
      </c>
      <c r="E966" t="s">
        <v>43</v>
      </c>
      <c r="F966" s="1">
        <v>51</v>
      </c>
      <c r="G966" t="s">
        <v>117</v>
      </c>
      <c r="H966" t="s">
        <v>45</v>
      </c>
      <c r="I966" t="s">
        <v>118</v>
      </c>
      <c r="J966" t="s">
        <v>39</v>
      </c>
      <c r="K966" s="2">
        <v>2.6</v>
      </c>
      <c r="L966" t="s">
        <v>26</v>
      </c>
      <c r="M966" t="s">
        <v>34</v>
      </c>
      <c r="N966" t="s">
        <v>47</v>
      </c>
      <c r="O966" t="s">
        <v>26</v>
      </c>
      <c r="P966" t="s">
        <v>26</v>
      </c>
      <c r="Q966" s="3">
        <v>12</v>
      </c>
      <c r="R966" t="s">
        <v>29</v>
      </c>
      <c r="S966" t="s">
        <v>77</v>
      </c>
    </row>
    <row r="967" spans="1:19" x14ac:dyDescent="0.25">
      <c r="A967">
        <v>966</v>
      </c>
      <c r="B967">
        <v>43</v>
      </c>
      <c r="C967" t="s">
        <v>19</v>
      </c>
      <c r="D967" t="s">
        <v>137</v>
      </c>
      <c r="E967" t="s">
        <v>43</v>
      </c>
      <c r="F967" s="1">
        <v>55</v>
      </c>
      <c r="G967" t="s">
        <v>80</v>
      </c>
      <c r="H967" t="s">
        <v>23</v>
      </c>
      <c r="I967" t="s">
        <v>94</v>
      </c>
      <c r="J967" t="s">
        <v>39</v>
      </c>
      <c r="K967" s="2">
        <v>5</v>
      </c>
      <c r="L967" t="s">
        <v>26</v>
      </c>
      <c r="M967" t="s">
        <v>59</v>
      </c>
      <c r="N967" t="s">
        <v>76</v>
      </c>
      <c r="O967" t="s">
        <v>26</v>
      </c>
      <c r="P967" t="s">
        <v>26</v>
      </c>
      <c r="Q967" s="3">
        <v>10</v>
      </c>
      <c r="R967" t="s">
        <v>27</v>
      </c>
      <c r="S967" t="s">
        <v>50</v>
      </c>
    </row>
    <row r="968" spans="1:19" x14ac:dyDescent="0.25">
      <c r="A968">
        <v>967</v>
      </c>
      <c r="B968">
        <v>58</v>
      </c>
      <c r="C968" t="s">
        <v>19</v>
      </c>
      <c r="D968" t="s">
        <v>82</v>
      </c>
      <c r="E968" t="s">
        <v>21</v>
      </c>
      <c r="F968" s="1">
        <v>55</v>
      </c>
      <c r="G968" t="s">
        <v>22</v>
      </c>
      <c r="H968" t="s">
        <v>45</v>
      </c>
      <c r="I968" t="s">
        <v>110</v>
      </c>
      <c r="J968" t="s">
        <v>39</v>
      </c>
      <c r="K968" s="2">
        <v>4.9000000000000004</v>
      </c>
      <c r="L968" t="s">
        <v>26</v>
      </c>
      <c r="M968" t="s">
        <v>35</v>
      </c>
      <c r="N968" t="s">
        <v>28</v>
      </c>
      <c r="O968" t="s">
        <v>26</v>
      </c>
      <c r="P968" t="s">
        <v>26</v>
      </c>
      <c r="Q968" s="3">
        <v>19</v>
      </c>
      <c r="R968" t="s">
        <v>35</v>
      </c>
      <c r="S968" t="s">
        <v>50</v>
      </c>
    </row>
    <row r="969" spans="1:19" x14ac:dyDescent="0.25">
      <c r="A969">
        <v>968</v>
      </c>
      <c r="B969">
        <v>27</v>
      </c>
      <c r="C969" t="s">
        <v>19</v>
      </c>
      <c r="D969" t="s">
        <v>104</v>
      </c>
      <c r="E969" t="s">
        <v>21</v>
      </c>
      <c r="F969" s="1">
        <v>26</v>
      </c>
      <c r="G969" t="s">
        <v>142</v>
      </c>
      <c r="H969" t="s">
        <v>38</v>
      </c>
      <c r="I969" t="s">
        <v>67</v>
      </c>
      <c r="J969" t="s">
        <v>54</v>
      </c>
      <c r="K969" s="2">
        <v>3.7</v>
      </c>
      <c r="L969" t="s">
        <v>26</v>
      </c>
      <c r="M969" t="s">
        <v>59</v>
      </c>
      <c r="N969" t="s">
        <v>76</v>
      </c>
      <c r="O969" t="s">
        <v>26</v>
      </c>
      <c r="P969" t="s">
        <v>26</v>
      </c>
      <c r="Q969" s="3">
        <v>4</v>
      </c>
      <c r="R969" t="s">
        <v>35</v>
      </c>
      <c r="S969" t="s">
        <v>41</v>
      </c>
    </row>
    <row r="970" spans="1:19" x14ac:dyDescent="0.25">
      <c r="A970">
        <v>969</v>
      </c>
      <c r="B970">
        <v>57</v>
      </c>
      <c r="C970" t="s">
        <v>19</v>
      </c>
      <c r="D970" t="s">
        <v>61</v>
      </c>
      <c r="E970" t="s">
        <v>21</v>
      </c>
      <c r="F970" s="1">
        <v>67</v>
      </c>
      <c r="G970" t="s">
        <v>98</v>
      </c>
      <c r="H970" t="s">
        <v>23</v>
      </c>
      <c r="I970" t="s">
        <v>24</v>
      </c>
      <c r="J970" t="s">
        <v>54</v>
      </c>
      <c r="K970" s="2">
        <v>3.1</v>
      </c>
      <c r="L970" t="s">
        <v>26</v>
      </c>
      <c r="M970" t="s">
        <v>59</v>
      </c>
      <c r="N970" t="s">
        <v>47</v>
      </c>
      <c r="O970" t="s">
        <v>26</v>
      </c>
      <c r="P970" t="s">
        <v>26</v>
      </c>
      <c r="Q970" s="3">
        <v>48</v>
      </c>
      <c r="R970" t="s">
        <v>34</v>
      </c>
      <c r="S970" t="s">
        <v>60</v>
      </c>
    </row>
    <row r="971" spans="1:19" x14ac:dyDescent="0.25">
      <c r="A971">
        <v>970</v>
      </c>
      <c r="B971">
        <v>40</v>
      </c>
      <c r="C971" t="s">
        <v>19</v>
      </c>
      <c r="D971" t="s">
        <v>64</v>
      </c>
      <c r="E971" t="s">
        <v>65</v>
      </c>
      <c r="F971" s="1">
        <v>31</v>
      </c>
      <c r="G971" t="s">
        <v>99</v>
      </c>
      <c r="H971" t="s">
        <v>38</v>
      </c>
      <c r="I971" t="s">
        <v>71</v>
      </c>
      <c r="J971" t="s">
        <v>58</v>
      </c>
      <c r="K971" s="2">
        <v>3.2</v>
      </c>
      <c r="L971" t="s">
        <v>26</v>
      </c>
      <c r="M971" t="s">
        <v>59</v>
      </c>
      <c r="N971" t="s">
        <v>28</v>
      </c>
      <c r="O971" t="s">
        <v>26</v>
      </c>
      <c r="P971" t="s">
        <v>26</v>
      </c>
      <c r="Q971" s="3">
        <v>37</v>
      </c>
      <c r="R971" t="s">
        <v>46</v>
      </c>
      <c r="S971" t="s">
        <v>88</v>
      </c>
    </row>
    <row r="972" spans="1:19" x14ac:dyDescent="0.25">
      <c r="A972">
        <v>971</v>
      </c>
      <c r="B972">
        <v>45</v>
      </c>
      <c r="C972" t="s">
        <v>19</v>
      </c>
      <c r="D972" t="s">
        <v>36</v>
      </c>
      <c r="E972" t="s">
        <v>21</v>
      </c>
      <c r="F972" s="1">
        <v>66</v>
      </c>
      <c r="G972" t="s">
        <v>99</v>
      </c>
      <c r="H972" t="s">
        <v>38</v>
      </c>
      <c r="I972" t="s">
        <v>33</v>
      </c>
      <c r="J972" t="s">
        <v>25</v>
      </c>
      <c r="K972" s="2">
        <v>4.4000000000000004</v>
      </c>
      <c r="L972" t="s">
        <v>26</v>
      </c>
      <c r="M972" t="s">
        <v>46</v>
      </c>
      <c r="N972" t="s">
        <v>40</v>
      </c>
      <c r="O972" t="s">
        <v>26</v>
      </c>
      <c r="P972" t="s">
        <v>26</v>
      </c>
      <c r="Q972" s="3">
        <v>4</v>
      </c>
      <c r="R972" t="s">
        <v>35</v>
      </c>
      <c r="S972" t="s">
        <v>88</v>
      </c>
    </row>
    <row r="973" spans="1:19" x14ac:dyDescent="0.25">
      <c r="A973">
        <v>972</v>
      </c>
      <c r="B973">
        <v>47</v>
      </c>
      <c r="C973" t="s">
        <v>19</v>
      </c>
      <c r="D973" t="s">
        <v>89</v>
      </c>
      <c r="E973" t="s">
        <v>69</v>
      </c>
      <c r="F973" s="1">
        <v>67</v>
      </c>
      <c r="G973" t="s">
        <v>116</v>
      </c>
      <c r="H973" t="s">
        <v>45</v>
      </c>
      <c r="I973" t="s">
        <v>109</v>
      </c>
      <c r="J973" t="s">
        <v>54</v>
      </c>
      <c r="K973" s="2">
        <v>4.3</v>
      </c>
      <c r="L973" t="s">
        <v>26</v>
      </c>
      <c r="M973" t="s">
        <v>34</v>
      </c>
      <c r="N973" t="s">
        <v>47</v>
      </c>
      <c r="O973" t="s">
        <v>26</v>
      </c>
      <c r="P973" t="s">
        <v>26</v>
      </c>
      <c r="Q973" s="3">
        <v>15</v>
      </c>
      <c r="R973" t="s">
        <v>27</v>
      </c>
      <c r="S973" t="s">
        <v>41</v>
      </c>
    </row>
    <row r="974" spans="1:19" x14ac:dyDescent="0.25">
      <c r="A974">
        <v>973</v>
      </c>
      <c r="B974">
        <v>61</v>
      </c>
      <c r="C974" t="s">
        <v>19</v>
      </c>
      <c r="D974" t="s">
        <v>51</v>
      </c>
      <c r="E974" t="s">
        <v>43</v>
      </c>
      <c r="F974" s="1">
        <v>61</v>
      </c>
      <c r="G974" t="s">
        <v>112</v>
      </c>
      <c r="H974" t="s">
        <v>23</v>
      </c>
      <c r="I974" t="s">
        <v>81</v>
      </c>
      <c r="J974" t="s">
        <v>25</v>
      </c>
      <c r="K974" s="2">
        <v>3</v>
      </c>
      <c r="L974" t="s">
        <v>26</v>
      </c>
      <c r="M974" t="s">
        <v>29</v>
      </c>
      <c r="N974" t="s">
        <v>55</v>
      </c>
      <c r="O974" t="s">
        <v>26</v>
      </c>
      <c r="P974" t="s">
        <v>26</v>
      </c>
      <c r="Q974" s="3">
        <v>33</v>
      </c>
      <c r="R974" t="s">
        <v>27</v>
      </c>
      <c r="S974" t="s">
        <v>41</v>
      </c>
    </row>
    <row r="975" spans="1:19" x14ac:dyDescent="0.25">
      <c r="A975">
        <v>974</v>
      </c>
      <c r="B975">
        <v>60</v>
      </c>
      <c r="C975" t="s">
        <v>19</v>
      </c>
      <c r="D975" t="s">
        <v>102</v>
      </c>
      <c r="E975" t="s">
        <v>65</v>
      </c>
      <c r="F975" s="1">
        <v>75</v>
      </c>
      <c r="G975" t="s">
        <v>112</v>
      </c>
      <c r="H975" t="s">
        <v>45</v>
      </c>
      <c r="I975" t="s">
        <v>86</v>
      </c>
      <c r="J975" t="s">
        <v>58</v>
      </c>
      <c r="K975" s="2">
        <v>3.5</v>
      </c>
      <c r="L975" t="s">
        <v>26</v>
      </c>
      <c r="M975" t="s">
        <v>29</v>
      </c>
      <c r="N975" t="s">
        <v>72</v>
      </c>
      <c r="O975" t="s">
        <v>26</v>
      </c>
      <c r="P975" t="s">
        <v>26</v>
      </c>
      <c r="Q975" s="3">
        <v>30</v>
      </c>
      <c r="R975" t="s">
        <v>34</v>
      </c>
      <c r="S975" t="s">
        <v>60</v>
      </c>
    </row>
    <row r="976" spans="1:19" x14ac:dyDescent="0.25">
      <c r="A976">
        <v>975</v>
      </c>
      <c r="B976">
        <v>69</v>
      </c>
      <c r="C976" t="s">
        <v>19</v>
      </c>
      <c r="D976" t="s">
        <v>87</v>
      </c>
      <c r="E976" t="s">
        <v>21</v>
      </c>
      <c r="F976" s="1">
        <v>90</v>
      </c>
      <c r="G976" t="s">
        <v>98</v>
      </c>
      <c r="H976" t="s">
        <v>45</v>
      </c>
      <c r="I976" t="s">
        <v>118</v>
      </c>
      <c r="J976" t="s">
        <v>39</v>
      </c>
      <c r="K976" s="2">
        <v>3.6</v>
      </c>
      <c r="L976" t="s">
        <v>26</v>
      </c>
      <c r="M976" t="s">
        <v>27</v>
      </c>
      <c r="N976" t="s">
        <v>72</v>
      </c>
      <c r="O976" t="s">
        <v>26</v>
      </c>
      <c r="P976" t="s">
        <v>26</v>
      </c>
      <c r="Q976" s="3">
        <v>23</v>
      </c>
      <c r="R976" t="s">
        <v>34</v>
      </c>
      <c r="S976" t="s">
        <v>88</v>
      </c>
    </row>
    <row r="977" spans="1:19" x14ac:dyDescent="0.25">
      <c r="A977">
        <v>976</v>
      </c>
      <c r="B977">
        <v>58</v>
      </c>
      <c r="C977" t="s">
        <v>19</v>
      </c>
      <c r="D977" t="s">
        <v>31</v>
      </c>
      <c r="E977" t="s">
        <v>21</v>
      </c>
      <c r="F977" s="1">
        <v>40</v>
      </c>
      <c r="G977" t="s">
        <v>149</v>
      </c>
      <c r="H977" t="s">
        <v>45</v>
      </c>
      <c r="I977" t="s">
        <v>79</v>
      </c>
      <c r="J977" t="s">
        <v>54</v>
      </c>
      <c r="K977" s="2">
        <v>3.8</v>
      </c>
      <c r="L977" t="s">
        <v>26</v>
      </c>
      <c r="M977" t="s">
        <v>34</v>
      </c>
      <c r="N977" t="s">
        <v>72</v>
      </c>
      <c r="O977" t="s">
        <v>26</v>
      </c>
      <c r="P977" t="s">
        <v>26</v>
      </c>
      <c r="Q977" s="3">
        <v>2</v>
      </c>
      <c r="R977" t="s">
        <v>34</v>
      </c>
      <c r="S977" t="s">
        <v>41</v>
      </c>
    </row>
    <row r="978" spans="1:19" x14ac:dyDescent="0.25">
      <c r="A978">
        <v>977</v>
      </c>
      <c r="B978">
        <v>34</v>
      </c>
      <c r="C978" t="s">
        <v>19</v>
      </c>
      <c r="D978" t="s">
        <v>113</v>
      </c>
      <c r="E978" t="s">
        <v>21</v>
      </c>
      <c r="F978" s="1">
        <v>90</v>
      </c>
      <c r="G978" t="s">
        <v>103</v>
      </c>
      <c r="H978" t="s">
        <v>45</v>
      </c>
      <c r="I978" t="s">
        <v>24</v>
      </c>
      <c r="J978" t="s">
        <v>58</v>
      </c>
      <c r="K978" s="2">
        <v>3.6</v>
      </c>
      <c r="L978" t="s">
        <v>26</v>
      </c>
      <c r="M978" t="s">
        <v>46</v>
      </c>
      <c r="N978" t="s">
        <v>28</v>
      </c>
      <c r="O978" t="s">
        <v>26</v>
      </c>
      <c r="P978" t="s">
        <v>26</v>
      </c>
      <c r="Q978" s="3">
        <v>50</v>
      </c>
      <c r="R978" t="s">
        <v>27</v>
      </c>
      <c r="S978" t="s">
        <v>97</v>
      </c>
    </row>
    <row r="979" spans="1:19" x14ac:dyDescent="0.25">
      <c r="A979">
        <v>978</v>
      </c>
      <c r="B979">
        <v>20</v>
      </c>
      <c r="C979" t="s">
        <v>19</v>
      </c>
      <c r="D979" t="s">
        <v>133</v>
      </c>
      <c r="E979" t="s">
        <v>69</v>
      </c>
      <c r="F979" s="1">
        <v>20</v>
      </c>
      <c r="G979" t="s">
        <v>149</v>
      </c>
      <c r="H979" t="s">
        <v>45</v>
      </c>
      <c r="I979" t="s">
        <v>94</v>
      </c>
      <c r="J979" t="s">
        <v>39</v>
      </c>
      <c r="K979" s="2">
        <v>4.5999999999999996</v>
      </c>
      <c r="L979" t="s">
        <v>26</v>
      </c>
      <c r="M979" t="s">
        <v>27</v>
      </c>
      <c r="N979" t="s">
        <v>28</v>
      </c>
      <c r="O979" t="s">
        <v>26</v>
      </c>
      <c r="P979" t="s">
        <v>26</v>
      </c>
      <c r="Q979" s="3">
        <v>34</v>
      </c>
      <c r="R979" t="s">
        <v>35</v>
      </c>
      <c r="S979" t="s">
        <v>77</v>
      </c>
    </row>
    <row r="980" spans="1:19" x14ac:dyDescent="0.25">
      <c r="A980">
        <v>979</v>
      </c>
      <c r="B980">
        <v>56</v>
      </c>
      <c r="C980" t="s">
        <v>19</v>
      </c>
      <c r="D980" t="s">
        <v>143</v>
      </c>
      <c r="E980" t="s">
        <v>69</v>
      </c>
      <c r="F980" s="1">
        <v>40</v>
      </c>
      <c r="G980" t="s">
        <v>112</v>
      </c>
      <c r="H980" t="s">
        <v>45</v>
      </c>
      <c r="I980" t="s">
        <v>49</v>
      </c>
      <c r="J980" t="s">
        <v>54</v>
      </c>
      <c r="K980" s="2">
        <v>2.5</v>
      </c>
      <c r="L980" t="s">
        <v>26</v>
      </c>
      <c r="M980" t="s">
        <v>35</v>
      </c>
      <c r="N980" t="s">
        <v>55</v>
      </c>
      <c r="O980" t="s">
        <v>26</v>
      </c>
      <c r="P980" t="s">
        <v>26</v>
      </c>
      <c r="Q980" s="3">
        <v>33</v>
      </c>
      <c r="R980" t="s">
        <v>27</v>
      </c>
      <c r="S980" t="s">
        <v>41</v>
      </c>
    </row>
    <row r="981" spans="1:19" x14ac:dyDescent="0.25">
      <c r="A981">
        <v>980</v>
      </c>
      <c r="B981">
        <v>64</v>
      </c>
      <c r="C981" t="s">
        <v>19</v>
      </c>
      <c r="D981" t="s">
        <v>124</v>
      </c>
      <c r="E981" t="s">
        <v>69</v>
      </c>
      <c r="F981" s="1">
        <v>33</v>
      </c>
      <c r="G981" t="s">
        <v>83</v>
      </c>
      <c r="H981" t="s">
        <v>38</v>
      </c>
      <c r="I981" t="s">
        <v>110</v>
      </c>
      <c r="J981" t="s">
        <v>58</v>
      </c>
      <c r="K981" s="2">
        <v>3.5</v>
      </c>
      <c r="L981" t="s">
        <v>26</v>
      </c>
      <c r="M981" t="s">
        <v>29</v>
      </c>
      <c r="N981" t="s">
        <v>76</v>
      </c>
      <c r="O981" t="s">
        <v>26</v>
      </c>
      <c r="P981" t="s">
        <v>26</v>
      </c>
      <c r="Q981" s="3">
        <v>34</v>
      </c>
      <c r="R981" t="s">
        <v>59</v>
      </c>
      <c r="S981" t="s">
        <v>88</v>
      </c>
    </row>
    <row r="982" spans="1:19" x14ac:dyDescent="0.25">
      <c r="A982">
        <v>981</v>
      </c>
      <c r="B982">
        <v>56</v>
      </c>
      <c r="C982" t="s">
        <v>19</v>
      </c>
      <c r="D982" t="s">
        <v>137</v>
      </c>
      <c r="E982" t="s">
        <v>43</v>
      </c>
      <c r="F982" s="1">
        <v>98</v>
      </c>
      <c r="G982" t="s">
        <v>128</v>
      </c>
      <c r="H982" t="s">
        <v>38</v>
      </c>
      <c r="I982" t="s">
        <v>136</v>
      </c>
      <c r="J982" t="s">
        <v>39</v>
      </c>
      <c r="K982" s="2">
        <v>4</v>
      </c>
      <c r="L982" t="s">
        <v>26</v>
      </c>
      <c r="M982" t="s">
        <v>34</v>
      </c>
      <c r="N982" t="s">
        <v>40</v>
      </c>
      <c r="O982" t="s">
        <v>26</v>
      </c>
      <c r="P982" t="s">
        <v>26</v>
      </c>
      <c r="Q982" s="3">
        <v>39</v>
      </c>
      <c r="R982" t="s">
        <v>46</v>
      </c>
      <c r="S982" t="s">
        <v>97</v>
      </c>
    </row>
    <row r="983" spans="1:19" x14ac:dyDescent="0.25">
      <c r="A983">
        <v>982</v>
      </c>
      <c r="B983">
        <v>27</v>
      </c>
      <c r="C983" t="s">
        <v>19</v>
      </c>
      <c r="D983" t="s">
        <v>133</v>
      </c>
      <c r="E983" t="s">
        <v>69</v>
      </c>
      <c r="F983" s="1">
        <v>42</v>
      </c>
      <c r="G983" t="s">
        <v>128</v>
      </c>
      <c r="H983" t="s">
        <v>45</v>
      </c>
      <c r="I983" t="s">
        <v>67</v>
      </c>
      <c r="J983" t="s">
        <v>39</v>
      </c>
      <c r="K983" s="2">
        <v>3.5</v>
      </c>
      <c r="L983" t="s">
        <v>26</v>
      </c>
      <c r="M983" t="s">
        <v>59</v>
      </c>
      <c r="N983" t="s">
        <v>47</v>
      </c>
      <c r="O983" t="s">
        <v>26</v>
      </c>
      <c r="P983" t="s">
        <v>26</v>
      </c>
      <c r="Q983" s="3">
        <v>47</v>
      </c>
      <c r="R983" t="s">
        <v>27</v>
      </c>
      <c r="S983" t="s">
        <v>60</v>
      </c>
    </row>
    <row r="984" spans="1:19" x14ac:dyDescent="0.25">
      <c r="A984">
        <v>983</v>
      </c>
      <c r="B984">
        <v>35</v>
      </c>
      <c r="C984" t="s">
        <v>19</v>
      </c>
      <c r="D984" t="s">
        <v>64</v>
      </c>
      <c r="E984" t="s">
        <v>65</v>
      </c>
      <c r="F984" s="1">
        <v>62</v>
      </c>
      <c r="G984" t="s">
        <v>105</v>
      </c>
      <c r="H984" t="s">
        <v>38</v>
      </c>
      <c r="I984" t="s">
        <v>108</v>
      </c>
      <c r="J984" t="s">
        <v>54</v>
      </c>
      <c r="K984" s="2">
        <v>3.2</v>
      </c>
      <c r="L984" t="s">
        <v>26</v>
      </c>
      <c r="M984" t="s">
        <v>29</v>
      </c>
      <c r="N984" t="s">
        <v>55</v>
      </c>
      <c r="O984" t="s">
        <v>26</v>
      </c>
      <c r="P984" t="s">
        <v>26</v>
      </c>
      <c r="Q984" s="3">
        <v>37</v>
      </c>
      <c r="R984" t="s">
        <v>46</v>
      </c>
      <c r="S984" t="s">
        <v>88</v>
      </c>
    </row>
    <row r="985" spans="1:19" x14ac:dyDescent="0.25">
      <c r="A985">
        <v>984</v>
      </c>
      <c r="B985">
        <v>24</v>
      </c>
      <c r="C985" t="s">
        <v>19</v>
      </c>
      <c r="D985" t="s">
        <v>124</v>
      </c>
      <c r="E985" t="s">
        <v>69</v>
      </c>
      <c r="F985" s="1">
        <v>45</v>
      </c>
      <c r="G985" t="s">
        <v>130</v>
      </c>
      <c r="H985" t="s">
        <v>23</v>
      </c>
      <c r="I985" t="s">
        <v>126</v>
      </c>
      <c r="J985" t="s">
        <v>25</v>
      </c>
      <c r="K985" s="2">
        <v>3.5</v>
      </c>
      <c r="L985" t="s">
        <v>26</v>
      </c>
      <c r="M985" t="s">
        <v>27</v>
      </c>
      <c r="N985" t="s">
        <v>40</v>
      </c>
      <c r="O985" t="s">
        <v>26</v>
      </c>
      <c r="P985" t="s">
        <v>26</v>
      </c>
      <c r="Q985" s="3">
        <v>40</v>
      </c>
      <c r="R985" t="s">
        <v>29</v>
      </c>
      <c r="S985" t="s">
        <v>77</v>
      </c>
    </row>
    <row r="986" spans="1:19" x14ac:dyDescent="0.25">
      <c r="A986">
        <v>985</v>
      </c>
      <c r="B986">
        <v>26</v>
      </c>
      <c r="C986" t="s">
        <v>19</v>
      </c>
      <c r="D986" t="s">
        <v>73</v>
      </c>
      <c r="E986" t="s">
        <v>43</v>
      </c>
      <c r="F986" s="1">
        <v>78</v>
      </c>
      <c r="G986" t="s">
        <v>140</v>
      </c>
      <c r="H986" t="s">
        <v>45</v>
      </c>
      <c r="I986" t="s">
        <v>96</v>
      </c>
      <c r="J986" t="s">
        <v>54</v>
      </c>
      <c r="K986" s="2">
        <v>3.4</v>
      </c>
      <c r="L986" t="s">
        <v>26</v>
      </c>
      <c r="M986" t="s">
        <v>35</v>
      </c>
      <c r="N986" t="s">
        <v>40</v>
      </c>
      <c r="O986" t="s">
        <v>26</v>
      </c>
      <c r="P986" t="s">
        <v>26</v>
      </c>
      <c r="Q986" s="3">
        <v>8</v>
      </c>
      <c r="R986" t="s">
        <v>27</v>
      </c>
      <c r="S986" t="s">
        <v>77</v>
      </c>
    </row>
    <row r="987" spans="1:19" x14ac:dyDescent="0.25">
      <c r="A987">
        <v>986</v>
      </c>
      <c r="B987">
        <v>32</v>
      </c>
      <c r="C987" t="s">
        <v>19</v>
      </c>
      <c r="D987" t="s">
        <v>68</v>
      </c>
      <c r="E987" t="s">
        <v>69</v>
      </c>
      <c r="F987" s="1">
        <v>80</v>
      </c>
      <c r="G987" t="s">
        <v>66</v>
      </c>
      <c r="H987" t="s">
        <v>45</v>
      </c>
      <c r="I987" t="s">
        <v>24</v>
      </c>
      <c r="J987" t="s">
        <v>58</v>
      </c>
      <c r="K987" s="2">
        <v>5</v>
      </c>
      <c r="L987" t="s">
        <v>26</v>
      </c>
      <c r="M987" t="s">
        <v>27</v>
      </c>
      <c r="N987" t="s">
        <v>28</v>
      </c>
      <c r="O987" t="s">
        <v>26</v>
      </c>
      <c r="P987" t="s">
        <v>26</v>
      </c>
      <c r="Q987" s="3">
        <v>12</v>
      </c>
      <c r="R987" t="s">
        <v>34</v>
      </c>
      <c r="S987" t="s">
        <v>50</v>
      </c>
    </row>
    <row r="988" spans="1:19" x14ac:dyDescent="0.25">
      <c r="A988">
        <v>987</v>
      </c>
      <c r="B988">
        <v>54</v>
      </c>
      <c r="C988" t="s">
        <v>19</v>
      </c>
      <c r="D988" t="s">
        <v>119</v>
      </c>
      <c r="E988" t="s">
        <v>69</v>
      </c>
      <c r="F988" s="1">
        <v>96</v>
      </c>
      <c r="G988" t="s">
        <v>139</v>
      </c>
      <c r="H988" t="s">
        <v>38</v>
      </c>
      <c r="I988" t="s">
        <v>100</v>
      </c>
      <c r="J988" t="s">
        <v>39</v>
      </c>
      <c r="K988" s="2">
        <v>4.5</v>
      </c>
      <c r="L988" t="s">
        <v>26</v>
      </c>
      <c r="M988" t="s">
        <v>27</v>
      </c>
      <c r="N988" t="s">
        <v>76</v>
      </c>
      <c r="O988" t="s">
        <v>26</v>
      </c>
      <c r="P988" t="s">
        <v>26</v>
      </c>
      <c r="Q988" s="3">
        <v>36</v>
      </c>
      <c r="R988" t="s">
        <v>34</v>
      </c>
      <c r="S988" t="s">
        <v>88</v>
      </c>
    </row>
    <row r="989" spans="1:19" x14ac:dyDescent="0.25">
      <c r="A989">
        <v>988</v>
      </c>
      <c r="B989">
        <v>62</v>
      </c>
      <c r="C989" t="s">
        <v>19</v>
      </c>
      <c r="D989" t="s">
        <v>68</v>
      </c>
      <c r="E989" t="s">
        <v>69</v>
      </c>
      <c r="F989" s="1">
        <v>47</v>
      </c>
      <c r="G989" t="s">
        <v>66</v>
      </c>
      <c r="H989" t="s">
        <v>45</v>
      </c>
      <c r="I989" t="s">
        <v>63</v>
      </c>
      <c r="J989" t="s">
        <v>54</v>
      </c>
      <c r="K989" s="2">
        <v>2.8</v>
      </c>
      <c r="L989" t="s">
        <v>26</v>
      </c>
      <c r="M989" t="s">
        <v>46</v>
      </c>
      <c r="N989" t="s">
        <v>28</v>
      </c>
      <c r="O989" t="s">
        <v>26</v>
      </c>
      <c r="P989" t="s">
        <v>26</v>
      </c>
      <c r="Q989" s="3">
        <v>48</v>
      </c>
      <c r="R989" t="s">
        <v>46</v>
      </c>
      <c r="S989" t="s">
        <v>41</v>
      </c>
    </row>
    <row r="990" spans="1:19" x14ac:dyDescent="0.25">
      <c r="A990">
        <v>989</v>
      </c>
      <c r="B990">
        <v>50</v>
      </c>
      <c r="C990" t="s">
        <v>19</v>
      </c>
      <c r="D990" t="s">
        <v>95</v>
      </c>
      <c r="E990" t="s">
        <v>21</v>
      </c>
      <c r="F990" s="1">
        <v>84</v>
      </c>
      <c r="G990" t="s">
        <v>123</v>
      </c>
      <c r="H990" t="s">
        <v>45</v>
      </c>
      <c r="I990" t="s">
        <v>121</v>
      </c>
      <c r="J990" t="s">
        <v>25</v>
      </c>
      <c r="K990" s="2">
        <v>4.9000000000000004</v>
      </c>
      <c r="L990" t="s">
        <v>26</v>
      </c>
      <c r="M990" t="s">
        <v>29</v>
      </c>
      <c r="N990" t="s">
        <v>72</v>
      </c>
      <c r="O990" t="s">
        <v>26</v>
      </c>
      <c r="P990" t="s">
        <v>26</v>
      </c>
      <c r="Q990" s="3">
        <v>47</v>
      </c>
      <c r="R990" t="s">
        <v>46</v>
      </c>
      <c r="S990" t="s">
        <v>30</v>
      </c>
    </row>
    <row r="991" spans="1:19" x14ac:dyDescent="0.25">
      <c r="A991">
        <v>990</v>
      </c>
      <c r="B991">
        <v>70</v>
      </c>
      <c r="C991" t="s">
        <v>19</v>
      </c>
      <c r="D991" t="s">
        <v>73</v>
      </c>
      <c r="E991" t="s">
        <v>43</v>
      </c>
      <c r="F991" s="1">
        <v>31</v>
      </c>
      <c r="G991" t="s">
        <v>105</v>
      </c>
      <c r="H991" t="s">
        <v>45</v>
      </c>
      <c r="I991" t="s">
        <v>118</v>
      </c>
      <c r="J991" t="s">
        <v>39</v>
      </c>
      <c r="K991" s="2">
        <v>3.1</v>
      </c>
      <c r="L991" t="s">
        <v>26</v>
      </c>
      <c r="M991" t="s">
        <v>34</v>
      </c>
      <c r="N991" t="s">
        <v>76</v>
      </c>
      <c r="O991" t="s">
        <v>26</v>
      </c>
      <c r="P991" t="s">
        <v>26</v>
      </c>
      <c r="Q991" s="3">
        <v>2</v>
      </c>
      <c r="R991" t="s">
        <v>34</v>
      </c>
      <c r="S991" t="s">
        <v>88</v>
      </c>
    </row>
    <row r="992" spans="1:19" x14ac:dyDescent="0.25">
      <c r="A992">
        <v>991</v>
      </c>
      <c r="B992">
        <v>48</v>
      </c>
      <c r="C992" t="s">
        <v>19</v>
      </c>
      <c r="D992" t="s">
        <v>89</v>
      </c>
      <c r="E992" t="s">
        <v>69</v>
      </c>
      <c r="F992" s="1">
        <v>63</v>
      </c>
      <c r="G992" t="s">
        <v>149</v>
      </c>
      <c r="H992" t="s">
        <v>38</v>
      </c>
      <c r="I992" t="s">
        <v>134</v>
      </c>
      <c r="J992" t="s">
        <v>39</v>
      </c>
      <c r="K992" s="2">
        <v>4.8</v>
      </c>
      <c r="L992" t="s">
        <v>26</v>
      </c>
      <c r="M992" t="s">
        <v>46</v>
      </c>
      <c r="N992" t="s">
        <v>76</v>
      </c>
      <c r="O992" t="s">
        <v>26</v>
      </c>
      <c r="P992" t="s">
        <v>26</v>
      </c>
      <c r="Q992" s="3">
        <v>24</v>
      </c>
      <c r="R992" t="s">
        <v>35</v>
      </c>
      <c r="S992" t="s">
        <v>41</v>
      </c>
    </row>
    <row r="993" spans="1:19" x14ac:dyDescent="0.25">
      <c r="A993">
        <v>992</v>
      </c>
      <c r="B993">
        <v>20</v>
      </c>
      <c r="C993" t="s">
        <v>19</v>
      </c>
      <c r="D993" t="s">
        <v>61</v>
      </c>
      <c r="E993" t="s">
        <v>21</v>
      </c>
      <c r="F993" s="1">
        <v>97</v>
      </c>
      <c r="G993" t="s">
        <v>150</v>
      </c>
      <c r="H993" t="s">
        <v>92</v>
      </c>
      <c r="I993" t="s">
        <v>53</v>
      </c>
      <c r="J993" t="s">
        <v>39</v>
      </c>
      <c r="K993" s="2">
        <v>2.7</v>
      </c>
      <c r="L993" t="s">
        <v>26</v>
      </c>
      <c r="M993" t="s">
        <v>59</v>
      </c>
      <c r="N993" t="s">
        <v>55</v>
      </c>
      <c r="O993" t="s">
        <v>26</v>
      </c>
      <c r="P993" t="s">
        <v>26</v>
      </c>
      <c r="Q993" s="3">
        <v>40</v>
      </c>
      <c r="R993" t="s">
        <v>34</v>
      </c>
      <c r="S993" t="s">
        <v>77</v>
      </c>
    </row>
    <row r="994" spans="1:19" x14ac:dyDescent="0.25">
      <c r="A994">
        <v>993</v>
      </c>
      <c r="B994">
        <v>46</v>
      </c>
      <c r="C994" t="s">
        <v>19</v>
      </c>
      <c r="D994" t="s">
        <v>102</v>
      </c>
      <c r="E994" t="s">
        <v>65</v>
      </c>
      <c r="F994" s="1">
        <v>99</v>
      </c>
      <c r="G994" t="s">
        <v>62</v>
      </c>
      <c r="H994" t="s">
        <v>45</v>
      </c>
      <c r="I994" t="s">
        <v>24</v>
      </c>
      <c r="J994" t="s">
        <v>25</v>
      </c>
      <c r="K994" s="2">
        <v>4.5999999999999996</v>
      </c>
      <c r="L994" t="s">
        <v>26</v>
      </c>
      <c r="M994" t="s">
        <v>27</v>
      </c>
      <c r="N994" t="s">
        <v>28</v>
      </c>
      <c r="O994" t="s">
        <v>26</v>
      </c>
      <c r="P994" t="s">
        <v>26</v>
      </c>
      <c r="Q994" s="3">
        <v>50</v>
      </c>
      <c r="R994" t="s">
        <v>59</v>
      </c>
      <c r="S994" t="s">
        <v>41</v>
      </c>
    </row>
    <row r="995" spans="1:19" x14ac:dyDescent="0.25">
      <c r="A995">
        <v>994</v>
      </c>
      <c r="B995">
        <v>51</v>
      </c>
      <c r="C995" t="s">
        <v>19</v>
      </c>
      <c r="D995" t="s">
        <v>42</v>
      </c>
      <c r="E995" t="s">
        <v>43</v>
      </c>
      <c r="F995" s="1">
        <v>90</v>
      </c>
      <c r="G995" t="s">
        <v>146</v>
      </c>
      <c r="H995" t="s">
        <v>45</v>
      </c>
      <c r="I995" t="s">
        <v>100</v>
      </c>
      <c r="J995" t="s">
        <v>25</v>
      </c>
      <c r="K995" s="2">
        <v>4.4000000000000004</v>
      </c>
      <c r="L995" t="s">
        <v>26</v>
      </c>
      <c r="M995" t="s">
        <v>35</v>
      </c>
      <c r="N995" t="s">
        <v>76</v>
      </c>
      <c r="O995" t="s">
        <v>26</v>
      </c>
      <c r="P995" t="s">
        <v>26</v>
      </c>
      <c r="Q995" s="3">
        <v>25</v>
      </c>
      <c r="R995" t="s">
        <v>35</v>
      </c>
      <c r="S995" t="s">
        <v>41</v>
      </c>
    </row>
    <row r="996" spans="1:19" x14ac:dyDescent="0.25">
      <c r="A996">
        <v>995</v>
      </c>
      <c r="B996">
        <v>53</v>
      </c>
      <c r="C996" t="s">
        <v>19</v>
      </c>
      <c r="D996" t="s">
        <v>73</v>
      </c>
      <c r="E996" t="s">
        <v>43</v>
      </c>
      <c r="F996" s="1">
        <v>68</v>
      </c>
      <c r="G996" t="s">
        <v>85</v>
      </c>
      <c r="H996" t="s">
        <v>23</v>
      </c>
      <c r="I996" t="s">
        <v>84</v>
      </c>
      <c r="J996" t="s">
        <v>58</v>
      </c>
      <c r="K996" s="2">
        <v>3.2</v>
      </c>
      <c r="L996" t="s">
        <v>26</v>
      </c>
      <c r="M996" t="s">
        <v>46</v>
      </c>
      <c r="N996" t="s">
        <v>28</v>
      </c>
      <c r="O996" t="s">
        <v>26</v>
      </c>
      <c r="P996" t="s">
        <v>26</v>
      </c>
      <c r="Q996" s="3">
        <v>20</v>
      </c>
      <c r="R996" t="s">
        <v>59</v>
      </c>
      <c r="S996" t="s">
        <v>88</v>
      </c>
    </row>
    <row r="997" spans="1:19" x14ac:dyDescent="0.25">
      <c r="A997">
        <v>996</v>
      </c>
      <c r="B997">
        <v>44</v>
      </c>
      <c r="C997" t="s">
        <v>19</v>
      </c>
      <c r="D997" t="s">
        <v>106</v>
      </c>
      <c r="E997" t="s">
        <v>69</v>
      </c>
      <c r="F997" s="1">
        <v>80</v>
      </c>
      <c r="G997" t="s">
        <v>135</v>
      </c>
      <c r="H997" t="s">
        <v>45</v>
      </c>
      <c r="I997" t="s">
        <v>136</v>
      </c>
      <c r="J997" t="s">
        <v>39</v>
      </c>
      <c r="K997" s="2">
        <v>3</v>
      </c>
      <c r="L997" t="s">
        <v>26</v>
      </c>
      <c r="M997" t="s">
        <v>29</v>
      </c>
      <c r="N997" t="s">
        <v>72</v>
      </c>
      <c r="O997" t="s">
        <v>26</v>
      </c>
      <c r="P997" t="s">
        <v>26</v>
      </c>
      <c r="Q997" s="3">
        <v>10</v>
      </c>
      <c r="R997" t="s">
        <v>29</v>
      </c>
      <c r="S997" t="s">
        <v>41</v>
      </c>
    </row>
    <row r="998" spans="1:19" x14ac:dyDescent="0.25">
      <c r="A998">
        <v>997</v>
      </c>
      <c r="B998">
        <v>29</v>
      </c>
      <c r="C998" t="s">
        <v>19</v>
      </c>
      <c r="D998" t="s">
        <v>42</v>
      </c>
      <c r="E998" t="s">
        <v>43</v>
      </c>
      <c r="F998" s="1">
        <v>91</v>
      </c>
      <c r="G998" t="s">
        <v>80</v>
      </c>
      <c r="H998" t="s">
        <v>23</v>
      </c>
      <c r="I998" t="s">
        <v>33</v>
      </c>
      <c r="J998" t="s">
        <v>54</v>
      </c>
      <c r="K998" s="2">
        <v>4.9000000000000004</v>
      </c>
      <c r="L998" t="s">
        <v>26</v>
      </c>
      <c r="M998" t="s">
        <v>34</v>
      </c>
      <c r="N998" t="s">
        <v>55</v>
      </c>
      <c r="O998" t="s">
        <v>26</v>
      </c>
      <c r="P998" t="s">
        <v>26</v>
      </c>
      <c r="Q998" s="3">
        <v>32</v>
      </c>
      <c r="R998" t="s">
        <v>34</v>
      </c>
      <c r="S998" t="s">
        <v>60</v>
      </c>
    </row>
    <row r="999" spans="1:19" x14ac:dyDescent="0.25">
      <c r="A999">
        <v>998</v>
      </c>
      <c r="B999">
        <v>64</v>
      </c>
      <c r="C999" t="s">
        <v>19</v>
      </c>
      <c r="D999" t="s">
        <v>95</v>
      </c>
      <c r="E999" t="s">
        <v>21</v>
      </c>
      <c r="F999" s="1">
        <v>30</v>
      </c>
      <c r="G999" t="s">
        <v>22</v>
      </c>
      <c r="H999" t="s">
        <v>45</v>
      </c>
      <c r="I999" t="s">
        <v>109</v>
      </c>
      <c r="J999" t="s">
        <v>39</v>
      </c>
      <c r="K999" s="2">
        <v>3.6</v>
      </c>
      <c r="L999" t="s">
        <v>26</v>
      </c>
      <c r="M999" t="s">
        <v>59</v>
      </c>
      <c r="N999" t="s">
        <v>28</v>
      </c>
      <c r="O999" t="s">
        <v>26</v>
      </c>
      <c r="P999" t="s">
        <v>26</v>
      </c>
      <c r="Q999" s="3">
        <v>31</v>
      </c>
      <c r="R999" t="s">
        <v>35</v>
      </c>
      <c r="S999" t="s">
        <v>30</v>
      </c>
    </row>
    <row r="1000" spans="1:19" x14ac:dyDescent="0.25">
      <c r="A1000">
        <v>999</v>
      </c>
      <c r="B1000">
        <v>51</v>
      </c>
      <c r="C1000" t="s">
        <v>19</v>
      </c>
      <c r="D1000" t="s">
        <v>73</v>
      </c>
      <c r="E1000" t="s">
        <v>43</v>
      </c>
      <c r="F1000" s="1">
        <v>90</v>
      </c>
      <c r="G1000" t="s">
        <v>139</v>
      </c>
      <c r="H1000" t="s">
        <v>45</v>
      </c>
      <c r="I1000" t="s">
        <v>53</v>
      </c>
      <c r="J1000" t="s">
        <v>39</v>
      </c>
      <c r="K1000" s="2">
        <v>3.8</v>
      </c>
      <c r="L1000" t="s">
        <v>26</v>
      </c>
      <c r="M1000" t="s">
        <v>29</v>
      </c>
      <c r="N1000" t="s">
        <v>47</v>
      </c>
      <c r="O1000" t="s">
        <v>26</v>
      </c>
      <c r="P1000" t="s">
        <v>26</v>
      </c>
      <c r="Q1000" s="3">
        <v>48</v>
      </c>
      <c r="R1000" t="s">
        <v>34</v>
      </c>
      <c r="S1000" t="s">
        <v>77</v>
      </c>
    </row>
    <row r="1001" spans="1:19" x14ac:dyDescent="0.25">
      <c r="A1001">
        <v>1000</v>
      </c>
      <c r="B1001">
        <v>50</v>
      </c>
      <c r="C1001" t="s">
        <v>19</v>
      </c>
      <c r="D1001" t="s">
        <v>125</v>
      </c>
      <c r="E1001" t="s">
        <v>21</v>
      </c>
      <c r="F1001" s="1">
        <v>28</v>
      </c>
      <c r="G1001" t="s">
        <v>130</v>
      </c>
      <c r="H1001" t="s">
        <v>23</v>
      </c>
      <c r="I1001" t="s">
        <v>110</v>
      </c>
      <c r="J1001" t="s">
        <v>39</v>
      </c>
      <c r="K1001" s="2">
        <v>2.9</v>
      </c>
      <c r="L1001" t="s">
        <v>26</v>
      </c>
      <c r="M1001" t="s">
        <v>29</v>
      </c>
      <c r="N1001" t="s">
        <v>55</v>
      </c>
      <c r="O1001" t="s">
        <v>26</v>
      </c>
      <c r="P1001" t="s">
        <v>26</v>
      </c>
      <c r="Q1001" s="3">
        <v>23</v>
      </c>
      <c r="R1001" t="s">
        <v>59</v>
      </c>
      <c r="S1001" t="s">
        <v>88</v>
      </c>
    </row>
    <row r="1002" spans="1:19" x14ac:dyDescent="0.25">
      <c r="A1002">
        <v>1001</v>
      </c>
      <c r="B1002">
        <v>43</v>
      </c>
      <c r="C1002" t="s">
        <v>19</v>
      </c>
      <c r="D1002" t="s">
        <v>125</v>
      </c>
      <c r="E1002" t="s">
        <v>21</v>
      </c>
      <c r="F1002" s="1">
        <v>46</v>
      </c>
      <c r="G1002" t="s">
        <v>142</v>
      </c>
      <c r="H1002" t="s">
        <v>45</v>
      </c>
      <c r="I1002" t="s">
        <v>108</v>
      </c>
      <c r="J1002" t="s">
        <v>25</v>
      </c>
      <c r="K1002" s="2">
        <v>3.9</v>
      </c>
      <c r="L1002" t="s">
        <v>26</v>
      </c>
      <c r="M1002" t="s">
        <v>27</v>
      </c>
      <c r="N1002" t="s">
        <v>28</v>
      </c>
      <c r="O1002" t="s">
        <v>26</v>
      </c>
      <c r="P1002" t="s">
        <v>26</v>
      </c>
      <c r="Q1002" s="3">
        <v>1</v>
      </c>
      <c r="R1002" t="s">
        <v>34</v>
      </c>
      <c r="S1002" t="s">
        <v>77</v>
      </c>
    </row>
    <row r="1003" spans="1:19" x14ac:dyDescent="0.25">
      <c r="A1003">
        <v>1002</v>
      </c>
      <c r="B1003">
        <v>61</v>
      </c>
      <c r="C1003" t="s">
        <v>19</v>
      </c>
      <c r="D1003" t="s">
        <v>82</v>
      </c>
      <c r="E1003" t="s">
        <v>21</v>
      </c>
      <c r="F1003" s="1">
        <v>60</v>
      </c>
      <c r="G1003" t="s">
        <v>149</v>
      </c>
      <c r="H1003" t="s">
        <v>45</v>
      </c>
      <c r="I1003" t="s">
        <v>121</v>
      </c>
      <c r="J1003" t="s">
        <v>58</v>
      </c>
      <c r="K1003" s="2">
        <v>3.6</v>
      </c>
      <c r="L1003" t="s">
        <v>26</v>
      </c>
      <c r="M1003" t="s">
        <v>27</v>
      </c>
      <c r="N1003" t="s">
        <v>55</v>
      </c>
      <c r="O1003" t="s">
        <v>26</v>
      </c>
      <c r="P1003" t="s">
        <v>26</v>
      </c>
      <c r="Q1003" s="3">
        <v>4</v>
      </c>
      <c r="R1003" t="s">
        <v>59</v>
      </c>
      <c r="S1003" t="s">
        <v>30</v>
      </c>
    </row>
    <row r="1004" spans="1:19" x14ac:dyDescent="0.25">
      <c r="A1004">
        <v>1003</v>
      </c>
      <c r="B1004">
        <v>55</v>
      </c>
      <c r="C1004" t="s">
        <v>19</v>
      </c>
      <c r="D1004" t="s">
        <v>73</v>
      </c>
      <c r="E1004" t="s">
        <v>43</v>
      </c>
      <c r="F1004" s="1">
        <v>59</v>
      </c>
      <c r="G1004" t="s">
        <v>114</v>
      </c>
      <c r="H1004" t="s">
        <v>45</v>
      </c>
      <c r="I1004" t="s">
        <v>53</v>
      </c>
      <c r="J1004" t="s">
        <v>39</v>
      </c>
      <c r="K1004" s="2">
        <v>3.5</v>
      </c>
      <c r="L1004" t="s">
        <v>26</v>
      </c>
      <c r="M1004" t="s">
        <v>27</v>
      </c>
      <c r="N1004" t="s">
        <v>76</v>
      </c>
      <c r="O1004" t="s">
        <v>26</v>
      </c>
      <c r="P1004" t="s">
        <v>26</v>
      </c>
      <c r="Q1004" s="3">
        <v>3</v>
      </c>
      <c r="R1004" t="s">
        <v>34</v>
      </c>
      <c r="S1004" t="s">
        <v>77</v>
      </c>
    </row>
    <row r="1005" spans="1:19" x14ac:dyDescent="0.25">
      <c r="A1005">
        <v>1004</v>
      </c>
      <c r="B1005">
        <v>56</v>
      </c>
      <c r="C1005" t="s">
        <v>19</v>
      </c>
      <c r="D1005" t="s">
        <v>124</v>
      </c>
      <c r="E1005" t="s">
        <v>69</v>
      </c>
      <c r="F1005" s="1">
        <v>68</v>
      </c>
      <c r="G1005" t="s">
        <v>123</v>
      </c>
      <c r="H1005" t="s">
        <v>45</v>
      </c>
      <c r="I1005" t="s">
        <v>96</v>
      </c>
      <c r="J1005" t="s">
        <v>58</v>
      </c>
      <c r="K1005" s="2">
        <v>4</v>
      </c>
      <c r="L1005" t="s">
        <v>26</v>
      </c>
      <c r="M1005" t="s">
        <v>35</v>
      </c>
      <c r="N1005" t="s">
        <v>76</v>
      </c>
      <c r="O1005" t="s">
        <v>26</v>
      </c>
      <c r="P1005" t="s">
        <v>26</v>
      </c>
      <c r="Q1005" s="3">
        <v>3</v>
      </c>
      <c r="R1005" t="s">
        <v>35</v>
      </c>
      <c r="S1005" t="s">
        <v>77</v>
      </c>
    </row>
    <row r="1006" spans="1:19" x14ac:dyDescent="0.25">
      <c r="A1006">
        <v>1005</v>
      </c>
      <c r="B1006">
        <v>33</v>
      </c>
      <c r="C1006" t="s">
        <v>19</v>
      </c>
      <c r="D1006" t="s">
        <v>132</v>
      </c>
      <c r="E1006" t="s">
        <v>69</v>
      </c>
      <c r="F1006" s="1">
        <v>79</v>
      </c>
      <c r="G1006" t="s">
        <v>122</v>
      </c>
      <c r="H1006" t="s">
        <v>45</v>
      </c>
      <c r="I1006" t="s">
        <v>94</v>
      </c>
      <c r="J1006" t="s">
        <v>54</v>
      </c>
      <c r="K1006" s="2">
        <v>4.8</v>
      </c>
      <c r="L1006" t="s">
        <v>26</v>
      </c>
      <c r="M1006" t="s">
        <v>35</v>
      </c>
      <c r="N1006" t="s">
        <v>72</v>
      </c>
      <c r="O1006" t="s">
        <v>26</v>
      </c>
      <c r="P1006" t="s">
        <v>26</v>
      </c>
      <c r="Q1006" s="3">
        <v>44</v>
      </c>
      <c r="R1006" t="s">
        <v>35</v>
      </c>
      <c r="S1006" t="s">
        <v>50</v>
      </c>
    </row>
    <row r="1007" spans="1:19" x14ac:dyDescent="0.25">
      <c r="A1007">
        <v>1006</v>
      </c>
      <c r="B1007">
        <v>43</v>
      </c>
      <c r="C1007" t="s">
        <v>19</v>
      </c>
      <c r="D1007" t="s">
        <v>132</v>
      </c>
      <c r="E1007" t="s">
        <v>69</v>
      </c>
      <c r="F1007" s="1">
        <v>94</v>
      </c>
      <c r="G1007" t="s">
        <v>85</v>
      </c>
      <c r="H1007" t="s">
        <v>45</v>
      </c>
      <c r="I1007" t="s">
        <v>81</v>
      </c>
      <c r="J1007" t="s">
        <v>25</v>
      </c>
      <c r="K1007" s="2">
        <v>3.9</v>
      </c>
      <c r="L1007" t="s">
        <v>26</v>
      </c>
      <c r="M1007" t="s">
        <v>27</v>
      </c>
      <c r="N1007" t="s">
        <v>76</v>
      </c>
      <c r="O1007" t="s">
        <v>26</v>
      </c>
      <c r="P1007" t="s">
        <v>26</v>
      </c>
      <c r="Q1007" s="3">
        <v>5</v>
      </c>
      <c r="R1007" t="s">
        <v>59</v>
      </c>
      <c r="S1007" t="s">
        <v>77</v>
      </c>
    </row>
    <row r="1008" spans="1:19" x14ac:dyDescent="0.25">
      <c r="A1008">
        <v>1007</v>
      </c>
      <c r="B1008">
        <v>21</v>
      </c>
      <c r="C1008" t="s">
        <v>19</v>
      </c>
      <c r="D1008" t="s">
        <v>95</v>
      </c>
      <c r="E1008" t="s">
        <v>21</v>
      </c>
      <c r="F1008" s="1">
        <v>83</v>
      </c>
      <c r="G1008" t="s">
        <v>151</v>
      </c>
      <c r="H1008" t="s">
        <v>38</v>
      </c>
      <c r="I1008" t="s">
        <v>93</v>
      </c>
      <c r="J1008" t="s">
        <v>54</v>
      </c>
      <c r="K1008" s="2">
        <v>4.5</v>
      </c>
      <c r="L1008" t="s">
        <v>26</v>
      </c>
      <c r="M1008" t="s">
        <v>27</v>
      </c>
      <c r="N1008" t="s">
        <v>47</v>
      </c>
      <c r="O1008" t="s">
        <v>26</v>
      </c>
      <c r="P1008" t="s">
        <v>26</v>
      </c>
      <c r="Q1008" s="3">
        <v>50</v>
      </c>
      <c r="R1008" t="s">
        <v>29</v>
      </c>
      <c r="S1008" t="s">
        <v>60</v>
      </c>
    </row>
    <row r="1009" spans="1:19" x14ac:dyDescent="0.25">
      <c r="A1009">
        <v>1008</v>
      </c>
      <c r="B1009">
        <v>58</v>
      </c>
      <c r="C1009" t="s">
        <v>19</v>
      </c>
      <c r="D1009" t="s">
        <v>143</v>
      </c>
      <c r="E1009" t="s">
        <v>69</v>
      </c>
      <c r="F1009" s="1">
        <v>62</v>
      </c>
      <c r="G1009" t="s">
        <v>142</v>
      </c>
      <c r="H1009" t="s">
        <v>92</v>
      </c>
      <c r="I1009" t="s">
        <v>49</v>
      </c>
      <c r="J1009" t="s">
        <v>39</v>
      </c>
      <c r="K1009" s="2">
        <v>4.8</v>
      </c>
      <c r="L1009" t="s">
        <v>26</v>
      </c>
      <c r="M1009" t="s">
        <v>29</v>
      </c>
      <c r="N1009" t="s">
        <v>55</v>
      </c>
      <c r="O1009" t="s">
        <v>26</v>
      </c>
      <c r="P1009" t="s">
        <v>26</v>
      </c>
      <c r="Q1009" s="3">
        <v>2</v>
      </c>
      <c r="R1009" t="s">
        <v>27</v>
      </c>
      <c r="S1009" t="s">
        <v>50</v>
      </c>
    </row>
    <row r="1010" spans="1:19" x14ac:dyDescent="0.25">
      <c r="A1010">
        <v>1009</v>
      </c>
      <c r="B1010">
        <v>41</v>
      </c>
      <c r="C1010" t="s">
        <v>19</v>
      </c>
      <c r="D1010" t="s">
        <v>119</v>
      </c>
      <c r="E1010" t="s">
        <v>69</v>
      </c>
      <c r="F1010" s="1">
        <v>85</v>
      </c>
      <c r="G1010" t="s">
        <v>130</v>
      </c>
      <c r="H1010" t="s">
        <v>45</v>
      </c>
      <c r="I1010" t="s">
        <v>71</v>
      </c>
      <c r="J1010" t="s">
        <v>39</v>
      </c>
      <c r="K1010" s="2">
        <v>2.6</v>
      </c>
      <c r="L1010" t="s">
        <v>26</v>
      </c>
      <c r="M1010" t="s">
        <v>35</v>
      </c>
      <c r="N1010" t="s">
        <v>76</v>
      </c>
      <c r="O1010" t="s">
        <v>26</v>
      </c>
      <c r="P1010" t="s">
        <v>26</v>
      </c>
      <c r="Q1010" s="3">
        <v>29</v>
      </c>
      <c r="R1010" t="s">
        <v>46</v>
      </c>
      <c r="S1010" t="s">
        <v>50</v>
      </c>
    </row>
    <row r="1011" spans="1:19" x14ac:dyDescent="0.25">
      <c r="A1011">
        <v>1010</v>
      </c>
      <c r="B1011">
        <v>39</v>
      </c>
      <c r="C1011" t="s">
        <v>19</v>
      </c>
      <c r="D1011" t="s">
        <v>104</v>
      </c>
      <c r="E1011" t="s">
        <v>21</v>
      </c>
      <c r="F1011" s="1">
        <v>30</v>
      </c>
      <c r="G1011" t="s">
        <v>62</v>
      </c>
      <c r="H1011" t="s">
        <v>45</v>
      </c>
      <c r="I1011" t="s">
        <v>67</v>
      </c>
      <c r="J1011" t="s">
        <v>54</v>
      </c>
      <c r="K1011" s="2">
        <v>3.1</v>
      </c>
      <c r="L1011" t="s">
        <v>26</v>
      </c>
      <c r="M1011" t="s">
        <v>34</v>
      </c>
      <c r="N1011" t="s">
        <v>28</v>
      </c>
      <c r="O1011" t="s">
        <v>26</v>
      </c>
      <c r="P1011" t="s">
        <v>26</v>
      </c>
      <c r="Q1011" s="3">
        <v>11</v>
      </c>
      <c r="R1011" t="s">
        <v>29</v>
      </c>
      <c r="S1011" t="s">
        <v>50</v>
      </c>
    </row>
    <row r="1012" spans="1:19" x14ac:dyDescent="0.25">
      <c r="A1012">
        <v>1011</v>
      </c>
      <c r="B1012">
        <v>54</v>
      </c>
      <c r="C1012" t="s">
        <v>19</v>
      </c>
      <c r="D1012" t="s">
        <v>36</v>
      </c>
      <c r="E1012" t="s">
        <v>21</v>
      </c>
      <c r="F1012" s="1">
        <v>24</v>
      </c>
      <c r="G1012" t="s">
        <v>147</v>
      </c>
      <c r="H1012" t="s">
        <v>92</v>
      </c>
      <c r="I1012" t="s">
        <v>24</v>
      </c>
      <c r="J1012" t="s">
        <v>39</v>
      </c>
      <c r="K1012" s="2">
        <v>4.7</v>
      </c>
      <c r="L1012" t="s">
        <v>26</v>
      </c>
      <c r="M1012" t="s">
        <v>46</v>
      </c>
      <c r="N1012" t="s">
        <v>72</v>
      </c>
      <c r="O1012" t="s">
        <v>26</v>
      </c>
      <c r="P1012" t="s">
        <v>26</v>
      </c>
      <c r="Q1012" s="3">
        <v>37</v>
      </c>
      <c r="R1012" t="s">
        <v>27</v>
      </c>
      <c r="S1012" t="s">
        <v>30</v>
      </c>
    </row>
    <row r="1013" spans="1:19" x14ac:dyDescent="0.25">
      <c r="A1013">
        <v>1012</v>
      </c>
      <c r="B1013">
        <v>43</v>
      </c>
      <c r="C1013" t="s">
        <v>19</v>
      </c>
      <c r="D1013" t="s">
        <v>132</v>
      </c>
      <c r="E1013" t="s">
        <v>69</v>
      </c>
      <c r="F1013" s="1">
        <v>25</v>
      </c>
      <c r="G1013" t="s">
        <v>57</v>
      </c>
      <c r="H1013" t="s">
        <v>23</v>
      </c>
      <c r="I1013" t="s">
        <v>126</v>
      </c>
      <c r="J1013" t="s">
        <v>39</v>
      </c>
      <c r="K1013" s="2">
        <v>2.9</v>
      </c>
      <c r="L1013" t="s">
        <v>26</v>
      </c>
      <c r="M1013" t="s">
        <v>46</v>
      </c>
      <c r="N1013" t="s">
        <v>47</v>
      </c>
      <c r="O1013" t="s">
        <v>26</v>
      </c>
      <c r="P1013" t="s">
        <v>26</v>
      </c>
      <c r="Q1013" s="3">
        <v>32</v>
      </c>
      <c r="R1013" t="s">
        <v>59</v>
      </c>
      <c r="S1013" t="s">
        <v>30</v>
      </c>
    </row>
    <row r="1014" spans="1:19" x14ac:dyDescent="0.25">
      <c r="A1014">
        <v>1013</v>
      </c>
      <c r="B1014">
        <v>28</v>
      </c>
      <c r="C1014" t="s">
        <v>19</v>
      </c>
      <c r="D1014" t="s">
        <v>42</v>
      </c>
      <c r="E1014" t="s">
        <v>43</v>
      </c>
      <c r="F1014" s="1">
        <v>37</v>
      </c>
      <c r="G1014" t="s">
        <v>130</v>
      </c>
      <c r="H1014" t="s">
        <v>23</v>
      </c>
      <c r="I1014" t="s">
        <v>86</v>
      </c>
      <c r="J1014" t="s">
        <v>54</v>
      </c>
      <c r="K1014" s="2">
        <v>3.8</v>
      </c>
      <c r="L1014" t="s">
        <v>26</v>
      </c>
      <c r="M1014" t="s">
        <v>35</v>
      </c>
      <c r="N1014" t="s">
        <v>28</v>
      </c>
      <c r="O1014" t="s">
        <v>26</v>
      </c>
      <c r="P1014" t="s">
        <v>26</v>
      </c>
      <c r="Q1014" s="3">
        <v>27</v>
      </c>
      <c r="R1014" t="s">
        <v>27</v>
      </c>
      <c r="S1014" t="s">
        <v>50</v>
      </c>
    </row>
    <row r="1015" spans="1:19" x14ac:dyDescent="0.25">
      <c r="A1015">
        <v>1014</v>
      </c>
      <c r="B1015">
        <v>59</v>
      </c>
      <c r="C1015" t="s">
        <v>19</v>
      </c>
      <c r="D1015" t="s">
        <v>133</v>
      </c>
      <c r="E1015" t="s">
        <v>69</v>
      </c>
      <c r="F1015" s="1">
        <v>69</v>
      </c>
      <c r="G1015" t="s">
        <v>131</v>
      </c>
      <c r="H1015" t="s">
        <v>92</v>
      </c>
      <c r="I1015" t="s">
        <v>96</v>
      </c>
      <c r="J1015" t="s">
        <v>54</v>
      </c>
      <c r="K1015" s="2">
        <v>3.8</v>
      </c>
      <c r="L1015" t="s">
        <v>26</v>
      </c>
      <c r="M1015" t="s">
        <v>34</v>
      </c>
      <c r="N1015" t="s">
        <v>72</v>
      </c>
      <c r="O1015" t="s">
        <v>26</v>
      </c>
      <c r="P1015" t="s">
        <v>26</v>
      </c>
      <c r="Q1015" s="3">
        <v>31</v>
      </c>
      <c r="R1015" t="s">
        <v>29</v>
      </c>
      <c r="S1015" t="s">
        <v>77</v>
      </c>
    </row>
    <row r="1016" spans="1:19" x14ac:dyDescent="0.25">
      <c r="A1016">
        <v>1015</v>
      </c>
      <c r="B1016">
        <v>28</v>
      </c>
      <c r="C1016" t="s">
        <v>19</v>
      </c>
      <c r="D1016" t="s">
        <v>73</v>
      </c>
      <c r="E1016" t="s">
        <v>43</v>
      </c>
      <c r="F1016" s="1">
        <v>97</v>
      </c>
      <c r="G1016" t="s">
        <v>123</v>
      </c>
      <c r="H1016" t="s">
        <v>45</v>
      </c>
      <c r="I1016" t="s">
        <v>84</v>
      </c>
      <c r="J1016" t="s">
        <v>54</v>
      </c>
      <c r="K1016" s="2">
        <v>3</v>
      </c>
      <c r="L1016" t="s">
        <v>26</v>
      </c>
      <c r="M1016" t="s">
        <v>34</v>
      </c>
      <c r="N1016" t="s">
        <v>55</v>
      </c>
      <c r="O1016" t="s">
        <v>26</v>
      </c>
      <c r="P1016" t="s">
        <v>26</v>
      </c>
      <c r="Q1016" s="3">
        <v>36</v>
      </c>
      <c r="R1016" t="s">
        <v>59</v>
      </c>
      <c r="S1016" t="s">
        <v>30</v>
      </c>
    </row>
    <row r="1017" spans="1:19" x14ac:dyDescent="0.25">
      <c r="A1017">
        <v>1016</v>
      </c>
      <c r="B1017">
        <v>68</v>
      </c>
      <c r="C1017" t="s">
        <v>19</v>
      </c>
      <c r="D1017" t="s">
        <v>143</v>
      </c>
      <c r="E1017" t="s">
        <v>69</v>
      </c>
      <c r="F1017" s="1">
        <v>24</v>
      </c>
      <c r="G1017" t="s">
        <v>98</v>
      </c>
      <c r="H1017" t="s">
        <v>45</v>
      </c>
      <c r="I1017" t="s">
        <v>109</v>
      </c>
      <c r="J1017" t="s">
        <v>54</v>
      </c>
      <c r="K1017" s="2">
        <v>4.0999999999999996</v>
      </c>
      <c r="L1017" t="s">
        <v>26</v>
      </c>
      <c r="M1017" t="s">
        <v>59</v>
      </c>
      <c r="N1017" t="s">
        <v>55</v>
      </c>
      <c r="O1017" t="s">
        <v>26</v>
      </c>
      <c r="P1017" t="s">
        <v>26</v>
      </c>
      <c r="Q1017" s="3">
        <v>34</v>
      </c>
      <c r="R1017" t="s">
        <v>35</v>
      </c>
      <c r="S1017" t="s">
        <v>41</v>
      </c>
    </row>
    <row r="1018" spans="1:19" x14ac:dyDescent="0.25">
      <c r="A1018">
        <v>1017</v>
      </c>
      <c r="B1018">
        <v>20</v>
      </c>
      <c r="C1018" t="s">
        <v>19</v>
      </c>
      <c r="D1018" t="s">
        <v>133</v>
      </c>
      <c r="E1018" t="s">
        <v>69</v>
      </c>
      <c r="F1018" s="1">
        <v>30</v>
      </c>
      <c r="G1018" t="s">
        <v>135</v>
      </c>
      <c r="H1018" t="s">
        <v>92</v>
      </c>
      <c r="I1018" t="s">
        <v>144</v>
      </c>
      <c r="J1018" t="s">
        <v>54</v>
      </c>
      <c r="K1018" s="2">
        <v>3.4</v>
      </c>
      <c r="L1018" t="s">
        <v>26</v>
      </c>
      <c r="M1018" t="s">
        <v>35</v>
      </c>
      <c r="N1018" t="s">
        <v>28</v>
      </c>
      <c r="O1018" t="s">
        <v>26</v>
      </c>
      <c r="P1018" t="s">
        <v>26</v>
      </c>
      <c r="Q1018" s="3">
        <v>15</v>
      </c>
      <c r="R1018" t="s">
        <v>34</v>
      </c>
      <c r="S1018" t="s">
        <v>97</v>
      </c>
    </row>
    <row r="1019" spans="1:19" x14ac:dyDescent="0.25">
      <c r="A1019">
        <v>1018</v>
      </c>
      <c r="B1019">
        <v>21</v>
      </c>
      <c r="C1019" t="s">
        <v>19</v>
      </c>
      <c r="D1019" t="s">
        <v>102</v>
      </c>
      <c r="E1019" t="s">
        <v>65</v>
      </c>
      <c r="F1019" s="1">
        <v>53</v>
      </c>
      <c r="G1019" t="s">
        <v>101</v>
      </c>
      <c r="H1019" t="s">
        <v>23</v>
      </c>
      <c r="I1019" t="s">
        <v>121</v>
      </c>
      <c r="J1019" t="s">
        <v>58</v>
      </c>
      <c r="K1019" s="2">
        <v>2.5</v>
      </c>
      <c r="L1019" t="s">
        <v>26</v>
      </c>
      <c r="M1019" t="s">
        <v>35</v>
      </c>
      <c r="N1019" t="s">
        <v>28</v>
      </c>
      <c r="O1019" t="s">
        <v>26</v>
      </c>
      <c r="P1019" t="s">
        <v>26</v>
      </c>
      <c r="Q1019" s="3">
        <v>14</v>
      </c>
      <c r="R1019" t="s">
        <v>27</v>
      </c>
      <c r="S1019" t="s">
        <v>50</v>
      </c>
    </row>
    <row r="1020" spans="1:19" x14ac:dyDescent="0.25">
      <c r="A1020">
        <v>1019</v>
      </c>
      <c r="B1020">
        <v>50</v>
      </c>
      <c r="C1020" t="s">
        <v>19</v>
      </c>
      <c r="D1020" t="s">
        <v>82</v>
      </c>
      <c r="E1020" t="s">
        <v>21</v>
      </c>
      <c r="F1020" s="1">
        <v>70</v>
      </c>
      <c r="G1020" t="s">
        <v>142</v>
      </c>
      <c r="H1020" t="s">
        <v>92</v>
      </c>
      <c r="I1020" t="s">
        <v>63</v>
      </c>
      <c r="J1020" t="s">
        <v>39</v>
      </c>
      <c r="K1020" s="2">
        <v>4.9000000000000004</v>
      </c>
      <c r="L1020" t="s">
        <v>26</v>
      </c>
      <c r="M1020" t="s">
        <v>27</v>
      </c>
      <c r="N1020" t="s">
        <v>47</v>
      </c>
      <c r="O1020" t="s">
        <v>26</v>
      </c>
      <c r="P1020" t="s">
        <v>26</v>
      </c>
      <c r="Q1020" s="3">
        <v>46</v>
      </c>
      <c r="R1020" t="s">
        <v>35</v>
      </c>
      <c r="S1020" t="s">
        <v>41</v>
      </c>
    </row>
    <row r="1021" spans="1:19" x14ac:dyDescent="0.25">
      <c r="A1021">
        <v>1020</v>
      </c>
      <c r="B1021">
        <v>32</v>
      </c>
      <c r="C1021" t="s">
        <v>19</v>
      </c>
      <c r="D1021" t="s">
        <v>56</v>
      </c>
      <c r="E1021" t="s">
        <v>21</v>
      </c>
      <c r="F1021" s="1">
        <v>76</v>
      </c>
      <c r="G1021" t="s">
        <v>22</v>
      </c>
      <c r="H1021" t="s">
        <v>38</v>
      </c>
      <c r="I1021" t="s">
        <v>118</v>
      </c>
      <c r="J1021" t="s">
        <v>25</v>
      </c>
      <c r="K1021" s="2">
        <v>2.8</v>
      </c>
      <c r="L1021" t="s">
        <v>26</v>
      </c>
      <c r="M1021" t="s">
        <v>59</v>
      </c>
      <c r="N1021" t="s">
        <v>55</v>
      </c>
      <c r="O1021" t="s">
        <v>26</v>
      </c>
      <c r="P1021" t="s">
        <v>26</v>
      </c>
      <c r="Q1021" s="3">
        <v>33</v>
      </c>
      <c r="R1021" t="s">
        <v>29</v>
      </c>
      <c r="S1021" t="s">
        <v>77</v>
      </c>
    </row>
    <row r="1022" spans="1:19" x14ac:dyDescent="0.25">
      <c r="A1022">
        <v>1021</v>
      </c>
      <c r="B1022">
        <v>24</v>
      </c>
      <c r="C1022" t="s">
        <v>19</v>
      </c>
      <c r="D1022" t="s">
        <v>119</v>
      </c>
      <c r="E1022" t="s">
        <v>69</v>
      </c>
      <c r="F1022" s="1">
        <v>95</v>
      </c>
      <c r="G1022" t="s">
        <v>80</v>
      </c>
      <c r="H1022" t="s">
        <v>45</v>
      </c>
      <c r="I1022" t="s">
        <v>94</v>
      </c>
      <c r="J1022" t="s">
        <v>58</v>
      </c>
      <c r="K1022" s="2">
        <v>4.5</v>
      </c>
      <c r="L1022" t="s">
        <v>26</v>
      </c>
      <c r="M1022" t="s">
        <v>34</v>
      </c>
      <c r="N1022" t="s">
        <v>28</v>
      </c>
      <c r="O1022" t="s">
        <v>26</v>
      </c>
      <c r="P1022" t="s">
        <v>26</v>
      </c>
      <c r="Q1022" s="3">
        <v>41</v>
      </c>
      <c r="R1022" t="s">
        <v>59</v>
      </c>
      <c r="S1022" t="s">
        <v>50</v>
      </c>
    </row>
    <row r="1023" spans="1:19" x14ac:dyDescent="0.25">
      <c r="A1023">
        <v>1022</v>
      </c>
      <c r="B1023">
        <v>55</v>
      </c>
      <c r="C1023" t="s">
        <v>19</v>
      </c>
      <c r="D1023" t="s">
        <v>64</v>
      </c>
      <c r="E1023" t="s">
        <v>65</v>
      </c>
      <c r="F1023" s="1">
        <v>51</v>
      </c>
      <c r="G1023" t="s">
        <v>37</v>
      </c>
      <c r="H1023" t="s">
        <v>38</v>
      </c>
      <c r="I1023" t="s">
        <v>93</v>
      </c>
      <c r="J1023" t="s">
        <v>25</v>
      </c>
      <c r="K1023" s="2">
        <v>4.9000000000000004</v>
      </c>
      <c r="L1023" t="s">
        <v>26</v>
      </c>
      <c r="M1023" t="s">
        <v>27</v>
      </c>
      <c r="N1023" t="s">
        <v>72</v>
      </c>
      <c r="O1023" t="s">
        <v>26</v>
      </c>
      <c r="P1023" t="s">
        <v>26</v>
      </c>
      <c r="Q1023" s="3">
        <v>39</v>
      </c>
      <c r="R1023" t="s">
        <v>46</v>
      </c>
      <c r="S1023" t="s">
        <v>41</v>
      </c>
    </row>
    <row r="1024" spans="1:19" x14ac:dyDescent="0.25">
      <c r="A1024">
        <v>1023</v>
      </c>
      <c r="B1024">
        <v>61</v>
      </c>
      <c r="C1024" t="s">
        <v>19</v>
      </c>
      <c r="D1024" t="s">
        <v>68</v>
      </c>
      <c r="E1024" t="s">
        <v>69</v>
      </c>
      <c r="F1024" s="1">
        <v>41</v>
      </c>
      <c r="G1024" t="s">
        <v>145</v>
      </c>
      <c r="H1024" t="s">
        <v>45</v>
      </c>
      <c r="I1024" t="s">
        <v>93</v>
      </c>
      <c r="J1024" t="s">
        <v>25</v>
      </c>
      <c r="K1024" s="2">
        <v>4.9000000000000004</v>
      </c>
      <c r="L1024" t="s">
        <v>26</v>
      </c>
      <c r="M1024" t="s">
        <v>35</v>
      </c>
      <c r="N1024" t="s">
        <v>76</v>
      </c>
      <c r="O1024" t="s">
        <v>26</v>
      </c>
      <c r="P1024" t="s">
        <v>26</v>
      </c>
      <c r="Q1024" s="3">
        <v>7</v>
      </c>
      <c r="R1024" t="s">
        <v>35</v>
      </c>
      <c r="S1024" t="s">
        <v>50</v>
      </c>
    </row>
    <row r="1025" spans="1:19" x14ac:dyDescent="0.25">
      <c r="A1025">
        <v>1024</v>
      </c>
      <c r="B1025">
        <v>61</v>
      </c>
      <c r="C1025" t="s">
        <v>19</v>
      </c>
      <c r="D1025" t="s">
        <v>89</v>
      </c>
      <c r="E1025" t="s">
        <v>69</v>
      </c>
      <c r="F1025" s="1">
        <v>71</v>
      </c>
      <c r="G1025" t="s">
        <v>32</v>
      </c>
      <c r="H1025" t="s">
        <v>38</v>
      </c>
      <c r="I1025" t="s">
        <v>49</v>
      </c>
      <c r="J1025" t="s">
        <v>25</v>
      </c>
      <c r="K1025" s="2">
        <v>3.5</v>
      </c>
      <c r="L1025" t="s">
        <v>26</v>
      </c>
      <c r="M1025" t="s">
        <v>34</v>
      </c>
      <c r="N1025" t="s">
        <v>40</v>
      </c>
      <c r="O1025" t="s">
        <v>26</v>
      </c>
      <c r="P1025" t="s">
        <v>26</v>
      </c>
      <c r="Q1025" s="3">
        <v>29</v>
      </c>
      <c r="R1025" t="s">
        <v>34</v>
      </c>
      <c r="S1025" t="s">
        <v>97</v>
      </c>
    </row>
    <row r="1026" spans="1:19" x14ac:dyDescent="0.25">
      <c r="A1026">
        <v>1025</v>
      </c>
      <c r="B1026">
        <v>28</v>
      </c>
      <c r="C1026" t="s">
        <v>19</v>
      </c>
      <c r="D1026" t="s">
        <v>113</v>
      </c>
      <c r="E1026" t="s">
        <v>21</v>
      </c>
      <c r="F1026" s="1">
        <v>66</v>
      </c>
      <c r="G1026" t="s">
        <v>138</v>
      </c>
      <c r="H1026" t="s">
        <v>45</v>
      </c>
      <c r="I1026" t="s">
        <v>75</v>
      </c>
      <c r="J1026" t="s">
        <v>54</v>
      </c>
      <c r="K1026" s="2">
        <v>3.5</v>
      </c>
      <c r="L1026" t="s">
        <v>26</v>
      </c>
      <c r="M1026" t="s">
        <v>59</v>
      </c>
      <c r="N1026" t="s">
        <v>40</v>
      </c>
      <c r="O1026" t="s">
        <v>26</v>
      </c>
      <c r="P1026" t="s">
        <v>26</v>
      </c>
      <c r="Q1026" s="3">
        <v>18</v>
      </c>
      <c r="R1026" t="s">
        <v>29</v>
      </c>
      <c r="S1026" t="s">
        <v>60</v>
      </c>
    </row>
    <row r="1027" spans="1:19" x14ac:dyDescent="0.25">
      <c r="A1027">
        <v>1026</v>
      </c>
      <c r="B1027">
        <v>60</v>
      </c>
      <c r="C1027" t="s">
        <v>19</v>
      </c>
      <c r="D1027" t="s">
        <v>56</v>
      </c>
      <c r="E1027" t="s">
        <v>21</v>
      </c>
      <c r="F1027" s="1">
        <v>84</v>
      </c>
      <c r="G1027" t="s">
        <v>145</v>
      </c>
      <c r="H1027" t="s">
        <v>45</v>
      </c>
      <c r="I1027" t="s">
        <v>79</v>
      </c>
      <c r="J1027" t="s">
        <v>25</v>
      </c>
      <c r="K1027" s="2">
        <v>4.9000000000000004</v>
      </c>
      <c r="L1027" t="s">
        <v>26</v>
      </c>
      <c r="M1027" t="s">
        <v>34</v>
      </c>
      <c r="N1027" t="s">
        <v>40</v>
      </c>
      <c r="O1027" t="s">
        <v>26</v>
      </c>
      <c r="P1027" t="s">
        <v>26</v>
      </c>
      <c r="Q1027" s="3">
        <v>15</v>
      </c>
      <c r="R1027" t="s">
        <v>27</v>
      </c>
      <c r="S1027" t="s">
        <v>50</v>
      </c>
    </row>
    <row r="1028" spans="1:19" x14ac:dyDescent="0.25">
      <c r="A1028">
        <v>1027</v>
      </c>
      <c r="B1028">
        <v>49</v>
      </c>
      <c r="C1028" t="s">
        <v>19</v>
      </c>
      <c r="D1028" t="s">
        <v>68</v>
      </c>
      <c r="E1028" t="s">
        <v>69</v>
      </c>
      <c r="F1028" s="1">
        <v>95</v>
      </c>
      <c r="G1028" t="s">
        <v>141</v>
      </c>
      <c r="H1028" t="s">
        <v>23</v>
      </c>
      <c r="I1028" t="s">
        <v>49</v>
      </c>
      <c r="J1028" t="s">
        <v>25</v>
      </c>
      <c r="K1028" s="2">
        <v>3</v>
      </c>
      <c r="L1028" t="s">
        <v>26</v>
      </c>
      <c r="M1028" t="s">
        <v>29</v>
      </c>
      <c r="N1028" t="s">
        <v>28</v>
      </c>
      <c r="O1028" t="s">
        <v>26</v>
      </c>
      <c r="P1028" t="s">
        <v>26</v>
      </c>
      <c r="Q1028" s="3">
        <v>39</v>
      </c>
      <c r="R1028" t="s">
        <v>46</v>
      </c>
      <c r="S1028" t="s">
        <v>77</v>
      </c>
    </row>
    <row r="1029" spans="1:19" x14ac:dyDescent="0.25">
      <c r="A1029">
        <v>1028</v>
      </c>
      <c r="B1029">
        <v>33</v>
      </c>
      <c r="C1029" t="s">
        <v>19</v>
      </c>
      <c r="D1029" t="s">
        <v>106</v>
      </c>
      <c r="E1029" t="s">
        <v>69</v>
      </c>
      <c r="F1029" s="1">
        <v>90</v>
      </c>
      <c r="G1029" t="s">
        <v>123</v>
      </c>
      <c r="H1029" t="s">
        <v>23</v>
      </c>
      <c r="I1029" t="s">
        <v>86</v>
      </c>
      <c r="J1029" t="s">
        <v>54</v>
      </c>
      <c r="K1029" s="2">
        <v>2.8</v>
      </c>
      <c r="L1029" t="s">
        <v>26</v>
      </c>
      <c r="M1029" t="s">
        <v>35</v>
      </c>
      <c r="N1029" t="s">
        <v>47</v>
      </c>
      <c r="O1029" t="s">
        <v>26</v>
      </c>
      <c r="P1029" t="s">
        <v>26</v>
      </c>
      <c r="Q1029" s="3">
        <v>11</v>
      </c>
      <c r="R1029" t="s">
        <v>35</v>
      </c>
      <c r="S1029" t="s">
        <v>88</v>
      </c>
    </row>
    <row r="1030" spans="1:19" x14ac:dyDescent="0.25">
      <c r="A1030">
        <v>1029</v>
      </c>
      <c r="B1030">
        <v>45</v>
      </c>
      <c r="C1030" t="s">
        <v>19</v>
      </c>
      <c r="D1030" t="s">
        <v>104</v>
      </c>
      <c r="E1030" t="s">
        <v>21</v>
      </c>
      <c r="F1030" s="1">
        <v>36</v>
      </c>
      <c r="G1030" t="s">
        <v>145</v>
      </c>
      <c r="H1030" t="s">
        <v>38</v>
      </c>
      <c r="I1030" t="s">
        <v>93</v>
      </c>
      <c r="J1030" t="s">
        <v>54</v>
      </c>
      <c r="K1030" s="2">
        <v>3.7</v>
      </c>
      <c r="L1030" t="s">
        <v>26</v>
      </c>
      <c r="M1030" t="s">
        <v>29</v>
      </c>
      <c r="N1030" t="s">
        <v>55</v>
      </c>
      <c r="O1030" t="s">
        <v>26</v>
      </c>
      <c r="P1030" t="s">
        <v>26</v>
      </c>
      <c r="Q1030" s="3">
        <v>4</v>
      </c>
      <c r="R1030" t="s">
        <v>35</v>
      </c>
      <c r="S1030" t="s">
        <v>30</v>
      </c>
    </row>
    <row r="1031" spans="1:19" x14ac:dyDescent="0.25">
      <c r="A1031">
        <v>1030</v>
      </c>
      <c r="B1031">
        <v>29</v>
      </c>
      <c r="C1031" t="s">
        <v>19</v>
      </c>
      <c r="D1031" t="s">
        <v>143</v>
      </c>
      <c r="E1031" t="s">
        <v>69</v>
      </c>
      <c r="F1031" s="1">
        <v>22</v>
      </c>
      <c r="G1031" t="s">
        <v>123</v>
      </c>
      <c r="H1031" t="s">
        <v>45</v>
      </c>
      <c r="I1031" t="s">
        <v>75</v>
      </c>
      <c r="J1031" t="s">
        <v>39</v>
      </c>
      <c r="K1031" s="2">
        <v>3.6</v>
      </c>
      <c r="L1031" t="s">
        <v>26</v>
      </c>
      <c r="M1031" t="s">
        <v>27</v>
      </c>
      <c r="N1031" t="s">
        <v>72</v>
      </c>
      <c r="O1031" t="s">
        <v>26</v>
      </c>
      <c r="P1031" t="s">
        <v>26</v>
      </c>
      <c r="Q1031" s="3">
        <v>33</v>
      </c>
      <c r="R1031" t="s">
        <v>29</v>
      </c>
      <c r="S1031" t="s">
        <v>77</v>
      </c>
    </row>
    <row r="1032" spans="1:19" x14ac:dyDescent="0.25">
      <c r="A1032">
        <v>1031</v>
      </c>
      <c r="B1032">
        <v>58</v>
      </c>
      <c r="C1032" t="s">
        <v>19</v>
      </c>
      <c r="D1032" t="s">
        <v>64</v>
      </c>
      <c r="E1032" t="s">
        <v>65</v>
      </c>
      <c r="F1032" s="1">
        <v>89</v>
      </c>
      <c r="G1032" t="s">
        <v>22</v>
      </c>
      <c r="H1032" t="s">
        <v>23</v>
      </c>
      <c r="I1032" t="s">
        <v>144</v>
      </c>
      <c r="J1032" t="s">
        <v>25</v>
      </c>
      <c r="K1032" s="2">
        <v>3.3</v>
      </c>
      <c r="L1032" t="s">
        <v>26</v>
      </c>
      <c r="M1032" t="s">
        <v>27</v>
      </c>
      <c r="N1032" t="s">
        <v>47</v>
      </c>
      <c r="O1032" t="s">
        <v>26</v>
      </c>
      <c r="P1032" t="s">
        <v>26</v>
      </c>
      <c r="Q1032" s="3">
        <v>37</v>
      </c>
      <c r="R1032" t="s">
        <v>59</v>
      </c>
      <c r="S1032" t="s">
        <v>60</v>
      </c>
    </row>
    <row r="1033" spans="1:19" x14ac:dyDescent="0.25">
      <c r="A1033">
        <v>1032</v>
      </c>
      <c r="B1033">
        <v>22</v>
      </c>
      <c r="C1033" t="s">
        <v>19</v>
      </c>
      <c r="D1033" t="s">
        <v>42</v>
      </c>
      <c r="E1033" t="s">
        <v>43</v>
      </c>
      <c r="F1033" s="1">
        <v>50</v>
      </c>
      <c r="G1033" t="s">
        <v>122</v>
      </c>
      <c r="H1033" t="s">
        <v>45</v>
      </c>
      <c r="I1033" t="s">
        <v>86</v>
      </c>
      <c r="J1033" t="s">
        <v>39</v>
      </c>
      <c r="K1033" s="2">
        <v>3.4</v>
      </c>
      <c r="L1033" t="s">
        <v>26</v>
      </c>
      <c r="M1033" t="s">
        <v>35</v>
      </c>
      <c r="N1033" t="s">
        <v>40</v>
      </c>
      <c r="O1033" t="s">
        <v>26</v>
      </c>
      <c r="P1033" t="s">
        <v>26</v>
      </c>
      <c r="Q1033" s="3">
        <v>32</v>
      </c>
      <c r="R1033" t="s">
        <v>35</v>
      </c>
      <c r="S1033" t="s">
        <v>60</v>
      </c>
    </row>
    <row r="1034" spans="1:19" x14ac:dyDescent="0.25">
      <c r="A1034">
        <v>1033</v>
      </c>
      <c r="B1034">
        <v>55</v>
      </c>
      <c r="C1034" t="s">
        <v>19</v>
      </c>
      <c r="D1034" t="s">
        <v>137</v>
      </c>
      <c r="E1034" t="s">
        <v>43</v>
      </c>
      <c r="F1034" s="1">
        <v>36</v>
      </c>
      <c r="G1034" t="s">
        <v>32</v>
      </c>
      <c r="H1034" t="s">
        <v>45</v>
      </c>
      <c r="I1034" t="s">
        <v>93</v>
      </c>
      <c r="J1034" t="s">
        <v>58</v>
      </c>
      <c r="K1034" s="2">
        <v>4</v>
      </c>
      <c r="L1034" t="s">
        <v>26</v>
      </c>
      <c r="M1034" t="s">
        <v>34</v>
      </c>
      <c r="N1034" t="s">
        <v>40</v>
      </c>
      <c r="O1034" t="s">
        <v>26</v>
      </c>
      <c r="P1034" t="s">
        <v>26</v>
      </c>
      <c r="Q1034" s="3">
        <v>44</v>
      </c>
      <c r="R1034" t="s">
        <v>27</v>
      </c>
      <c r="S1034" t="s">
        <v>60</v>
      </c>
    </row>
    <row r="1035" spans="1:19" x14ac:dyDescent="0.25">
      <c r="A1035">
        <v>1034</v>
      </c>
      <c r="B1035">
        <v>19</v>
      </c>
      <c r="C1035" t="s">
        <v>19</v>
      </c>
      <c r="D1035" t="s">
        <v>95</v>
      </c>
      <c r="E1035" t="s">
        <v>21</v>
      </c>
      <c r="F1035" s="1">
        <v>52</v>
      </c>
      <c r="G1035" t="s">
        <v>57</v>
      </c>
      <c r="H1035" t="s">
        <v>38</v>
      </c>
      <c r="I1035" t="s">
        <v>67</v>
      </c>
      <c r="J1035" t="s">
        <v>39</v>
      </c>
      <c r="K1035" s="2">
        <v>4.5999999999999996</v>
      </c>
      <c r="L1035" t="s">
        <v>26</v>
      </c>
      <c r="M1035" t="s">
        <v>27</v>
      </c>
      <c r="N1035" t="s">
        <v>40</v>
      </c>
      <c r="O1035" t="s">
        <v>26</v>
      </c>
      <c r="P1035" t="s">
        <v>26</v>
      </c>
      <c r="Q1035" s="3">
        <v>41</v>
      </c>
      <c r="R1035" t="s">
        <v>34</v>
      </c>
      <c r="S1035" t="s">
        <v>60</v>
      </c>
    </row>
    <row r="1036" spans="1:19" x14ac:dyDescent="0.25">
      <c r="A1036">
        <v>1035</v>
      </c>
      <c r="B1036">
        <v>68</v>
      </c>
      <c r="C1036" t="s">
        <v>19</v>
      </c>
      <c r="D1036" t="s">
        <v>125</v>
      </c>
      <c r="E1036" t="s">
        <v>21</v>
      </c>
      <c r="F1036" s="1">
        <v>29</v>
      </c>
      <c r="G1036" t="s">
        <v>128</v>
      </c>
      <c r="H1036" t="s">
        <v>45</v>
      </c>
      <c r="I1036" t="s">
        <v>79</v>
      </c>
      <c r="J1036" t="s">
        <v>58</v>
      </c>
      <c r="K1036" s="2">
        <v>4.2</v>
      </c>
      <c r="L1036" t="s">
        <v>26</v>
      </c>
      <c r="M1036" t="s">
        <v>29</v>
      </c>
      <c r="N1036" t="s">
        <v>47</v>
      </c>
      <c r="O1036" t="s">
        <v>26</v>
      </c>
      <c r="P1036" t="s">
        <v>26</v>
      </c>
      <c r="Q1036" s="3">
        <v>44</v>
      </c>
      <c r="R1036" t="s">
        <v>34</v>
      </c>
      <c r="S1036" t="s">
        <v>41</v>
      </c>
    </row>
    <row r="1037" spans="1:19" x14ac:dyDescent="0.25">
      <c r="A1037">
        <v>1036</v>
      </c>
      <c r="B1037">
        <v>61</v>
      </c>
      <c r="C1037" t="s">
        <v>19</v>
      </c>
      <c r="D1037" t="s">
        <v>20</v>
      </c>
      <c r="E1037" t="s">
        <v>21</v>
      </c>
      <c r="F1037" s="1">
        <v>89</v>
      </c>
      <c r="G1037" t="s">
        <v>142</v>
      </c>
      <c r="H1037" t="s">
        <v>45</v>
      </c>
      <c r="I1037" t="s">
        <v>110</v>
      </c>
      <c r="J1037" t="s">
        <v>58</v>
      </c>
      <c r="K1037" s="2">
        <v>2.8</v>
      </c>
      <c r="L1037" t="s">
        <v>26</v>
      </c>
      <c r="M1037" t="s">
        <v>29</v>
      </c>
      <c r="N1037" t="s">
        <v>28</v>
      </c>
      <c r="O1037" t="s">
        <v>26</v>
      </c>
      <c r="P1037" t="s">
        <v>26</v>
      </c>
      <c r="Q1037" s="3">
        <v>32</v>
      </c>
      <c r="R1037" t="s">
        <v>29</v>
      </c>
      <c r="S1037" t="s">
        <v>50</v>
      </c>
    </row>
    <row r="1038" spans="1:19" x14ac:dyDescent="0.25">
      <c r="A1038">
        <v>1037</v>
      </c>
      <c r="B1038">
        <v>68</v>
      </c>
      <c r="C1038" t="s">
        <v>19</v>
      </c>
      <c r="D1038" t="s">
        <v>68</v>
      </c>
      <c r="E1038" t="s">
        <v>69</v>
      </c>
      <c r="F1038" s="1">
        <v>47</v>
      </c>
      <c r="G1038" t="s">
        <v>78</v>
      </c>
      <c r="H1038" t="s">
        <v>45</v>
      </c>
      <c r="I1038" t="s">
        <v>134</v>
      </c>
      <c r="J1038" t="s">
        <v>58</v>
      </c>
      <c r="K1038" s="2">
        <v>3.7</v>
      </c>
      <c r="L1038" t="s">
        <v>26</v>
      </c>
      <c r="M1038" t="s">
        <v>27</v>
      </c>
      <c r="N1038" t="s">
        <v>72</v>
      </c>
      <c r="O1038" t="s">
        <v>26</v>
      </c>
      <c r="P1038" t="s">
        <v>26</v>
      </c>
      <c r="Q1038" s="3">
        <v>13</v>
      </c>
      <c r="R1038" t="s">
        <v>34</v>
      </c>
      <c r="S1038" t="s">
        <v>88</v>
      </c>
    </row>
    <row r="1039" spans="1:19" x14ac:dyDescent="0.25">
      <c r="A1039">
        <v>1038</v>
      </c>
      <c r="B1039">
        <v>52</v>
      </c>
      <c r="C1039" t="s">
        <v>19</v>
      </c>
      <c r="D1039" t="s">
        <v>106</v>
      </c>
      <c r="E1039" t="s">
        <v>69</v>
      </c>
      <c r="F1039" s="1">
        <v>25</v>
      </c>
      <c r="G1039" t="s">
        <v>44</v>
      </c>
      <c r="H1039" t="s">
        <v>92</v>
      </c>
      <c r="I1039" t="s">
        <v>110</v>
      </c>
      <c r="J1039" t="s">
        <v>39</v>
      </c>
      <c r="K1039" s="2">
        <v>3.4</v>
      </c>
      <c r="L1039" t="s">
        <v>26</v>
      </c>
      <c r="M1039" t="s">
        <v>34</v>
      </c>
      <c r="N1039" t="s">
        <v>55</v>
      </c>
      <c r="O1039" t="s">
        <v>26</v>
      </c>
      <c r="P1039" t="s">
        <v>26</v>
      </c>
      <c r="Q1039" s="3">
        <v>48</v>
      </c>
      <c r="R1039" t="s">
        <v>59</v>
      </c>
      <c r="S1039" t="s">
        <v>60</v>
      </c>
    </row>
    <row r="1040" spans="1:19" x14ac:dyDescent="0.25">
      <c r="A1040">
        <v>1039</v>
      </c>
      <c r="B1040">
        <v>41</v>
      </c>
      <c r="C1040" t="s">
        <v>19</v>
      </c>
      <c r="D1040" t="s">
        <v>95</v>
      </c>
      <c r="E1040" t="s">
        <v>21</v>
      </c>
      <c r="F1040" s="1">
        <v>74</v>
      </c>
      <c r="G1040" t="s">
        <v>145</v>
      </c>
      <c r="H1040" t="s">
        <v>92</v>
      </c>
      <c r="I1040" t="s">
        <v>109</v>
      </c>
      <c r="J1040" t="s">
        <v>58</v>
      </c>
      <c r="K1040" s="2">
        <v>3</v>
      </c>
      <c r="L1040" t="s">
        <v>26</v>
      </c>
      <c r="M1040" t="s">
        <v>34</v>
      </c>
      <c r="N1040" t="s">
        <v>28</v>
      </c>
      <c r="O1040" t="s">
        <v>26</v>
      </c>
      <c r="P1040" t="s">
        <v>26</v>
      </c>
      <c r="Q1040" s="3">
        <v>3</v>
      </c>
      <c r="R1040" t="s">
        <v>34</v>
      </c>
      <c r="S1040" t="s">
        <v>41</v>
      </c>
    </row>
    <row r="1041" spans="1:19" x14ac:dyDescent="0.25">
      <c r="A1041">
        <v>1040</v>
      </c>
      <c r="B1041">
        <v>29</v>
      </c>
      <c r="C1041" t="s">
        <v>19</v>
      </c>
      <c r="D1041" t="s">
        <v>133</v>
      </c>
      <c r="E1041" t="s">
        <v>69</v>
      </c>
      <c r="F1041" s="1">
        <v>46</v>
      </c>
      <c r="G1041" t="s">
        <v>151</v>
      </c>
      <c r="H1041" t="s">
        <v>45</v>
      </c>
      <c r="I1041" t="s">
        <v>136</v>
      </c>
      <c r="J1041" t="s">
        <v>58</v>
      </c>
      <c r="K1041" s="2">
        <v>4.8</v>
      </c>
      <c r="L1041" t="s">
        <v>26</v>
      </c>
      <c r="M1041" t="s">
        <v>46</v>
      </c>
      <c r="N1041" t="s">
        <v>55</v>
      </c>
      <c r="O1041" t="s">
        <v>26</v>
      </c>
      <c r="P1041" t="s">
        <v>26</v>
      </c>
      <c r="Q1041" s="3">
        <v>39</v>
      </c>
      <c r="R1041" t="s">
        <v>29</v>
      </c>
      <c r="S1041" t="s">
        <v>88</v>
      </c>
    </row>
    <row r="1042" spans="1:19" x14ac:dyDescent="0.25">
      <c r="A1042">
        <v>1041</v>
      </c>
      <c r="B1042">
        <v>68</v>
      </c>
      <c r="C1042" t="s">
        <v>19</v>
      </c>
      <c r="D1042" t="s">
        <v>36</v>
      </c>
      <c r="E1042" t="s">
        <v>21</v>
      </c>
      <c r="F1042" s="1">
        <v>22</v>
      </c>
      <c r="G1042" t="s">
        <v>98</v>
      </c>
      <c r="H1042" t="s">
        <v>38</v>
      </c>
      <c r="I1042" t="s">
        <v>136</v>
      </c>
      <c r="J1042" t="s">
        <v>58</v>
      </c>
      <c r="K1042" s="2">
        <v>4</v>
      </c>
      <c r="L1042" t="s">
        <v>26</v>
      </c>
      <c r="M1042" t="s">
        <v>29</v>
      </c>
      <c r="N1042" t="s">
        <v>47</v>
      </c>
      <c r="O1042" t="s">
        <v>26</v>
      </c>
      <c r="P1042" t="s">
        <v>26</v>
      </c>
      <c r="Q1042" s="3">
        <v>7</v>
      </c>
      <c r="R1042" t="s">
        <v>35</v>
      </c>
      <c r="S1042" t="s">
        <v>30</v>
      </c>
    </row>
    <row r="1043" spans="1:19" x14ac:dyDescent="0.25">
      <c r="A1043">
        <v>1042</v>
      </c>
      <c r="B1043">
        <v>36</v>
      </c>
      <c r="C1043" t="s">
        <v>19</v>
      </c>
      <c r="D1043" t="s">
        <v>56</v>
      </c>
      <c r="E1043" t="s">
        <v>21</v>
      </c>
      <c r="F1043" s="1">
        <v>25</v>
      </c>
      <c r="G1043" t="s">
        <v>148</v>
      </c>
      <c r="H1043" t="s">
        <v>45</v>
      </c>
      <c r="I1043" t="s">
        <v>121</v>
      </c>
      <c r="J1043" t="s">
        <v>54</v>
      </c>
      <c r="K1043" s="2">
        <v>4.9000000000000004</v>
      </c>
      <c r="L1043" t="s">
        <v>26</v>
      </c>
      <c r="M1043" t="s">
        <v>29</v>
      </c>
      <c r="N1043" t="s">
        <v>47</v>
      </c>
      <c r="O1043" t="s">
        <v>26</v>
      </c>
      <c r="P1043" t="s">
        <v>26</v>
      </c>
      <c r="Q1043" s="3">
        <v>11</v>
      </c>
      <c r="R1043" t="s">
        <v>35</v>
      </c>
      <c r="S1043" t="s">
        <v>30</v>
      </c>
    </row>
    <row r="1044" spans="1:19" x14ac:dyDescent="0.25">
      <c r="A1044">
        <v>1043</v>
      </c>
      <c r="B1044">
        <v>55</v>
      </c>
      <c r="C1044" t="s">
        <v>19</v>
      </c>
      <c r="D1044" t="s">
        <v>133</v>
      </c>
      <c r="E1044" t="s">
        <v>69</v>
      </c>
      <c r="F1044" s="1">
        <v>80</v>
      </c>
      <c r="G1044" t="s">
        <v>128</v>
      </c>
      <c r="H1044" t="s">
        <v>45</v>
      </c>
      <c r="I1044" t="s">
        <v>33</v>
      </c>
      <c r="J1044" t="s">
        <v>39</v>
      </c>
      <c r="K1044" s="2">
        <v>4.9000000000000004</v>
      </c>
      <c r="L1044" t="s">
        <v>26</v>
      </c>
      <c r="M1044" t="s">
        <v>29</v>
      </c>
      <c r="N1044" t="s">
        <v>47</v>
      </c>
      <c r="O1044" t="s">
        <v>26</v>
      </c>
      <c r="P1044" t="s">
        <v>26</v>
      </c>
      <c r="Q1044" s="3">
        <v>47</v>
      </c>
      <c r="R1044" t="s">
        <v>27</v>
      </c>
      <c r="S1044" t="s">
        <v>41</v>
      </c>
    </row>
    <row r="1045" spans="1:19" x14ac:dyDescent="0.25">
      <c r="A1045">
        <v>1044</v>
      </c>
      <c r="B1045">
        <v>28</v>
      </c>
      <c r="C1045" t="s">
        <v>19</v>
      </c>
      <c r="D1045" t="s">
        <v>36</v>
      </c>
      <c r="E1045" t="s">
        <v>21</v>
      </c>
      <c r="F1045" s="1">
        <v>76</v>
      </c>
      <c r="G1045" t="s">
        <v>78</v>
      </c>
      <c r="H1045" t="s">
        <v>45</v>
      </c>
      <c r="I1045" t="s">
        <v>96</v>
      </c>
      <c r="J1045" t="s">
        <v>39</v>
      </c>
      <c r="K1045" s="2">
        <v>3.3</v>
      </c>
      <c r="L1045" t="s">
        <v>26</v>
      </c>
      <c r="M1045" t="s">
        <v>34</v>
      </c>
      <c r="N1045" t="s">
        <v>72</v>
      </c>
      <c r="O1045" t="s">
        <v>26</v>
      </c>
      <c r="P1045" t="s">
        <v>26</v>
      </c>
      <c r="Q1045" s="3">
        <v>28</v>
      </c>
      <c r="R1045" t="s">
        <v>59</v>
      </c>
      <c r="S1045" t="s">
        <v>30</v>
      </c>
    </row>
    <row r="1046" spans="1:19" x14ac:dyDescent="0.25">
      <c r="A1046">
        <v>1045</v>
      </c>
      <c r="B1046">
        <v>39</v>
      </c>
      <c r="C1046" t="s">
        <v>19</v>
      </c>
      <c r="D1046" t="s">
        <v>36</v>
      </c>
      <c r="E1046" t="s">
        <v>21</v>
      </c>
      <c r="F1046" s="1">
        <v>30</v>
      </c>
      <c r="G1046" t="s">
        <v>48</v>
      </c>
      <c r="H1046" t="s">
        <v>23</v>
      </c>
      <c r="I1046" t="s">
        <v>86</v>
      </c>
      <c r="J1046" t="s">
        <v>54</v>
      </c>
      <c r="K1046" s="2">
        <v>4.4000000000000004</v>
      </c>
      <c r="L1046" t="s">
        <v>26</v>
      </c>
      <c r="M1046" t="s">
        <v>27</v>
      </c>
      <c r="N1046" t="s">
        <v>47</v>
      </c>
      <c r="O1046" t="s">
        <v>26</v>
      </c>
      <c r="P1046" t="s">
        <v>26</v>
      </c>
      <c r="Q1046" s="3">
        <v>17</v>
      </c>
      <c r="R1046" t="s">
        <v>34</v>
      </c>
      <c r="S1046" t="s">
        <v>97</v>
      </c>
    </row>
    <row r="1047" spans="1:19" x14ac:dyDescent="0.25">
      <c r="A1047">
        <v>1046</v>
      </c>
      <c r="B1047">
        <v>54</v>
      </c>
      <c r="C1047" t="s">
        <v>19</v>
      </c>
      <c r="D1047" t="s">
        <v>31</v>
      </c>
      <c r="E1047" t="s">
        <v>21</v>
      </c>
      <c r="F1047" s="1">
        <v>79</v>
      </c>
      <c r="G1047" t="s">
        <v>130</v>
      </c>
      <c r="H1047" t="s">
        <v>23</v>
      </c>
      <c r="I1047" t="s">
        <v>94</v>
      </c>
      <c r="J1047" t="s">
        <v>58</v>
      </c>
      <c r="K1047" s="2">
        <v>3.5</v>
      </c>
      <c r="L1047" t="s">
        <v>26</v>
      </c>
      <c r="M1047" t="s">
        <v>35</v>
      </c>
      <c r="N1047" t="s">
        <v>72</v>
      </c>
      <c r="O1047" t="s">
        <v>26</v>
      </c>
      <c r="P1047" t="s">
        <v>26</v>
      </c>
      <c r="Q1047" s="3">
        <v>11</v>
      </c>
      <c r="R1047" t="s">
        <v>46</v>
      </c>
      <c r="S1047" t="s">
        <v>77</v>
      </c>
    </row>
    <row r="1048" spans="1:19" x14ac:dyDescent="0.25">
      <c r="A1048">
        <v>1047</v>
      </c>
      <c r="B1048">
        <v>40</v>
      </c>
      <c r="C1048" t="s">
        <v>19</v>
      </c>
      <c r="D1048" t="s">
        <v>51</v>
      </c>
      <c r="E1048" t="s">
        <v>43</v>
      </c>
      <c r="F1048" s="1">
        <v>22</v>
      </c>
      <c r="G1048" t="s">
        <v>115</v>
      </c>
      <c r="H1048" t="s">
        <v>45</v>
      </c>
      <c r="I1048" t="s">
        <v>136</v>
      </c>
      <c r="J1048" t="s">
        <v>25</v>
      </c>
      <c r="K1048" s="2">
        <v>4.2</v>
      </c>
      <c r="L1048" t="s">
        <v>26</v>
      </c>
      <c r="M1048" t="s">
        <v>27</v>
      </c>
      <c r="N1048" t="s">
        <v>55</v>
      </c>
      <c r="O1048" t="s">
        <v>26</v>
      </c>
      <c r="P1048" t="s">
        <v>26</v>
      </c>
      <c r="Q1048" s="3">
        <v>12</v>
      </c>
      <c r="R1048" t="s">
        <v>29</v>
      </c>
      <c r="S1048" t="s">
        <v>50</v>
      </c>
    </row>
    <row r="1049" spans="1:19" x14ac:dyDescent="0.25">
      <c r="A1049">
        <v>1048</v>
      </c>
      <c r="B1049">
        <v>31</v>
      </c>
      <c r="C1049" t="s">
        <v>19</v>
      </c>
      <c r="D1049" t="s">
        <v>125</v>
      </c>
      <c r="E1049" t="s">
        <v>21</v>
      </c>
      <c r="F1049" s="1">
        <v>36</v>
      </c>
      <c r="G1049" t="s">
        <v>140</v>
      </c>
      <c r="H1049" t="s">
        <v>38</v>
      </c>
      <c r="I1049" t="s">
        <v>79</v>
      </c>
      <c r="J1049" t="s">
        <v>58</v>
      </c>
      <c r="K1049" s="2">
        <v>4.2</v>
      </c>
      <c r="L1049" t="s">
        <v>26</v>
      </c>
      <c r="M1049" t="s">
        <v>59</v>
      </c>
      <c r="N1049" t="s">
        <v>55</v>
      </c>
      <c r="O1049" t="s">
        <v>26</v>
      </c>
      <c r="P1049" t="s">
        <v>26</v>
      </c>
      <c r="Q1049" s="3">
        <v>7</v>
      </c>
      <c r="R1049" t="s">
        <v>27</v>
      </c>
      <c r="S1049" t="s">
        <v>30</v>
      </c>
    </row>
    <row r="1050" spans="1:19" x14ac:dyDescent="0.25">
      <c r="A1050">
        <v>1049</v>
      </c>
      <c r="B1050">
        <v>30</v>
      </c>
      <c r="C1050" t="s">
        <v>19</v>
      </c>
      <c r="D1050" t="s">
        <v>125</v>
      </c>
      <c r="E1050" t="s">
        <v>21</v>
      </c>
      <c r="F1050" s="1">
        <v>77</v>
      </c>
      <c r="G1050" t="s">
        <v>32</v>
      </c>
      <c r="H1050" t="s">
        <v>23</v>
      </c>
      <c r="I1050" t="s">
        <v>134</v>
      </c>
      <c r="J1050" t="s">
        <v>58</v>
      </c>
      <c r="K1050" s="2">
        <v>2.7</v>
      </c>
      <c r="L1050" t="s">
        <v>26</v>
      </c>
      <c r="M1050" t="s">
        <v>35</v>
      </c>
      <c r="N1050" t="s">
        <v>55</v>
      </c>
      <c r="O1050" t="s">
        <v>26</v>
      </c>
      <c r="P1050" t="s">
        <v>26</v>
      </c>
      <c r="Q1050" s="3">
        <v>19</v>
      </c>
      <c r="R1050" t="s">
        <v>29</v>
      </c>
      <c r="S1050" t="s">
        <v>30</v>
      </c>
    </row>
    <row r="1051" spans="1:19" x14ac:dyDescent="0.25">
      <c r="A1051">
        <v>1050</v>
      </c>
      <c r="B1051">
        <v>45</v>
      </c>
      <c r="C1051" t="s">
        <v>19</v>
      </c>
      <c r="D1051" t="s">
        <v>89</v>
      </c>
      <c r="E1051" t="s">
        <v>69</v>
      </c>
      <c r="F1051" s="1">
        <v>33</v>
      </c>
      <c r="G1051" t="s">
        <v>141</v>
      </c>
      <c r="H1051" t="s">
        <v>38</v>
      </c>
      <c r="I1051" t="s">
        <v>75</v>
      </c>
      <c r="J1051" t="s">
        <v>58</v>
      </c>
      <c r="K1051" s="2">
        <v>2.8</v>
      </c>
      <c r="L1051" t="s">
        <v>26</v>
      </c>
      <c r="M1051" t="s">
        <v>27</v>
      </c>
      <c r="N1051" t="s">
        <v>76</v>
      </c>
      <c r="O1051" t="s">
        <v>26</v>
      </c>
      <c r="P1051" t="s">
        <v>26</v>
      </c>
      <c r="Q1051" s="3">
        <v>24</v>
      </c>
      <c r="R1051" t="s">
        <v>35</v>
      </c>
      <c r="S1051" t="s">
        <v>60</v>
      </c>
    </row>
    <row r="1052" spans="1:19" x14ac:dyDescent="0.25">
      <c r="A1052">
        <v>1051</v>
      </c>
      <c r="B1052">
        <v>48</v>
      </c>
      <c r="C1052" t="s">
        <v>19</v>
      </c>
      <c r="D1052" t="s">
        <v>51</v>
      </c>
      <c r="E1052" t="s">
        <v>43</v>
      </c>
      <c r="F1052" s="1">
        <v>64</v>
      </c>
      <c r="G1052" t="s">
        <v>103</v>
      </c>
      <c r="H1052" t="s">
        <v>45</v>
      </c>
      <c r="I1052" t="s">
        <v>118</v>
      </c>
      <c r="J1052" t="s">
        <v>25</v>
      </c>
      <c r="K1052" s="2">
        <v>3.8</v>
      </c>
      <c r="L1052" t="s">
        <v>26</v>
      </c>
      <c r="M1052" t="s">
        <v>27</v>
      </c>
      <c r="N1052" t="s">
        <v>47</v>
      </c>
      <c r="O1052" t="s">
        <v>26</v>
      </c>
      <c r="P1052" t="s">
        <v>26</v>
      </c>
      <c r="Q1052" s="3">
        <v>19</v>
      </c>
      <c r="R1052" t="s">
        <v>29</v>
      </c>
      <c r="S1052" t="s">
        <v>88</v>
      </c>
    </row>
    <row r="1053" spans="1:19" x14ac:dyDescent="0.25">
      <c r="A1053">
        <v>1052</v>
      </c>
      <c r="B1053">
        <v>45</v>
      </c>
      <c r="C1053" t="s">
        <v>19</v>
      </c>
      <c r="D1053" t="s">
        <v>125</v>
      </c>
      <c r="E1053" t="s">
        <v>21</v>
      </c>
      <c r="F1053" s="1">
        <v>53</v>
      </c>
      <c r="G1053" t="s">
        <v>123</v>
      </c>
      <c r="H1053" t="s">
        <v>45</v>
      </c>
      <c r="I1053" t="s">
        <v>126</v>
      </c>
      <c r="J1053" t="s">
        <v>58</v>
      </c>
      <c r="K1053" s="2">
        <v>2.6</v>
      </c>
      <c r="L1053" t="s">
        <v>26</v>
      </c>
      <c r="M1053" t="s">
        <v>46</v>
      </c>
      <c r="N1053" t="s">
        <v>40</v>
      </c>
      <c r="O1053" t="s">
        <v>26</v>
      </c>
      <c r="P1053" t="s">
        <v>26</v>
      </c>
      <c r="Q1053" s="3">
        <v>39</v>
      </c>
      <c r="R1053" t="s">
        <v>46</v>
      </c>
      <c r="S1053" t="s">
        <v>50</v>
      </c>
    </row>
    <row r="1054" spans="1:19" x14ac:dyDescent="0.25">
      <c r="A1054">
        <v>1053</v>
      </c>
      <c r="B1054">
        <v>60</v>
      </c>
      <c r="C1054" t="s">
        <v>19</v>
      </c>
      <c r="D1054" t="s">
        <v>73</v>
      </c>
      <c r="E1054" t="s">
        <v>43</v>
      </c>
      <c r="F1054" s="1">
        <v>36</v>
      </c>
      <c r="G1054" t="s">
        <v>141</v>
      </c>
      <c r="H1054" t="s">
        <v>92</v>
      </c>
      <c r="I1054" t="s">
        <v>71</v>
      </c>
      <c r="J1054" t="s">
        <v>58</v>
      </c>
      <c r="K1054" s="2">
        <v>3</v>
      </c>
      <c r="L1054" t="s">
        <v>26</v>
      </c>
      <c r="M1054" t="s">
        <v>29</v>
      </c>
      <c r="N1054" t="s">
        <v>72</v>
      </c>
      <c r="O1054" t="s">
        <v>26</v>
      </c>
      <c r="P1054" t="s">
        <v>26</v>
      </c>
      <c r="Q1054" s="3">
        <v>1</v>
      </c>
      <c r="R1054" t="s">
        <v>27</v>
      </c>
      <c r="S1054" t="s">
        <v>30</v>
      </c>
    </row>
    <row r="1055" spans="1:19" x14ac:dyDescent="0.25">
      <c r="A1055">
        <v>1054</v>
      </c>
      <c r="B1055">
        <v>59</v>
      </c>
      <c r="C1055" t="s">
        <v>19</v>
      </c>
      <c r="D1055" t="s">
        <v>20</v>
      </c>
      <c r="E1055" t="s">
        <v>21</v>
      </c>
      <c r="F1055" s="1">
        <v>70</v>
      </c>
      <c r="G1055" t="s">
        <v>111</v>
      </c>
      <c r="H1055" t="s">
        <v>45</v>
      </c>
      <c r="I1055" t="s">
        <v>144</v>
      </c>
      <c r="J1055" t="s">
        <v>39</v>
      </c>
      <c r="K1055" s="2">
        <v>3.3</v>
      </c>
      <c r="L1055" t="s">
        <v>152</v>
      </c>
      <c r="M1055" t="s">
        <v>35</v>
      </c>
      <c r="N1055" t="s">
        <v>72</v>
      </c>
      <c r="O1055" t="s">
        <v>26</v>
      </c>
      <c r="P1055" t="s">
        <v>26</v>
      </c>
      <c r="Q1055" s="3">
        <v>10</v>
      </c>
      <c r="R1055" t="s">
        <v>59</v>
      </c>
      <c r="S1055" t="s">
        <v>77</v>
      </c>
    </row>
    <row r="1056" spans="1:19" x14ac:dyDescent="0.25">
      <c r="A1056">
        <v>1055</v>
      </c>
      <c r="B1056">
        <v>18</v>
      </c>
      <c r="C1056" t="s">
        <v>19</v>
      </c>
      <c r="D1056" t="s">
        <v>61</v>
      </c>
      <c r="E1056" t="s">
        <v>21</v>
      </c>
      <c r="F1056" s="1">
        <v>96</v>
      </c>
      <c r="G1056" t="s">
        <v>74</v>
      </c>
      <c r="H1056" t="s">
        <v>23</v>
      </c>
      <c r="I1056" t="s">
        <v>109</v>
      </c>
      <c r="J1056" t="s">
        <v>25</v>
      </c>
      <c r="K1056" s="2">
        <v>4.9000000000000004</v>
      </c>
      <c r="L1056" t="s">
        <v>152</v>
      </c>
      <c r="M1056" t="s">
        <v>59</v>
      </c>
      <c r="N1056" t="s">
        <v>28</v>
      </c>
      <c r="O1056" t="s">
        <v>26</v>
      </c>
      <c r="P1056" t="s">
        <v>26</v>
      </c>
      <c r="Q1056" s="3">
        <v>48</v>
      </c>
      <c r="R1056" t="s">
        <v>46</v>
      </c>
      <c r="S1056" t="s">
        <v>60</v>
      </c>
    </row>
    <row r="1057" spans="1:19" x14ac:dyDescent="0.25">
      <c r="A1057">
        <v>1056</v>
      </c>
      <c r="B1057">
        <v>70</v>
      </c>
      <c r="C1057" t="s">
        <v>19</v>
      </c>
      <c r="D1057" t="s">
        <v>102</v>
      </c>
      <c r="E1057" t="s">
        <v>65</v>
      </c>
      <c r="F1057" s="1">
        <v>27</v>
      </c>
      <c r="G1057" t="s">
        <v>37</v>
      </c>
      <c r="H1057" t="s">
        <v>45</v>
      </c>
      <c r="I1057" t="s">
        <v>121</v>
      </c>
      <c r="J1057" t="s">
        <v>39</v>
      </c>
      <c r="K1057" s="2">
        <v>3.3</v>
      </c>
      <c r="L1057" t="s">
        <v>152</v>
      </c>
      <c r="M1057" t="s">
        <v>46</v>
      </c>
      <c r="N1057" t="s">
        <v>47</v>
      </c>
      <c r="O1057" t="s">
        <v>26</v>
      </c>
      <c r="P1057" t="s">
        <v>26</v>
      </c>
      <c r="Q1057" s="3">
        <v>24</v>
      </c>
      <c r="R1057" t="s">
        <v>59</v>
      </c>
      <c r="S1057" t="s">
        <v>50</v>
      </c>
    </row>
    <row r="1058" spans="1:19" x14ac:dyDescent="0.25">
      <c r="A1058">
        <v>1057</v>
      </c>
      <c r="B1058">
        <v>20</v>
      </c>
      <c r="C1058" t="s">
        <v>19</v>
      </c>
      <c r="D1058" t="s">
        <v>31</v>
      </c>
      <c r="E1058" t="s">
        <v>21</v>
      </c>
      <c r="F1058" s="1">
        <v>64</v>
      </c>
      <c r="G1058" t="s">
        <v>135</v>
      </c>
      <c r="H1058" t="s">
        <v>23</v>
      </c>
      <c r="I1058" t="s">
        <v>94</v>
      </c>
      <c r="J1058" t="s">
        <v>25</v>
      </c>
      <c r="K1058" s="2">
        <v>2.9</v>
      </c>
      <c r="L1058" t="s">
        <v>152</v>
      </c>
      <c r="M1058" t="s">
        <v>59</v>
      </c>
      <c r="N1058" t="s">
        <v>72</v>
      </c>
      <c r="O1058" t="s">
        <v>26</v>
      </c>
      <c r="P1058" t="s">
        <v>26</v>
      </c>
      <c r="Q1058" s="3">
        <v>42</v>
      </c>
      <c r="R1058" t="s">
        <v>29</v>
      </c>
      <c r="S1058" t="s">
        <v>30</v>
      </c>
    </row>
    <row r="1059" spans="1:19" x14ac:dyDescent="0.25">
      <c r="A1059">
        <v>1058</v>
      </c>
      <c r="B1059">
        <v>65</v>
      </c>
      <c r="C1059" t="s">
        <v>19</v>
      </c>
      <c r="D1059" t="s">
        <v>102</v>
      </c>
      <c r="E1059" t="s">
        <v>65</v>
      </c>
      <c r="F1059" s="1">
        <v>23</v>
      </c>
      <c r="G1059" t="s">
        <v>150</v>
      </c>
      <c r="H1059" t="s">
        <v>38</v>
      </c>
      <c r="I1059" t="s">
        <v>33</v>
      </c>
      <c r="J1059" t="s">
        <v>39</v>
      </c>
      <c r="K1059" s="2">
        <v>4.4000000000000004</v>
      </c>
      <c r="L1059" t="s">
        <v>152</v>
      </c>
      <c r="M1059" t="s">
        <v>34</v>
      </c>
      <c r="N1059" t="s">
        <v>72</v>
      </c>
      <c r="O1059" t="s">
        <v>26</v>
      </c>
      <c r="P1059" t="s">
        <v>26</v>
      </c>
      <c r="Q1059" s="3">
        <v>20</v>
      </c>
      <c r="R1059" t="s">
        <v>27</v>
      </c>
      <c r="S1059" t="s">
        <v>41</v>
      </c>
    </row>
    <row r="1060" spans="1:19" x14ac:dyDescent="0.25">
      <c r="A1060">
        <v>1059</v>
      </c>
      <c r="B1060">
        <v>29</v>
      </c>
      <c r="C1060" t="s">
        <v>19</v>
      </c>
      <c r="D1060" t="s">
        <v>119</v>
      </c>
      <c r="E1060" t="s">
        <v>69</v>
      </c>
      <c r="F1060" s="1">
        <v>33</v>
      </c>
      <c r="G1060" t="s">
        <v>130</v>
      </c>
      <c r="H1060" t="s">
        <v>23</v>
      </c>
      <c r="I1060" t="s">
        <v>84</v>
      </c>
      <c r="J1060" t="s">
        <v>54</v>
      </c>
      <c r="K1060" s="2">
        <v>3.1</v>
      </c>
      <c r="L1060" t="s">
        <v>152</v>
      </c>
      <c r="M1060" t="s">
        <v>27</v>
      </c>
      <c r="N1060" t="s">
        <v>47</v>
      </c>
      <c r="O1060" t="s">
        <v>26</v>
      </c>
      <c r="P1060" t="s">
        <v>26</v>
      </c>
      <c r="Q1060" s="3">
        <v>49</v>
      </c>
      <c r="R1060" t="s">
        <v>34</v>
      </c>
      <c r="S1060" t="s">
        <v>97</v>
      </c>
    </row>
    <row r="1061" spans="1:19" x14ac:dyDescent="0.25">
      <c r="A1061">
        <v>1060</v>
      </c>
      <c r="B1061">
        <v>22</v>
      </c>
      <c r="C1061" t="s">
        <v>19</v>
      </c>
      <c r="D1061" t="s">
        <v>102</v>
      </c>
      <c r="E1061" t="s">
        <v>65</v>
      </c>
      <c r="F1061" s="1">
        <v>34</v>
      </c>
      <c r="G1061" t="s">
        <v>98</v>
      </c>
      <c r="H1061" t="s">
        <v>45</v>
      </c>
      <c r="I1061" t="s">
        <v>118</v>
      </c>
      <c r="J1061" t="s">
        <v>25</v>
      </c>
      <c r="K1061" s="2">
        <v>2.5</v>
      </c>
      <c r="L1061" t="s">
        <v>152</v>
      </c>
      <c r="M1061" t="s">
        <v>29</v>
      </c>
      <c r="N1061" t="s">
        <v>55</v>
      </c>
      <c r="O1061" t="s">
        <v>26</v>
      </c>
      <c r="P1061" t="s">
        <v>26</v>
      </c>
      <c r="Q1061" s="3">
        <v>25</v>
      </c>
      <c r="R1061" t="s">
        <v>59</v>
      </c>
      <c r="S1061" t="s">
        <v>88</v>
      </c>
    </row>
    <row r="1062" spans="1:19" x14ac:dyDescent="0.25">
      <c r="A1062">
        <v>1061</v>
      </c>
      <c r="B1062">
        <v>27</v>
      </c>
      <c r="C1062" t="s">
        <v>19</v>
      </c>
      <c r="D1062" t="s">
        <v>31</v>
      </c>
      <c r="E1062" t="s">
        <v>21</v>
      </c>
      <c r="F1062" s="1">
        <v>35</v>
      </c>
      <c r="G1062" t="s">
        <v>146</v>
      </c>
      <c r="H1062" t="s">
        <v>38</v>
      </c>
      <c r="I1062" t="s">
        <v>24</v>
      </c>
      <c r="J1062" t="s">
        <v>54</v>
      </c>
      <c r="K1062" s="2">
        <v>2.6</v>
      </c>
      <c r="L1062" t="s">
        <v>152</v>
      </c>
      <c r="M1062" t="s">
        <v>46</v>
      </c>
      <c r="N1062" t="s">
        <v>47</v>
      </c>
      <c r="O1062" t="s">
        <v>26</v>
      </c>
      <c r="P1062" t="s">
        <v>26</v>
      </c>
      <c r="Q1062" s="3">
        <v>21</v>
      </c>
      <c r="R1062" t="s">
        <v>59</v>
      </c>
      <c r="S1062" t="s">
        <v>97</v>
      </c>
    </row>
    <row r="1063" spans="1:19" x14ac:dyDescent="0.25">
      <c r="A1063">
        <v>1062</v>
      </c>
      <c r="B1063">
        <v>36</v>
      </c>
      <c r="C1063" t="s">
        <v>19</v>
      </c>
      <c r="D1063" t="s">
        <v>64</v>
      </c>
      <c r="E1063" t="s">
        <v>65</v>
      </c>
      <c r="F1063" s="1">
        <v>62</v>
      </c>
      <c r="G1063" t="s">
        <v>135</v>
      </c>
      <c r="H1063" t="s">
        <v>45</v>
      </c>
      <c r="I1063" t="s">
        <v>24</v>
      </c>
      <c r="J1063" t="s">
        <v>54</v>
      </c>
      <c r="K1063" s="2">
        <v>4.4000000000000004</v>
      </c>
      <c r="L1063" t="s">
        <v>152</v>
      </c>
      <c r="M1063" t="s">
        <v>59</v>
      </c>
      <c r="N1063" t="s">
        <v>40</v>
      </c>
      <c r="O1063" t="s">
        <v>26</v>
      </c>
      <c r="P1063" t="s">
        <v>26</v>
      </c>
      <c r="Q1063" s="3">
        <v>12</v>
      </c>
      <c r="R1063" t="s">
        <v>29</v>
      </c>
      <c r="S1063" t="s">
        <v>97</v>
      </c>
    </row>
    <row r="1064" spans="1:19" x14ac:dyDescent="0.25">
      <c r="A1064">
        <v>1063</v>
      </c>
      <c r="B1064">
        <v>59</v>
      </c>
      <c r="C1064" t="s">
        <v>19</v>
      </c>
      <c r="D1064" t="s">
        <v>137</v>
      </c>
      <c r="E1064" t="s">
        <v>43</v>
      </c>
      <c r="F1064" s="1">
        <v>75</v>
      </c>
      <c r="G1064" t="s">
        <v>123</v>
      </c>
      <c r="H1064" t="s">
        <v>45</v>
      </c>
      <c r="I1064" t="s">
        <v>110</v>
      </c>
      <c r="J1064" t="s">
        <v>58</v>
      </c>
      <c r="K1064" s="2">
        <v>2.6</v>
      </c>
      <c r="L1064" t="s">
        <v>152</v>
      </c>
      <c r="M1064" t="s">
        <v>29</v>
      </c>
      <c r="N1064" t="s">
        <v>47</v>
      </c>
      <c r="O1064" t="s">
        <v>26</v>
      </c>
      <c r="P1064" t="s">
        <v>26</v>
      </c>
      <c r="Q1064" s="3">
        <v>21</v>
      </c>
      <c r="R1064" t="s">
        <v>59</v>
      </c>
      <c r="S1064" t="s">
        <v>97</v>
      </c>
    </row>
    <row r="1065" spans="1:19" x14ac:dyDescent="0.25">
      <c r="A1065">
        <v>1064</v>
      </c>
      <c r="B1065">
        <v>62</v>
      </c>
      <c r="C1065" t="s">
        <v>19</v>
      </c>
      <c r="D1065" t="s">
        <v>104</v>
      </c>
      <c r="E1065" t="s">
        <v>21</v>
      </c>
      <c r="F1065" s="1">
        <v>29</v>
      </c>
      <c r="G1065" t="s">
        <v>90</v>
      </c>
      <c r="H1065" t="s">
        <v>38</v>
      </c>
      <c r="I1065" t="s">
        <v>126</v>
      </c>
      <c r="J1065" t="s">
        <v>54</v>
      </c>
      <c r="K1065" s="2">
        <v>3.3</v>
      </c>
      <c r="L1065" t="s">
        <v>152</v>
      </c>
      <c r="M1065" t="s">
        <v>34</v>
      </c>
      <c r="N1065" t="s">
        <v>40</v>
      </c>
      <c r="O1065" t="s">
        <v>26</v>
      </c>
      <c r="P1065" t="s">
        <v>26</v>
      </c>
      <c r="Q1065" s="3">
        <v>35</v>
      </c>
      <c r="R1065" t="s">
        <v>35</v>
      </c>
      <c r="S1065" t="s">
        <v>88</v>
      </c>
    </row>
    <row r="1066" spans="1:19" x14ac:dyDescent="0.25">
      <c r="A1066">
        <v>1065</v>
      </c>
      <c r="B1066">
        <v>34</v>
      </c>
      <c r="C1066" t="s">
        <v>19</v>
      </c>
      <c r="D1066" t="s">
        <v>124</v>
      </c>
      <c r="E1066" t="s">
        <v>69</v>
      </c>
      <c r="F1066" s="1">
        <v>28</v>
      </c>
      <c r="G1066" t="s">
        <v>52</v>
      </c>
      <c r="H1066" t="s">
        <v>45</v>
      </c>
      <c r="I1066" t="s">
        <v>84</v>
      </c>
      <c r="J1066" t="s">
        <v>39</v>
      </c>
      <c r="K1066" s="2">
        <v>3.5</v>
      </c>
      <c r="L1066" t="s">
        <v>152</v>
      </c>
      <c r="M1066" t="s">
        <v>59</v>
      </c>
      <c r="N1066" t="s">
        <v>28</v>
      </c>
      <c r="O1066" t="s">
        <v>26</v>
      </c>
      <c r="P1066" t="s">
        <v>26</v>
      </c>
      <c r="Q1066" s="3">
        <v>42</v>
      </c>
      <c r="R1066" t="s">
        <v>27</v>
      </c>
      <c r="S1066" t="s">
        <v>97</v>
      </c>
    </row>
    <row r="1067" spans="1:19" x14ac:dyDescent="0.25">
      <c r="A1067">
        <v>1066</v>
      </c>
      <c r="B1067">
        <v>59</v>
      </c>
      <c r="C1067" t="s">
        <v>19</v>
      </c>
      <c r="D1067" t="s">
        <v>113</v>
      </c>
      <c r="E1067" t="s">
        <v>21</v>
      </c>
      <c r="F1067" s="1">
        <v>20</v>
      </c>
      <c r="G1067" t="s">
        <v>90</v>
      </c>
      <c r="H1067" t="s">
        <v>92</v>
      </c>
      <c r="I1067" t="s">
        <v>144</v>
      </c>
      <c r="J1067" t="s">
        <v>39</v>
      </c>
      <c r="K1067" s="2">
        <v>4.0999999999999996</v>
      </c>
      <c r="L1067" t="s">
        <v>152</v>
      </c>
      <c r="M1067" t="s">
        <v>35</v>
      </c>
      <c r="N1067" t="s">
        <v>76</v>
      </c>
      <c r="O1067" t="s">
        <v>26</v>
      </c>
      <c r="P1067" t="s">
        <v>26</v>
      </c>
      <c r="Q1067" s="3">
        <v>3</v>
      </c>
      <c r="R1067" t="s">
        <v>46</v>
      </c>
      <c r="S1067" t="s">
        <v>97</v>
      </c>
    </row>
    <row r="1068" spans="1:19" x14ac:dyDescent="0.25">
      <c r="A1068">
        <v>1067</v>
      </c>
      <c r="B1068">
        <v>49</v>
      </c>
      <c r="C1068" t="s">
        <v>19</v>
      </c>
      <c r="D1068" t="s">
        <v>64</v>
      </c>
      <c r="E1068" t="s">
        <v>65</v>
      </c>
      <c r="F1068" s="1">
        <v>96</v>
      </c>
      <c r="G1068" t="s">
        <v>91</v>
      </c>
      <c r="H1068" t="s">
        <v>45</v>
      </c>
      <c r="I1068" t="s">
        <v>108</v>
      </c>
      <c r="J1068" t="s">
        <v>25</v>
      </c>
      <c r="K1068" s="2">
        <v>4</v>
      </c>
      <c r="L1068" t="s">
        <v>152</v>
      </c>
      <c r="M1068" t="s">
        <v>27</v>
      </c>
      <c r="N1068" t="s">
        <v>76</v>
      </c>
      <c r="O1068" t="s">
        <v>26</v>
      </c>
      <c r="P1068" t="s">
        <v>26</v>
      </c>
      <c r="Q1068" s="3">
        <v>11</v>
      </c>
      <c r="R1068" t="s">
        <v>46</v>
      </c>
      <c r="S1068" t="s">
        <v>77</v>
      </c>
    </row>
    <row r="1069" spans="1:19" x14ac:dyDescent="0.25">
      <c r="A1069">
        <v>1068</v>
      </c>
      <c r="B1069">
        <v>18</v>
      </c>
      <c r="C1069" t="s">
        <v>19</v>
      </c>
      <c r="D1069" t="s">
        <v>82</v>
      </c>
      <c r="E1069" t="s">
        <v>21</v>
      </c>
      <c r="F1069" s="1">
        <v>43</v>
      </c>
      <c r="G1069" t="s">
        <v>138</v>
      </c>
      <c r="H1069" t="s">
        <v>38</v>
      </c>
      <c r="I1069" t="s">
        <v>100</v>
      </c>
      <c r="J1069" t="s">
        <v>54</v>
      </c>
      <c r="K1069" s="2">
        <v>2.7</v>
      </c>
      <c r="L1069" t="s">
        <v>152</v>
      </c>
      <c r="M1069" t="s">
        <v>29</v>
      </c>
      <c r="N1069" t="s">
        <v>72</v>
      </c>
      <c r="O1069" t="s">
        <v>26</v>
      </c>
      <c r="P1069" t="s">
        <v>26</v>
      </c>
      <c r="Q1069" s="3">
        <v>22</v>
      </c>
      <c r="R1069" t="s">
        <v>46</v>
      </c>
      <c r="S1069" t="s">
        <v>60</v>
      </c>
    </row>
    <row r="1070" spans="1:19" x14ac:dyDescent="0.25">
      <c r="A1070">
        <v>1069</v>
      </c>
      <c r="B1070">
        <v>55</v>
      </c>
      <c r="C1070" t="s">
        <v>19</v>
      </c>
      <c r="D1070" t="s">
        <v>56</v>
      </c>
      <c r="E1070" t="s">
        <v>21</v>
      </c>
      <c r="F1070" s="1">
        <v>94</v>
      </c>
      <c r="G1070" t="s">
        <v>52</v>
      </c>
      <c r="H1070" t="s">
        <v>45</v>
      </c>
      <c r="I1070" t="s">
        <v>79</v>
      </c>
      <c r="J1070" t="s">
        <v>58</v>
      </c>
      <c r="K1070" s="2">
        <v>2.5</v>
      </c>
      <c r="L1070" t="s">
        <v>152</v>
      </c>
      <c r="M1070" t="s">
        <v>34</v>
      </c>
      <c r="N1070" t="s">
        <v>55</v>
      </c>
      <c r="O1070" t="s">
        <v>26</v>
      </c>
      <c r="P1070" t="s">
        <v>26</v>
      </c>
      <c r="Q1070" s="3">
        <v>47</v>
      </c>
      <c r="R1070" t="s">
        <v>27</v>
      </c>
      <c r="S1070" t="s">
        <v>41</v>
      </c>
    </row>
    <row r="1071" spans="1:19" x14ac:dyDescent="0.25">
      <c r="A1071">
        <v>1070</v>
      </c>
      <c r="B1071">
        <v>38</v>
      </c>
      <c r="C1071" t="s">
        <v>19</v>
      </c>
      <c r="D1071" t="s">
        <v>87</v>
      </c>
      <c r="E1071" t="s">
        <v>21</v>
      </c>
      <c r="F1071" s="1">
        <v>81</v>
      </c>
      <c r="G1071" t="s">
        <v>128</v>
      </c>
      <c r="H1071" t="s">
        <v>92</v>
      </c>
      <c r="I1071" t="s">
        <v>53</v>
      </c>
      <c r="J1071" t="s">
        <v>58</v>
      </c>
      <c r="K1071" s="2">
        <v>4.3</v>
      </c>
      <c r="L1071" t="s">
        <v>152</v>
      </c>
      <c r="M1071" t="s">
        <v>27</v>
      </c>
      <c r="N1071" t="s">
        <v>47</v>
      </c>
      <c r="O1071" t="s">
        <v>26</v>
      </c>
      <c r="P1071" t="s">
        <v>26</v>
      </c>
      <c r="Q1071" s="3">
        <v>33</v>
      </c>
      <c r="R1071" t="s">
        <v>29</v>
      </c>
      <c r="S1071" t="s">
        <v>97</v>
      </c>
    </row>
    <row r="1072" spans="1:19" x14ac:dyDescent="0.25">
      <c r="A1072">
        <v>1071</v>
      </c>
      <c r="B1072">
        <v>50</v>
      </c>
      <c r="C1072" t="s">
        <v>19</v>
      </c>
      <c r="D1072" t="s">
        <v>106</v>
      </c>
      <c r="E1072" t="s">
        <v>69</v>
      </c>
      <c r="F1072" s="1">
        <v>75</v>
      </c>
      <c r="G1072" t="s">
        <v>98</v>
      </c>
      <c r="H1072" t="s">
        <v>45</v>
      </c>
      <c r="I1072" t="s">
        <v>136</v>
      </c>
      <c r="J1072" t="s">
        <v>54</v>
      </c>
      <c r="K1072" s="2">
        <v>3.3</v>
      </c>
      <c r="L1072" t="s">
        <v>152</v>
      </c>
      <c r="M1072" t="s">
        <v>29</v>
      </c>
      <c r="N1072" t="s">
        <v>40</v>
      </c>
      <c r="O1072" t="s">
        <v>26</v>
      </c>
      <c r="P1072" t="s">
        <v>26</v>
      </c>
      <c r="Q1072" s="3">
        <v>50</v>
      </c>
      <c r="R1072" t="s">
        <v>59</v>
      </c>
      <c r="S1072" t="s">
        <v>41</v>
      </c>
    </row>
    <row r="1073" spans="1:19" x14ac:dyDescent="0.25">
      <c r="A1073">
        <v>1072</v>
      </c>
      <c r="B1073">
        <v>61</v>
      </c>
      <c r="C1073" t="s">
        <v>19</v>
      </c>
      <c r="D1073" t="s">
        <v>124</v>
      </c>
      <c r="E1073" t="s">
        <v>69</v>
      </c>
      <c r="F1073" s="1">
        <v>81</v>
      </c>
      <c r="G1073" t="s">
        <v>138</v>
      </c>
      <c r="H1073" t="s">
        <v>45</v>
      </c>
      <c r="I1073" t="s">
        <v>118</v>
      </c>
      <c r="J1073" t="s">
        <v>54</v>
      </c>
      <c r="K1073" s="2">
        <v>2.6</v>
      </c>
      <c r="L1073" t="s">
        <v>152</v>
      </c>
      <c r="M1073" t="s">
        <v>35</v>
      </c>
      <c r="N1073" t="s">
        <v>28</v>
      </c>
      <c r="O1073" t="s">
        <v>26</v>
      </c>
      <c r="P1073" t="s">
        <v>26</v>
      </c>
      <c r="Q1073" s="3">
        <v>46</v>
      </c>
      <c r="R1073" t="s">
        <v>27</v>
      </c>
      <c r="S1073" t="s">
        <v>88</v>
      </c>
    </row>
    <row r="1074" spans="1:19" x14ac:dyDescent="0.25">
      <c r="A1074">
        <v>1073</v>
      </c>
      <c r="B1074">
        <v>48</v>
      </c>
      <c r="C1074" t="s">
        <v>19</v>
      </c>
      <c r="D1074" t="s">
        <v>61</v>
      </c>
      <c r="E1074" t="s">
        <v>21</v>
      </c>
      <c r="F1074" s="1">
        <v>92</v>
      </c>
      <c r="G1074" t="s">
        <v>135</v>
      </c>
      <c r="H1074" t="s">
        <v>23</v>
      </c>
      <c r="I1074" t="s">
        <v>81</v>
      </c>
      <c r="J1074" t="s">
        <v>58</v>
      </c>
      <c r="K1074" s="2">
        <v>3.5</v>
      </c>
      <c r="L1074" t="s">
        <v>152</v>
      </c>
      <c r="M1074" t="s">
        <v>34</v>
      </c>
      <c r="N1074" t="s">
        <v>28</v>
      </c>
      <c r="O1074" t="s">
        <v>26</v>
      </c>
      <c r="P1074" t="s">
        <v>26</v>
      </c>
      <c r="Q1074" s="3">
        <v>34</v>
      </c>
      <c r="R1074" t="s">
        <v>59</v>
      </c>
      <c r="S1074" t="s">
        <v>30</v>
      </c>
    </row>
    <row r="1075" spans="1:19" x14ac:dyDescent="0.25">
      <c r="A1075">
        <v>1074</v>
      </c>
      <c r="B1075">
        <v>22</v>
      </c>
      <c r="C1075" t="s">
        <v>19</v>
      </c>
      <c r="D1075" t="s">
        <v>119</v>
      </c>
      <c r="E1075" t="s">
        <v>69</v>
      </c>
      <c r="F1075" s="1">
        <v>96</v>
      </c>
      <c r="G1075" t="s">
        <v>99</v>
      </c>
      <c r="H1075" t="s">
        <v>92</v>
      </c>
      <c r="I1075" t="s">
        <v>75</v>
      </c>
      <c r="J1075" t="s">
        <v>39</v>
      </c>
      <c r="K1075" s="2">
        <v>4</v>
      </c>
      <c r="L1075" t="s">
        <v>152</v>
      </c>
      <c r="M1075" t="s">
        <v>35</v>
      </c>
      <c r="N1075" t="s">
        <v>76</v>
      </c>
      <c r="O1075" t="s">
        <v>26</v>
      </c>
      <c r="P1075" t="s">
        <v>26</v>
      </c>
      <c r="Q1075" s="3">
        <v>33</v>
      </c>
      <c r="R1075" t="s">
        <v>27</v>
      </c>
      <c r="S1075" t="s">
        <v>88</v>
      </c>
    </row>
    <row r="1076" spans="1:19" x14ac:dyDescent="0.25">
      <c r="A1076">
        <v>1075</v>
      </c>
      <c r="B1076">
        <v>48</v>
      </c>
      <c r="C1076" t="s">
        <v>19</v>
      </c>
      <c r="D1076" t="s">
        <v>106</v>
      </c>
      <c r="E1076" t="s">
        <v>69</v>
      </c>
      <c r="F1076" s="1">
        <v>71</v>
      </c>
      <c r="G1076" t="s">
        <v>122</v>
      </c>
      <c r="H1076" t="s">
        <v>38</v>
      </c>
      <c r="I1076" t="s">
        <v>53</v>
      </c>
      <c r="J1076" t="s">
        <v>58</v>
      </c>
      <c r="K1076" s="2">
        <v>2.6</v>
      </c>
      <c r="L1076" t="s">
        <v>152</v>
      </c>
      <c r="M1076" t="s">
        <v>46</v>
      </c>
      <c r="N1076" t="s">
        <v>55</v>
      </c>
      <c r="O1076" t="s">
        <v>26</v>
      </c>
      <c r="P1076" t="s">
        <v>26</v>
      </c>
      <c r="Q1076" s="3">
        <v>45</v>
      </c>
      <c r="R1076" t="s">
        <v>34</v>
      </c>
      <c r="S1076" t="s">
        <v>30</v>
      </c>
    </row>
    <row r="1077" spans="1:19" x14ac:dyDescent="0.25">
      <c r="A1077">
        <v>1076</v>
      </c>
      <c r="B1077">
        <v>57</v>
      </c>
      <c r="C1077" t="s">
        <v>19</v>
      </c>
      <c r="D1077" t="s">
        <v>89</v>
      </c>
      <c r="E1077" t="s">
        <v>69</v>
      </c>
      <c r="F1077" s="1">
        <v>50</v>
      </c>
      <c r="G1077" t="s">
        <v>70</v>
      </c>
      <c r="H1077" t="s">
        <v>23</v>
      </c>
      <c r="I1077" t="s">
        <v>126</v>
      </c>
      <c r="J1077" t="s">
        <v>54</v>
      </c>
      <c r="K1077" s="2">
        <v>4.9000000000000004</v>
      </c>
      <c r="L1077" t="s">
        <v>152</v>
      </c>
      <c r="M1077" t="s">
        <v>59</v>
      </c>
      <c r="N1077" t="s">
        <v>47</v>
      </c>
      <c r="O1077" t="s">
        <v>26</v>
      </c>
      <c r="P1077" t="s">
        <v>26</v>
      </c>
      <c r="Q1077" s="3">
        <v>32</v>
      </c>
      <c r="R1077" t="s">
        <v>59</v>
      </c>
      <c r="S1077" t="s">
        <v>77</v>
      </c>
    </row>
    <row r="1078" spans="1:19" x14ac:dyDescent="0.25">
      <c r="A1078">
        <v>1077</v>
      </c>
      <c r="B1078">
        <v>33</v>
      </c>
      <c r="C1078" t="s">
        <v>19</v>
      </c>
      <c r="D1078" t="s">
        <v>64</v>
      </c>
      <c r="E1078" t="s">
        <v>65</v>
      </c>
      <c r="F1078" s="1">
        <v>72</v>
      </c>
      <c r="G1078" t="s">
        <v>114</v>
      </c>
      <c r="H1078" t="s">
        <v>23</v>
      </c>
      <c r="I1078" t="s">
        <v>63</v>
      </c>
      <c r="J1078" t="s">
        <v>39</v>
      </c>
      <c r="K1078" s="2">
        <v>2.9</v>
      </c>
      <c r="L1078" t="s">
        <v>152</v>
      </c>
      <c r="M1078" t="s">
        <v>34</v>
      </c>
      <c r="N1078" t="s">
        <v>55</v>
      </c>
      <c r="O1078" t="s">
        <v>26</v>
      </c>
      <c r="P1078" t="s">
        <v>26</v>
      </c>
      <c r="Q1078" s="3">
        <v>47</v>
      </c>
      <c r="R1078" t="s">
        <v>29</v>
      </c>
      <c r="S1078" t="s">
        <v>77</v>
      </c>
    </row>
    <row r="1079" spans="1:19" x14ac:dyDescent="0.25">
      <c r="A1079">
        <v>1078</v>
      </c>
      <c r="B1079">
        <v>58</v>
      </c>
      <c r="C1079" t="s">
        <v>19</v>
      </c>
      <c r="D1079" t="s">
        <v>102</v>
      </c>
      <c r="E1079" t="s">
        <v>65</v>
      </c>
      <c r="F1079" s="1">
        <v>28</v>
      </c>
      <c r="G1079" t="s">
        <v>66</v>
      </c>
      <c r="H1079" t="s">
        <v>45</v>
      </c>
      <c r="I1079" t="s">
        <v>71</v>
      </c>
      <c r="J1079" t="s">
        <v>25</v>
      </c>
      <c r="K1079" s="2">
        <v>3.7</v>
      </c>
      <c r="L1079" t="s">
        <v>152</v>
      </c>
      <c r="M1079" t="s">
        <v>35</v>
      </c>
      <c r="N1079" t="s">
        <v>55</v>
      </c>
      <c r="O1079" t="s">
        <v>26</v>
      </c>
      <c r="P1079" t="s">
        <v>26</v>
      </c>
      <c r="Q1079" s="3">
        <v>5</v>
      </c>
      <c r="R1079" t="s">
        <v>46</v>
      </c>
      <c r="S1079" t="s">
        <v>60</v>
      </c>
    </row>
    <row r="1080" spans="1:19" x14ac:dyDescent="0.25">
      <c r="A1080">
        <v>1079</v>
      </c>
      <c r="B1080">
        <v>37</v>
      </c>
      <c r="C1080" t="s">
        <v>19</v>
      </c>
      <c r="D1080" t="s">
        <v>31</v>
      </c>
      <c r="E1080" t="s">
        <v>21</v>
      </c>
      <c r="F1080" s="1">
        <v>59</v>
      </c>
      <c r="G1080" t="s">
        <v>117</v>
      </c>
      <c r="H1080" t="s">
        <v>45</v>
      </c>
      <c r="I1080" t="s">
        <v>67</v>
      </c>
      <c r="J1080" t="s">
        <v>58</v>
      </c>
      <c r="K1080" s="2">
        <v>4.4000000000000004</v>
      </c>
      <c r="L1080" t="s">
        <v>152</v>
      </c>
      <c r="M1080" t="s">
        <v>35</v>
      </c>
      <c r="N1080" t="s">
        <v>28</v>
      </c>
      <c r="O1080" t="s">
        <v>26</v>
      </c>
      <c r="P1080" t="s">
        <v>26</v>
      </c>
      <c r="Q1080" s="3">
        <v>49</v>
      </c>
      <c r="R1080" t="s">
        <v>27</v>
      </c>
      <c r="S1080" t="s">
        <v>30</v>
      </c>
    </row>
    <row r="1081" spans="1:19" x14ac:dyDescent="0.25">
      <c r="A1081">
        <v>1080</v>
      </c>
      <c r="B1081">
        <v>18</v>
      </c>
      <c r="C1081" t="s">
        <v>19</v>
      </c>
      <c r="D1081" t="s">
        <v>64</v>
      </c>
      <c r="E1081" t="s">
        <v>65</v>
      </c>
      <c r="F1081" s="1">
        <v>33</v>
      </c>
      <c r="G1081" t="s">
        <v>101</v>
      </c>
      <c r="H1081" t="s">
        <v>38</v>
      </c>
      <c r="I1081" t="s">
        <v>144</v>
      </c>
      <c r="J1081" t="s">
        <v>54</v>
      </c>
      <c r="K1081" s="2">
        <v>4.4000000000000004</v>
      </c>
      <c r="L1081" t="s">
        <v>152</v>
      </c>
      <c r="M1081" t="s">
        <v>34</v>
      </c>
      <c r="N1081" t="s">
        <v>40</v>
      </c>
      <c r="O1081" t="s">
        <v>26</v>
      </c>
      <c r="P1081" t="s">
        <v>26</v>
      </c>
      <c r="Q1081" s="3">
        <v>48</v>
      </c>
      <c r="R1081" t="s">
        <v>34</v>
      </c>
      <c r="S1081" t="s">
        <v>88</v>
      </c>
    </row>
    <row r="1082" spans="1:19" x14ac:dyDescent="0.25">
      <c r="A1082">
        <v>1081</v>
      </c>
      <c r="B1082">
        <v>65</v>
      </c>
      <c r="C1082" t="s">
        <v>19</v>
      </c>
      <c r="D1082" t="s">
        <v>119</v>
      </c>
      <c r="E1082" t="s">
        <v>69</v>
      </c>
      <c r="F1082" s="1">
        <v>59</v>
      </c>
      <c r="G1082" t="s">
        <v>138</v>
      </c>
      <c r="H1082" t="s">
        <v>23</v>
      </c>
      <c r="I1082" t="s">
        <v>144</v>
      </c>
      <c r="J1082" t="s">
        <v>58</v>
      </c>
      <c r="K1082" s="2">
        <v>3.8</v>
      </c>
      <c r="L1082" t="s">
        <v>152</v>
      </c>
      <c r="M1082" t="s">
        <v>34</v>
      </c>
      <c r="N1082" t="s">
        <v>28</v>
      </c>
      <c r="O1082" t="s">
        <v>26</v>
      </c>
      <c r="P1082" t="s">
        <v>26</v>
      </c>
      <c r="Q1082" s="3">
        <v>22</v>
      </c>
      <c r="R1082" t="s">
        <v>35</v>
      </c>
      <c r="S1082" t="s">
        <v>97</v>
      </c>
    </row>
    <row r="1083" spans="1:19" x14ac:dyDescent="0.25">
      <c r="A1083">
        <v>1082</v>
      </c>
      <c r="B1083">
        <v>62</v>
      </c>
      <c r="C1083" t="s">
        <v>19</v>
      </c>
      <c r="D1083" t="s">
        <v>133</v>
      </c>
      <c r="E1083" t="s">
        <v>69</v>
      </c>
      <c r="F1083" s="1">
        <v>30</v>
      </c>
      <c r="G1083" t="s">
        <v>135</v>
      </c>
      <c r="H1083" t="s">
        <v>92</v>
      </c>
      <c r="I1083" t="s">
        <v>110</v>
      </c>
      <c r="J1083" t="s">
        <v>39</v>
      </c>
      <c r="K1083" s="2">
        <v>4.5</v>
      </c>
      <c r="L1083" t="s">
        <v>152</v>
      </c>
      <c r="M1083" t="s">
        <v>35</v>
      </c>
      <c r="N1083" t="s">
        <v>55</v>
      </c>
      <c r="O1083" t="s">
        <v>26</v>
      </c>
      <c r="P1083" t="s">
        <v>26</v>
      </c>
      <c r="Q1083" s="3">
        <v>45</v>
      </c>
      <c r="R1083" t="s">
        <v>27</v>
      </c>
      <c r="S1083" t="s">
        <v>50</v>
      </c>
    </row>
    <row r="1084" spans="1:19" x14ac:dyDescent="0.25">
      <c r="A1084">
        <v>1083</v>
      </c>
      <c r="B1084">
        <v>54</v>
      </c>
      <c r="C1084" t="s">
        <v>19</v>
      </c>
      <c r="D1084" t="s">
        <v>124</v>
      </c>
      <c r="E1084" t="s">
        <v>69</v>
      </c>
      <c r="F1084" s="1">
        <v>85</v>
      </c>
      <c r="G1084" t="s">
        <v>131</v>
      </c>
      <c r="H1084" t="s">
        <v>92</v>
      </c>
      <c r="I1084" t="s">
        <v>109</v>
      </c>
      <c r="J1084" t="s">
        <v>25</v>
      </c>
      <c r="K1084" s="2">
        <v>2.6</v>
      </c>
      <c r="L1084" t="s">
        <v>152</v>
      </c>
      <c r="M1084" t="s">
        <v>46</v>
      </c>
      <c r="N1084" t="s">
        <v>47</v>
      </c>
      <c r="O1084" t="s">
        <v>26</v>
      </c>
      <c r="P1084" t="s">
        <v>26</v>
      </c>
      <c r="Q1084" s="3">
        <v>30</v>
      </c>
      <c r="R1084" t="s">
        <v>29</v>
      </c>
      <c r="S1084" t="s">
        <v>60</v>
      </c>
    </row>
    <row r="1085" spans="1:19" x14ac:dyDescent="0.25">
      <c r="A1085">
        <v>1084</v>
      </c>
      <c r="B1085">
        <v>35</v>
      </c>
      <c r="C1085" t="s">
        <v>19</v>
      </c>
      <c r="D1085" t="s">
        <v>132</v>
      </c>
      <c r="E1085" t="s">
        <v>69</v>
      </c>
      <c r="F1085" s="1">
        <v>97</v>
      </c>
      <c r="G1085" t="s">
        <v>149</v>
      </c>
      <c r="H1085" t="s">
        <v>23</v>
      </c>
      <c r="I1085" t="s">
        <v>86</v>
      </c>
      <c r="J1085" t="s">
        <v>54</v>
      </c>
      <c r="K1085" s="2">
        <v>3.3</v>
      </c>
      <c r="L1085" t="s">
        <v>152</v>
      </c>
      <c r="M1085" t="s">
        <v>27</v>
      </c>
      <c r="N1085" t="s">
        <v>76</v>
      </c>
      <c r="O1085" t="s">
        <v>26</v>
      </c>
      <c r="P1085" t="s">
        <v>26</v>
      </c>
      <c r="Q1085" s="3">
        <v>43</v>
      </c>
      <c r="R1085" t="s">
        <v>35</v>
      </c>
      <c r="S1085" t="s">
        <v>41</v>
      </c>
    </row>
    <row r="1086" spans="1:19" x14ac:dyDescent="0.25">
      <c r="A1086">
        <v>1085</v>
      </c>
      <c r="B1086">
        <v>34</v>
      </c>
      <c r="C1086" t="s">
        <v>19</v>
      </c>
      <c r="D1086" t="s">
        <v>113</v>
      </c>
      <c r="E1086" t="s">
        <v>21</v>
      </c>
      <c r="F1086" s="1">
        <v>36</v>
      </c>
      <c r="G1086" t="s">
        <v>74</v>
      </c>
      <c r="H1086" t="s">
        <v>38</v>
      </c>
      <c r="I1086" t="s">
        <v>75</v>
      </c>
      <c r="J1086" t="s">
        <v>58</v>
      </c>
      <c r="K1086" s="2">
        <v>4.0999999999999996</v>
      </c>
      <c r="L1086" t="s">
        <v>152</v>
      </c>
      <c r="M1086" t="s">
        <v>27</v>
      </c>
      <c r="N1086" t="s">
        <v>47</v>
      </c>
      <c r="O1086" t="s">
        <v>26</v>
      </c>
      <c r="P1086" t="s">
        <v>26</v>
      </c>
      <c r="Q1086" s="3">
        <v>48</v>
      </c>
      <c r="R1086" t="s">
        <v>35</v>
      </c>
      <c r="S1086" t="s">
        <v>60</v>
      </c>
    </row>
    <row r="1087" spans="1:19" x14ac:dyDescent="0.25">
      <c r="A1087">
        <v>1086</v>
      </c>
      <c r="B1087">
        <v>25</v>
      </c>
      <c r="C1087" t="s">
        <v>19</v>
      </c>
      <c r="D1087" t="s">
        <v>106</v>
      </c>
      <c r="E1087" t="s">
        <v>69</v>
      </c>
      <c r="F1087" s="1">
        <v>85</v>
      </c>
      <c r="G1087" t="s">
        <v>140</v>
      </c>
      <c r="H1087" t="s">
        <v>45</v>
      </c>
      <c r="I1087" t="s">
        <v>49</v>
      </c>
      <c r="J1087" t="s">
        <v>25</v>
      </c>
      <c r="K1087" s="2">
        <v>3</v>
      </c>
      <c r="L1087" t="s">
        <v>152</v>
      </c>
      <c r="M1087" t="s">
        <v>46</v>
      </c>
      <c r="N1087" t="s">
        <v>76</v>
      </c>
      <c r="O1087" t="s">
        <v>26</v>
      </c>
      <c r="P1087" t="s">
        <v>26</v>
      </c>
      <c r="Q1087" s="3">
        <v>23</v>
      </c>
      <c r="R1087" t="s">
        <v>29</v>
      </c>
      <c r="S1087" t="s">
        <v>30</v>
      </c>
    </row>
    <row r="1088" spans="1:19" x14ac:dyDescent="0.25">
      <c r="A1088">
        <v>1087</v>
      </c>
      <c r="B1088">
        <v>53</v>
      </c>
      <c r="C1088" t="s">
        <v>19</v>
      </c>
      <c r="D1088" t="s">
        <v>89</v>
      </c>
      <c r="E1088" t="s">
        <v>69</v>
      </c>
      <c r="F1088" s="1">
        <v>62</v>
      </c>
      <c r="G1088" t="s">
        <v>120</v>
      </c>
      <c r="H1088" t="s">
        <v>45</v>
      </c>
      <c r="I1088" t="s">
        <v>79</v>
      </c>
      <c r="J1088" t="s">
        <v>25</v>
      </c>
      <c r="K1088" s="2">
        <v>3</v>
      </c>
      <c r="L1088" t="s">
        <v>152</v>
      </c>
      <c r="M1088" t="s">
        <v>46</v>
      </c>
      <c r="N1088" t="s">
        <v>40</v>
      </c>
      <c r="O1088" t="s">
        <v>26</v>
      </c>
      <c r="P1088" t="s">
        <v>26</v>
      </c>
      <c r="Q1088" s="3">
        <v>27</v>
      </c>
      <c r="R1088" t="s">
        <v>46</v>
      </c>
      <c r="S1088" t="s">
        <v>77</v>
      </c>
    </row>
    <row r="1089" spans="1:19" x14ac:dyDescent="0.25">
      <c r="A1089">
        <v>1088</v>
      </c>
      <c r="B1089">
        <v>45</v>
      </c>
      <c r="C1089" t="s">
        <v>19</v>
      </c>
      <c r="D1089" t="s">
        <v>36</v>
      </c>
      <c r="E1089" t="s">
        <v>21</v>
      </c>
      <c r="F1089" s="1">
        <v>71</v>
      </c>
      <c r="G1089" t="s">
        <v>66</v>
      </c>
      <c r="H1089" t="s">
        <v>38</v>
      </c>
      <c r="I1089" t="s">
        <v>53</v>
      </c>
      <c r="J1089" t="s">
        <v>25</v>
      </c>
      <c r="K1089" s="2">
        <v>3.4</v>
      </c>
      <c r="L1089" t="s">
        <v>152</v>
      </c>
      <c r="M1089" t="s">
        <v>46</v>
      </c>
      <c r="N1089" t="s">
        <v>47</v>
      </c>
      <c r="O1089" t="s">
        <v>26</v>
      </c>
      <c r="P1089" t="s">
        <v>26</v>
      </c>
      <c r="Q1089" s="3">
        <v>7</v>
      </c>
      <c r="R1089" t="s">
        <v>34</v>
      </c>
      <c r="S1089" t="s">
        <v>88</v>
      </c>
    </row>
    <row r="1090" spans="1:19" x14ac:dyDescent="0.25">
      <c r="A1090">
        <v>1089</v>
      </c>
      <c r="B1090">
        <v>49</v>
      </c>
      <c r="C1090" t="s">
        <v>19</v>
      </c>
      <c r="D1090" t="s">
        <v>95</v>
      </c>
      <c r="E1090" t="s">
        <v>21</v>
      </c>
      <c r="F1090" s="1">
        <v>21</v>
      </c>
      <c r="G1090" t="s">
        <v>62</v>
      </c>
      <c r="H1090" t="s">
        <v>45</v>
      </c>
      <c r="I1090" t="s">
        <v>49</v>
      </c>
      <c r="J1090" t="s">
        <v>25</v>
      </c>
      <c r="K1090" s="2">
        <v>2.7</v>
      </c>
      <c r="L1090" t="s">
        <v>152</v>
      </c>
      <c r="M1090" t="s">
        <v>34</v>
      </c>
      <c r="N1090" t="s">
        <v>40</v>
      </c>
      <c r="O1090" t="s">
        <v>26</v>
      </c>
      <c r="P1090" t="s">
        <v>26</v>
      </c>
      <c r="Q1090" s="3">
        <v>2</v>
      </c>
      <c r="R1090" t="s">
        <v>46</v>
      </c>
      <c r="S1090" t="s">
        <v>41</v>
      </c>
    </row>
    <row r="1091" spans="1:19" x14ac:dyDescent="0.25">
      <c r="A1091">
        <v>1090</v>
      </c>
      <c r="B1091">
        <v>40</v>
      </c>
      <c r="C1091" t="s">
        <v>19</v>
      </c>
      <c r="D1091" t="s">
        <v>132</v>
      </c>
      <c r="E1091" t="s">
        <v>69</v>
      </c>
      <c r="F1091" s="1">
        <v>61</v>
      </c>
      <c r="G1091" t="s">
        <v>117</v>
      </c>
      <c r="H1091" t="s">
        <v>45</v>
      </c>
      <c r="I1091" t="s">
        <v>67</v>
      </c>
      <c r="J1091" t="s">
        <v>39</v>
      </c>
      <c r="K1091" s="2">
        <v>3.8</v>
      </c>
      <c r="L1091" t="s">
        <v>152</v>
      </c>
      <c r="M1091" t="s">
        <v>59</v>
      </c>
      <c r="N1091" t="s">
        <v>47</v>
      </c>
      <c r="O1091" t="s">
        <v>26</v>
      </c>
      <c r="P1091" t="s">
        <v>26</v>
      </c>
      <c r="Q1091" s="3">
        <v>33</v>
      </c>
      <c r="R1091" t="s">
        <v>46</v>
      </c>
      <c r="S1091" t="s">
        <v>77</v>
      </c>
    </row>
    <row r="1092" spans="1:19" x14ac:dyDescent="0.25">
      <c r="A1092">
        <v>1091</v>
      </c>
      <c r="B1092">
        <v>38</v>
      </c>
      <c r="C1092" t="s">
        <v>19</v>
      </c>
      <c r="D1092" t="s">
        <v>119</v>
      </c>
      <c r="E1092" t="s">
        <v>69</v>
      </c>
      <c r="F1092" s="1">
        <v>58</v>
      </c>
      <c r="G1092" t="s">
        <v>139</v>
      </c>
      <c r="H1092" t="s">
        <v>45</v>
      </c>
      <c r="I1092" t="s">
        <v>84</v>
      </c>
      <c r="J1092" t="s">
        <v>39</v>
      </c>
      <c r="K1092" s="2">
        <v>4.2</v>
      </c>
      <c r="L1092" t="s">
        <v>152</v>
      </c>
      <c r="M1092" t="s">
        <v>34</v>
      </c>
      <c r="N1092" t="s">
        <v>76</v>
      </c>
      <c r="O1092" t="s">
        <v>26</v>
      </c>
      <c r="P1092" t="s">
        <v>26</v>
      </c>
      <c r="Q1092" s="3">
        <v>27</v>
      </c>
      <c r="R1092" t="s">
        <v>35</v>
      </c>
      <c r="S1092" t="s">
        <v>30</v>
      </c>
    </row>
    <row r="1093" spans="1:19" x14ac:dyDescent="0.25">
      <c r="A1093">
        <v>1092</v>
      </c>
      <c r="B1093">
        <v>44</v>
      </c>
      <c r="C1093" t="s">
        <v>19</v>
      </c>
      <c r="D1093" t="s">
        <v>31</v>
      </c>
      <c r="E1093" t="s">
        <v>21</v>
      </c>
      <c r="F1093" s="1">
        <v>80</v>
      </c>
      <c r="G1093" t="s">
        <v>98</v>
      </c>
      <c r="H1093" t="s">
        <v>23</v>
      </c>
      <c r="I1093" t="s">
        <v>93</v>
      </c>
      <c r="J1093" t="s">
        <v>39</v>
      </c>
      <c r="K1093" s="2">
        <v>4.7</v>
      </c>
      <c r="L1093" t="s">
        <v>152</v>
      </c>
      <c r="M1093" t="s">
        <v>35</v>
      </c>
      <c r="N1093" t="s">
        <v>76</v>
      </c>
      <c r="O1093" t="s">
        <v>26</v>
      </c>
      <c r="P1093" t="s">
        <v>26</v>
      </c>
      <c r="Q1093" s="3">
        <v>6</v>
      </c>
      <c r="R1093" t="s">
        <v>27</v>
      </c>
      <c r="S1093" t="s">
        <v>30</v>
      </c>
    </row>
    <row r="1094" spans="1:19" x14ac:dyDescent="0.25">
      <c r="A1094">
        <v>1093</v>
      </c>
      <c r="B1094">
        <v>68</v>
      </c>
      <c r="C1094" t="s">
        <v>19</v>
      </c>
      <c r="D1094" t="s">
        <v>106</v>
      </c>
      <c r="E1094" t="s">
        <v>69</v>
      </c>
      <c r="F1094" s="1">
        <v>50</v>
      </c>
      <c r="G1094" t="s">
        <v>147</v>
      </c>
      <c r="H1094" t="s">
        <v>23</v>
      </c>
      <c r="I1094" t="s">
        <v>136</v>
      </c>
      <c r="J1094" t="s">
        <v>39</v>
      </c>
      <c r="K1094" s="2">
        <v>4.0999999999999996</v>
      </c>
      <c r="L1094" t="s">
        <v>152</v>
      </c>
      <c r="M1094" t="s">
        <v>27</v>
      </c>
      <c r="N1094" t="s">
        <v>72</v>
      </c>
      <c r="O1094" t="s">
        <v>26</v>
      </c>
      <c r="P1094" t="s">
        <v>26</v>
      </c>
      <c r="Q1094" s="3">
        <v>20</v>
      </c>
      <c r="R1094" t="s">
        <v>29</v>
      </c>
      <c r="S1094" t="s">
        <v>60</v>
      </c>
    </row>
    <row r="1095" spans="1:19" x14ac:dyDescent="0.25">
      <c r="A1095">
        <v>1094</v>
      </c>
      <c r="B1095">
        <v>60</v>
      </c>
      <c r="C1095" t="s">
        <v>19</v>
      </c>
      <c r="D1095" t="s">
        <v>51</v>
      </c>
      <c r="E1095" t="s">
        <v>43</v>
      </c>
      <c r="F1095" s="1">
        <v>48</v>
      </c>
      <c r="G1095" t="s">
        <v>80</v>
      </c>
      <c r="H1095" t="s">
        <v>38</v>
      </c>
      <c r="I1095" t="s">
        <v>126</v>
      </c>
      <c r="J1095" t="s">
        <v>25</v>
      </c>
      <c r="K1095" s="2">
        <v>4.2</v>
      </c>
      <c r="L1095" t="s">
        <v>152</v>
      </c>
      <c r="M1095" t="s">
        <v>46</v>
      </c>
      <c r="N1095" t="s">
        <v>72</v>
      </c>
      <c r="O1095" t="s">
        <v>26</v>
      </c>
      <c r="P1095" t="s">
        <v>26</v>
      </c>
      <c r="Q1095" s="3">
        <v>46</v>
      </c>
      <c r="R1095" t="s">
        <v>29</v>
      </c>
      <c r="S1095" t="s">
        <v>97</v>
      </c>
    </row>
    <row r="1096" spans="1:19" x14ac:dyDescent="0.25">
      <c r="A1096">
        <v>1095</v>
      </c>
      <c r="B1096">
        <v>25</v>
      </c>
      <c r="C1096" t="s">
        <v>19</v>
      </c>
      <c r="D1096" t="s">
        <v>106</v>
      </c>
      <c r="E1096" t="s">
        <v>69</v>
      </c>
      <c r="F1096" s="1">
        <v>40</v>
      </c>
      <c r="G1096" t="s">
        <v>139</v>
      </c>
      <c r="H1096" t="s">
        <v>45</v>
      </c>
      <c r="I1096" t="s">
        <v>94</v>
      </c>
      <c r="J1096" t="s">
        <v>25</v>
      </c>
      <c r="K1096" s="2">
        <v>4.8</v>
      </c>
      <c r="L1096" t="s">
        <v>152</v>
      </c>
      <c r="M1096" t="s">
        <v>27</v>
      </c>
      <c r="N1096" t="s">
        <v>47</v>
      </c>
      <c r="O1096" t="s">
        <v>26</v>
      </c>
      <c r="P1096" t="s">
        <v>26</v>
      </c>
      <c r="Q1096" s="3">
        <v>25</v>
      </c>
      <c r="R1096" t="s">
        <v>35</v>
      </c>
      <c r="S1096" t="s">
        <v>60</v>
      </c>
    </row>
    <row r="1097" spans="1:19" x14ac:dyDescent="0.25">
      <c r="A1097">
        <v>1096</v>
      </c>
      <c r="B1097">
        <v>19</v>
      </c>
      <c r="C1097" t="s">
        <v>19</v>
      </c>
      <c r="D1097" t="s">
        <v>64</v>
      </c>
      <c r="E1097" t="s">
        <v>65</v>
      </c>
      <c r="F1097" s="1">
        <v>34</v>
      </c>
      <c r="G1097" t="s">
        <v>122</v>
      </c>
      <c r="H1097" t="s">
        <v>38</v>
      </c>
      <c r="I1097" t="s">
        <v>100</v>
      </c>
      <c r="J1097" t="s">
        <v>54</v>
      </c>
      <c r="K1097" s="2">
        <v>3</v>
      </c>
      <c r="L1097" t="s">
        <v>152</v>
      </c>
      <c r="M1097" t="s">
        <v>59</v>
      </c>
      <c r="N1097" t="s">
        <v>40</v>
      </c>
      <c r="O1097" t="s">
        <v>26</v>
      </c>
      <c r="P1097" t="s">
        <v>26</v>
      </c>
      <c r="Q1097" s="3">
        <v>30</v>
      </c>
      <c r="R1097" t="s">
        <v>34</v>
      </c>
      <c r="S1097" t="s">
        <v>60</v>
      </c>
    </row>
    <row r="1098" spans="1:19" x14ac:dyDescent="0.25">
      <c r="A1098">
        <v>1097</v>
      </c>
      <c r="B1098">
        <v>57</v>
      </c>
      <c r="C1098" t="s">
        <v>19</v>
      </c>
      <c r="D1098" t="s">
        <v>64</v>
      </c>
      <c r="E1098" t="s">
        <v>65</v>
      </c>
      <c r="F1098" s="1">
        <v>46</v>
      </c>
      <c r="G1098" t="s">
        <v>83</v>
      </c>
      <c r="H1098" t="s">
        <v>38</v>
      </c>
      <c r="I1098" t="s">
        <v>118</v>
      </c>
      <c r="J1098" t="s">
        <v>58</v>
      </c>
      <c r="K1098" s="2">
        <v>2.6</v>
      </c>
      <c r="L1098" t="s">
        <v>152</v>
      </c>
      <c r="M1098" t="s">
        <v>27</v>
      </c>
      <c r="N1098" t="s">
        <v>55</v>
      </c>
      <c r="O1098" t="s">
        <v>26</v>
      </c>
      <c r="P1098" t="s">
        <v>26</v>
      </c>
      <c r="Q1098" s="3">
        <v>48</v>
      </c>
      <c r="R1098" t="s">
        <v>27</v>
      </c>
      <c r="S1098" t="s">
        <v>50</v>
      </c>
    </row>
    <row r="1099" spans="1:19" x14ac:dyDescent="0.25">
      <c r="A1099">
        <v>1098</v>
      </c>
      <c r="B1099">
        <v>58</v>
      </c>
      <c r="C1099" t="s">
        <v>19</v>
      </c>
      <c r="D1099" t="s">
        <v>89</v>
      </c>
      <c r="E1099" t="s">
        <v>69</v>
      </c>
      <c r="F1099" s="1">
        <v>27</v>
      </c>
      <c r="G1099" t="s">
        <v>129</v>
      </c>
      <c r="H1099" t="s">
        <v>45</v>
      </c>
      <c r="I1099" t="s">
        <v>94</v>
      </c>
      <c r="J1099" t="s">
        <v>54</v>
      </c>
      <c r="K1099" s="2">
        <v>3.2</v>
      </c>
      <c r="L1099" t="s">
        <v>152</v>
      </c>
      <c r="M1099" t="s">
        <v>29</v>
      </c>
      <c r="N1099" t="s">
        <v>76</v>
      </c>
      <c r="O1099" t="s">
        <v>26</v>
      </c>
      <c r="P1099" t="s">
        <v>26</v>
      </c>
      <c r="Q1099" s="3">
        <v>47</v>
      </c>
      <c r="R1099" t="s">
        <v>34</v>
      </c>
      <c r="S1099" t="s">
        <v>41</v>
      </c>
    </row>
    <row r="1100" spans="1:19" x14ac:dyDescent="0.25">
      <c r="A1100">
        <v>1099</v>
      </c>
      <c r="B1100">
        <v>49</v>
      </c>
      <c r="C1100" t="s">
        <v>19</v>
      </c>
      <c r="D1100" t="s">
        <v>68</v>
      </c>
      <c r="E1100" t="s">
        <v>69</v>
      </c>
      <c r="F1100" s="1">
        <v>98</v>
      </c>
      <c r="G1100" t="s">
        <v>135</v>
      </c>
      <c r="H1100" t="s">
        <v>38</v>
      </c>
      <c r="I1100" t="s">
        <v>49</v>
      </c>
      <c r="J1100" t="s">
        <v>39</v>
      </c>
      <c r="K1100" s="2">
        <v>3.6</v>
      </c>
      <c r="L1100" t="s">
        <v>152</v>
      </c>
      <c r="M1100" t="s">
        <v>46</v>
      </c>
      <c r="N1100" t="s">
        <v>47</v>
      </c>
      <c r="O1100" t="s">
        <v>26</v>
      </c>
      <c r="P1100" t="s">
        <v>26</v>
      </c>
      <c r="Q1100" s="3">
        <v>27</v>
      </c>
      <c r="R1100" t="s">
        <v>27</v>
      </c>
      <c r="S1100" t="s">
        <v>41</v>
      </c>
    </row>
    <row r="1101" spans="1:19" x14ac:dyDescent="0.25">
      <c r="A1101">
        <v>1100</v>
      </c>
      <c r="B1101">
        <v>19</v>
      </c>
      <c r="C1101" t="s">
        <v>19</v>
      </c>
      <c r="D1101" t="s">
        <v>31</v>
      </c>
      <c r="E1101" t="s">
        <v>21</v>
      </c>
      <c r="F1101" s="1">
        <v>73</v>
      </c>
      <c r="G1101" t="s">
        <v>98</v>
      </c>
      <c r="H1101" t="s">
        <v>45</v>
      </c>
      <c r="I1101" t="s">
        <v>100</v>
      </c>
      <c r="J1101" t="s">
        <v>58</v>
      </c>
      <c r="K1101" s="2">
        <v>2.6</v>
      </c>
      <c r="L1101" t="s">
        <v>152</v>
      </c>
      <c r="M1101" t="s">
        <v>35</v>
      </c>
      <c r="N1101" t="s">
        <v>47</v>
      </c>
      <c r="O1101" t="s">
        <v>26</v>
      </c>
      <c r="P1101" t="s">
        <v>26</v>
      </c>
      <c r="Q1101" s="3">
        <v>45</v>
      </c>
      <c r="R1101" t="s">
        <v>34</v>
      </c>
      <c r="S1101" t="s">
        <v>30</v>
      </c>
    </row>
    <row r="1102" spans="1:19" x14ac:dyDescent="0.25">
      <c r="A1102">
        <v>1101</v>
      </c>
      <c r="B1102">
        <v>50</v>
      </c>
      <c r="C1102" t="s">
        <v>19</v>
      </c>
      <c r="D1102" t="s">
        <v>95</v>
      </c>
      <c r="E1102" t="s">
        <v>21</v>
      </c>
      <c r="F1102" s="1">
        <v>28</v>
      </c>
      <c r="G1102" t="s">
        <v>107</v>
      </c>
      <c r="H1102" t="s">
        <v>23</v>
      </c>
      <c r="I1102" t="s">
        <v>81</v>
      </c>
      <c r="J1102" t="s">
        <v>39</v>
      </c>
      <c r="K1102" s="2">
        <v>4.4000000000000004</v>
      </c>
      <c r="L1102" t="s">
        <v>152</v>
      </c>
      <c r="M1102" t="s">
        <v>59</v>
      </c>
      <c r="N1102" t="s">
        <v>28</v>
      </c>
      <c r="O1102" t="s">
        <v>26</v>
      </c>
      <c r="P1102" t="s">
        <v>26</v>
      </c>
      <c r="Q1102" s="3">
        <v>2</v>
      </c>
      <c r="R1102" t="s">
        <v>27</v>
      </c>
      <c r="S1102" t="s">
        <v>41</v>
      </c>
    </row>
    <row r="1103" spans="1:19" x14ac:dyDescent="0.25">
      <c r="A1103">
        <v>1102</v>
      </c>
      <c r="B1103">
        <v>30</v>
      </c>
      <c r="C1103" t="s">
        <v>19</v>
      </c>
      <c r="D1103" t="s">
        <v>143</v>
      </c>
      <c r="E1103" t="s">
        <v>69</v>
      </c>
      <c r="F1103" s="1">
        <v>76</v>
      </c>
      <c r="G1103" t="s">
        <v>80</v>
      </c>
      <c r="H1103" t="s">
        <v>92</v>
      </c>
      <c r="I1103" t="s">
        <v>67</v>
      </c>
      <c r="J1103" t="s">
        <v>58</v>
      </c>
      <c r="K1103" s="2">
        <v>3</v>
      </c>
      <c r="L1103" t="s">
        <v>152</v>
      </c>
      <c r="M1103" t="s">
        <v>35</v>
      </c>
      <c r="N1103" t="s">
        <v>40</v>
      </c>
      <c r="O1103" t="s">
        <v>26</v>
      </c>
      <c r="P1103" t="s">
        <v>26</v>
      </c>
      <c r="Q1103" s="3">
        <v>39</v>
      </c>
      <c r="R1103" t="s">
        <v>35</v>
      </c>
      <c r="S1103" t="s">
        <v>30</v>
      </c>
    </row>
    <row r="1104" spans="1:19" x14ac:dyDescent="0.25">
      <c r="A1104">
        <v>1103</v>
      </c>
      <c r="B1104">
        <v>52</v>
      </c>
      <c r="C1104" t="s">
        <v>19</v>
      </c>
      <c r="D1104" t="s">
        <v>31</v>
      </c>
      <c r="E1104" t="s">
        <v>21</v>
      </c>
      <c r="F1104" s="1">
        <v>83</v>
      </c>
      <c r="G1104" t="s">
        <v>105</v>
      </c>
      <c r="H1104" t="s">
        <v>45</v>
      </c>
      <c r="I1104" t="s">
        <v>100</v>
      </c>
      <c r="J1104" t="s">
        <v>58</v>
      </c>
      <c r="K1104" s="2">
        <v>2.9</v>
      </c>
      <c r="L1104" t="s">
        <v>152</v>
      </c>
      <c r="M1104" t="s">
        <v>27</v>
      </c>
      <c r="N1104" t="s">
        <v>28</v>
      </c>
      <c r="O1104" t="s">
        <v>26</v>
      </c>
      <c r="P1104" t="s">
        <v>26</v>
      </c>
      <c r="Q1104" s="3">
        <v>24</v>
      </c>
      <c r="R1104" t="s">
        <v>35</v>
      </c>
      <c r="S1104" t="s">
        <v>30</v>
      </c>
    </row>
    <row r="1105" spans="1:19" x14ac:dyDescent="0.25">
      <c r="A1105">
        <v>1104</v>
      </c>
      <c r="B1105">
        <v>35</v>
      </c>
      <c r="C1105" t="s">
        <v>19</v>
      </c>
      <c r="D1105" t="s">
        <v>104</v>
      </c>
      <c r="E1105" t="s">
        <v>21</v>
      </c>
      <c r="F1105" s="1">
        <v>23</v>
      </c>
      <c r="G1105" t="s">
        <v>122</v>
      </c>
      <c r="H1105" t="s">
        <v>38</v>
      </c>
      <c r="I1105" t="s">
        <v>63</v>
      </c>
      <c r="J1105" t="s">
        <v>39</v>
      </c>
      <c r="K1105" s="2">
        <v>4.3</v>
      </c>
      <c r="L1105" t="s">
        <v>152</v>
      </c>
      <c r="M1105" t="s">
        <v>59</v>
      </c>
      <c r="N1105" t="s">
        <v>40</v>
      </c>
      <c r="O1105" t="s">
        <v>26</v>
      </c>
      <c r="P1105" t="s">
        <v>26</v>
      </c>
      <c r="Q1105" s="3">
        <v>8</v>
      </c>
      <c r="R1105" t="s">
        <v>59</v>
      </c>
      <c r="S1105" t="s">
        <v>77</v>
      </c>
    </row>
    <row r="1106" spans="1:19" x14ac:dyDescent="0.25">
      <c r="A1106">
        <v>1105</v>
      </c>
      <c r="B1106">
        <v>35</v>
      </c>
      <c r="C1106" t="s">
        <v>19</v>
      </c>
      <c r="D1106" t="s">
        <v>124</v>
      </c>
      <c r="E1106" t="s">
        <v>69</v>
      </c>
      <c r="F1106" s="1">
        <v>28</v>
      </c>
      <c r="G1106" t="s">
        <v>80</v>
      </c>
      <c r="H1106" t="s">
        <v>45</v>
      </c>
      <c r="I1106" t="s">
        <v>118</v>
      </c>
      <c r="J1106" t="s">
        <v>58</v>
      </c>
      <c r="K1106" s="2">
        <v>3.1</v>
      </c>
      <c r="L1106" t="s">
        <v>152</v>
      </c>
      <c r="M1106" t="s">
        <v>34</v>
      </c>
      <c r="N1106" t="s">
        <v>28</v>
      </c>
      <c r="O1106" t="s">
        <v>26</v>
      </c>
      <c r="P1106" t="s">
        <v>26</v>
      </c>
      <c r="Q1106" s="3">
        <v>8</v>
      </c>
      <c r="R1106" t="s">
        <v>34</v>
      </c>
      <c r="S1106" t="s">
        <v>60</v>
      </c>
    </row>
    <row r="1107" spans="1:19" x14ac:dyDescent="0.25">
      <c r="A1107">
        <v>1106</v>
      </c>
      <c r="B1107">
        <v>33</v>
      </c>
      <c r="C1107" t="s">
        <v>19</v>
      </c>
      <c r="D1107" t="s">
        <v>113</v>
      </c>
      <c r="E1107" t="s">
        <v>21</v>
      </c>
      <c r="F1107" s="1">
        <v>83</v>
      </c>
      <c r="G1107" t="s">
        <v>37</v>
      </c>
      <c r="H1107" t="s">
        <v>38</v>
      </c>
      <c r="I1107" t="s">
        <v>79</v>
      </c>
      <c r="J1107" t="s">
        <v>39</v>
      </c>
      <c r="K1107" s="2">
        <v>3</v>
      </c>
      <c r="L1107" t="s">
        <v>152</v>
      </c>
      <c r="M1107" t="s">
        <v>27</v>
      </c>
      <c r="N1107" t="s">
        <v>47</v>
      </c>
      <c r="O1107" t="s">
        <v>26</v>
      </c>
      <c r="P1107" t="s">
        <v>26</v>
      </c>
      <c r="Q1107" s="3">
        <v>6</v>
      </c>
      <c r="R1107" t="s">
        <v>29</v>
      </c>
      <c r="S1107" t="s">
        <v>97</v>
      </c>
    </row>
    <row r="1108" spans="1:19" x14ac:dyDescent="0.25">
      <c r="A1108">
        <v>1107</v>
      </c>
      <c r="B1108">
        <v>52</v>
      </c>
      <c r="C1108" t="s">
        <v>19</v>
      </c>
      <c r="D1108" t="s">
        <v>87</v>
      </c>
      <c r="E1108" t="s">
        <v>21</v>
      </c>
      <c r="F1108" s="1">
        <v>96</v>
      </c>
      <c r="G1108" t="s">
        <v>148</v>
      </c>
      <c r="H1108" t="s">
        <v>23</v>
      </c>
      <c r="I1108" t="s">
        <v>84</v>
      </c>
      <c r="J1108" t="s">
        <v>25</v>
      </c>
      <c r="K1108" s="2">
        <v>3.6</v>
      </c>
      <c r="L1108" t="s">
        <v>152</v>
      </c>
      <c r="M1108" t="s">
        <v>27</v>
      </c>
      <c r="N1108" t="s">
        <v>76</v>
      </c>
      <c r="O1108" t="s">
        <v>26</v>
      </c>
      <c r="P1108" t="s">
        <v>26</v>
      </c>
      <c r="Q1108" s="3">
        <v>12</v>
      </c>
      <c r="R1108" t="s">
        <v>29</v>
      </c>
      <c r="S1108" t="s">
        <v>30</v>
      </c>
    </row>
    <row r="1109" spans="1:19" x14ac:dyDescent="0.25">
      <c r="A1109">
        <v>1108</v>
      </c>
      <c r="B1109">
        <v>69</v>
      </c>
      <c r="C1109" t="s">
        <v>19</v>
      </c>
      <c r="D1109" t="s">
        <v>51</v>
      </c>
      <c r="E1109" t="s">
        <v>43</v>
      </c>
      <c r="F1109" s="1">
        <v>62</v>
      </c>
      <c r="G1109" t="s">
        <v>105</v>
      </c>
      <c r="H1109" t="s">
        <v>45</v>
      </c>
      <c r="I1109" t="s">
        <v>100</v>
      </c>
      <c r="J1109" t="s">
        <v>58</v>
      </c>
      <c r="K1109" s="2">
        <v>2.8</v>
      </c>
      <c r="L1109" t="s">
        <v>152</v>
      </c>
      <c r="M1109" t="s">
        <v>29</v>
      </c>
      <c r="N1109" t="s">
        <v>76</v>
      </c>
      <c r="O1109" t="s">
        <v>26</v>
      </c>
      <c r="P1109" t="s">
        <v>26</v>
      </c>
      <c r="Q1109" s="3">
        <v>26</v>
      </c>
      <c r="R1109" t="s">
        <v>34</v>
      </c>
      <c r="S1109" t="s">
        <v>41</v>
      </c>
    </row>
    <row r="1110" spans="1:19" x14ac:dyDescent="0.25">
      <c r="A1110">
        <v>1109</v>
      </c>
      <c r="B1110">
        <v>27</v>
      </c>
      <c r="C1110" t="s">
        <v>19</v>
      </c>
      <c r="D1110" t="s">
        <v>61</v>
      </c>
      <c r="E1110" t="s">
        <v>21</v>
      </c>
      <c r="F1110" s="1">
        <v>25</v>
      </c>
      <c r="G1110" t="s">
        <v>145</v>
      </c>
      <c r="H1110" t="s">
        <v>45</v>
      </c>
      <c r="I1110" t="s">
        <v>86</v>
      </c>
      <c r="J1110" t="s">
        <v>58</v>
      </c>
      <c r="K1110" s="2">
        <v>2.8</v>
      </c>
      <c r="L1110" t="s">
        <v>152</v>
      </c>
      <c r="M1110" t="s">
        <v>29</v>
      </c>
      <c r="N1110" t="s">
        <v>55</v>
      </c>
      <c r="O1110" t="s">
        <v>26</v>
      </c>
      <c r="P1110" t="s">
        <v>26</v>
      </c>
      <c r="Q1110" s="3">
        <v>50</v>
      </c>
      <c r="R1110" t="s">
        <v>35</v>
      </c>
      <c r="S1110" t="s">
        <v>30</v>
      </c>
    </row>
    <row r="1111" spans="1:19" x14ac:dyDescent="0.25">
      <c r="A1111">
        <v>1110</v>
      </c>
      <c r="B1111">
        <v>66</v>
      </c>
      <c r="C1111" t="s">
        <v>19</v>
      </c>
      <c r="D1111" t="s">
        <v>104</v>
      </c>
      <c r="E1111" t="s">
        <v>21</v>
      </c>
      <c r="F1111" s="1">
        <v>97</v>
      </c>
      <c r="G1111" t="s">
        <v>101</v>
      </c>
      <c r="H1111" t="s">
        <v>23</v>
      </c>
      <c r="I1111" t="s">
        <v>84</v>
      </c>
      <c r="J1111" t="s">
        <v>25</v>
      </c>
      <c r="K1111" s="2">
        <v>4.9000000000000004</v>
      </c>
      <c r="L1111" t="s">
        <v>152</v>
      </c>
      <c r="M1111" t="s">
        <v>59</v>
      </c>
      <c r="N1111" t="s">
        <v>47</v>
      </c>
      <c r="O1111" t="s">
        <v>26</v>
      </c>
      <c r="P1111" t="s">
        <v>26</v>
      </c>
      <c r="Q1111" s="3">
        <v>2</v>
      </c>
      <c r="R1111" t="s">
        <v>29</v>
      </c>
      <c r="S1111" t="s">
        <v>41</v>
      </c>
    </row>
    <row r="1112" spans="1:19" x14ac:dyDescent="0.25">
      <c r="A1112">
        <v>1111</v>
      </c>
      <c r="B1112">
        <v>28</v>
      </c>
      <c r="C1112" t="s">
        <v>19</v>
      </c>
      <c r="D1112" t="s">
        <v>104</v>
      </c>
      <c r="E1112" t="s">
        <v>21</v>
      </c>
      <c r="F1112" s="1">
        <v>61</v>
      </c>
      <c r="G1112" t="s">
        <v>105</v>
      </c>
      <c r="H1112" t="s">
        <v>23</v>
      </c>
      <c r="I1112" t="s">
        <v>109</v>
      </c>
      <c r="J1112" t="s">
        <v>58</v>
      </c>
      <c r="K1112" s="2">
        <v>3</v>
      </c>
      <c r="L1112" t="s">
        <v>152</v>
      </c>
      <c r="M1112" t="s">
        <v>59</v>
      </c>
      <c r="N1112" t="s">
        <v>55</v>
      </c>
      <c r="O1112" t="s">
        <v>26</v>
      </c>
      <c r="P1112" t="s">
        <v>26</v>
      </c>
      <c r="Q1112" s="3">
        <v>31</v>
      </c>
      <c r="R1112" t="s">
        <v>35</v>
      </c>
      <c r="S1112" t="s">
        <v>77</v>
      </c>
    </row>
    <row r="1113" spans="1:19" x14ac:dyDescent="0.25">
      <c r="A1113">
        <v>1112</v>
      </c>
      <c r="B1113">
        <v>22</v>
      </c>
      <c r="C1113" t="s">
        <v>19</v>
      </c>
      <c r="D1113" t="s">
        <v>73</v>
      </c>
      <c r="E1113" t="s">
        <v>43</v>
      </c>
      <c r="F1113" s="1">
        <v>66</v>
      </c>
      <c r="G1113" t="s">
        <v>85</v>
      </c>
      <c r="H1113" t="s">
        <v>38</v>
      </c>
      <c r="I1113" t="s">
        <v>79</v>
      </c>
      <c r="J1113" t="s">
        <v>54</v>
      </c>
      <c r="K1113" s="2">
        <v>4.0999999999999996</v>
      </c>
      <c r="L1113" t="s">
        <v>152</v>
      </c>
      <c r="M1113" t="s">
        <v>34</v>
      </c>
      <c r="N1113" t="s">
        <v>47</v>
      </c>
      <c r="O1113" t="s">
        <v>26</v>
      </c>
      <c r="P1113" t="s">
        <v>26</v>
      </c>
      <c r="Q1113" s="3">
        <v>4</v>
      </c>
      <c r="R1113" t="s">
        <v>27</v>
      </c>
      <c r="S1113" t="s">
        <v>77</v>
      </c>
    </row>
    <row r="1114" spans="1:19" x14ac:dyDescent="0.25">
      <c r="A1114">
        <v>1113</v>
      </c>
      <c r="B1114">
        <v>69</v>
      </c>
      <c r="C1114" t="s">
        <v>19</v>
      </c>
      <c r="D1114" t="s">
        <v>104</v>
      </c>
      <c r="E1114" t="s">
        <v>21</v>
      </c>
      <c r="F1114" s="1">
        <v>67</v>
      </c>
      <c r="G1114" t="s">
        <v>149</v>
      </c>
      <c r="H1114" t="s">
        <v>92</v>
      </c>
      <c r="I1114" t="s">
        <v>71</v>
      </c>
      <c r="J1114" t="s">
        <v>39</v>
      </c>
      <c r="K1114" s="2">
        <v>4.5999999999999996</v>
      </c>
      <c r="L1114" t="s">
        <v>152</v>
      </c>
      <c r="M1114" t="s">
        <v>27</v>
      </c>
      <c r="N1114" t="s">
        <v>40</v>
      </c>
      <c r="O1114" t="s">
        <v>26</v>
      </c>
      <c r="P1114" t="s">
        <v>26</v>
      </c>
      <c r="Q1114" s="3">
        <v>32</v>
      </c>
      <c r="R1114" t="s">
        <v>46</v>
      </c>
      <c r="S1114" t="s">
        <v>60</v>
      </c>
    </row>
    <row r="1115" spans="1:19" x14ac:dyDescent="0.25">
      <c r="A1115">
        <v>1114</v>
      </c>
      <c r="B1115">
        <v>28</v>
      </c>
      <c r="C1115" t="s">
        <v>19</v>
      </c>
      <c r="D1115" t="s">
        <v>89</v>
      </c>
      <c r="E1115" t="s">
        <v>69</v>
      </c>
      <c r="F1115" s="1">
        <v>80</v>
      </c>
      <c r="G1115" t="s">
        <v>128</v>
      </c>
      <c r="H1115" t="s">
        <v>45</v>
      </c>
      <c r="I1115" t="s">
        <v>75</v>
      </c>
      <c r="J1115" t="s">
        <v>54</v>
      </c>
      <c r="K1115" s="2">
        <v>4.8</v>
      </c>
      <c r="L1115" t="s">
        <v>152</v>
      </c>
      <c r="M1115" t="s">
        <v>35</v>
      </c>
      <c r="N1115" t="s">
        <v>47</v>
      </c>
      <c r="O1115" t="s">
        <v>26</v>
      </c>
      <c r="P1115" t="s">
        <v>26</v>
      </c>
      <c r="Q1115" s="3">
        <v>11</v>
      </c>
      <c r="R1115" t="s">
        <v>46</v>
      </c>
      <c r="S1115" t="s">
        <v>77</v>
      </c>
    </row>
    <row r="1116" spans="1:19" x14ac:dyDescent="0.25">
      <c r="A1116">
        <v>1115</v>
      </c>
      <c r="B1116">
        <v>55</v>
      </c>
      <c r="C1116" t="s">
        <v>19</v>
      </c>
      <c r="D1116" t="s">
        <v>87</v>
      </c>
      <c r="E1116" t="s">
        <v>21</v>
      </c>
      <c r="F1116" s="1">
        <v>25</v>
      </c>
      <c r="G1116" t="s">
        <v>83</v>
      </c>
      <c r="H1116" t="s">
        <v>23</v>
      </c>
      <c r="I1116" t="s">
        <v>84</v>
      </c>
      <c r="J1116" t="s">
        <v>58</v>
      </c>
      <c r="K1116" s="2">
        <v>2.6</v>
      </c>
      <c r="L1116" t="s">
        <v>152</v>
      </c>
      <c r="M1116" t="s">
        <v>35</v>
      </c>
      <c r="N1116" t="s">
        <v>47</v>
      </c>
      <c r="O1116" t="s">
        <v>26</v>
      </c>
      <c r="P1116" t="s">
        <v>26</v>
      </c>
      <c r="Q1116" s="3">
        <v>47</v>
      </c>
      <c r="R1116" t="s">
        <v>34</v>
      </c>
      <c r="S1116" t="s">
        <v>97</v>
      </c>
    </row>
    <row r="1117" spans="1:19" x14ac:dyDescent="0.25">
      <c r="A1117">
        <v>1116</v>
      </c>
      <c r="B1117">
        <v>30</v>
      </c>
      <c r="C1117" t="s">
        <v>19</v>
      </c>
      <c r="D1117" t="s">
        <v>124</v>
      </c>
      <c r="E1117" t="s">
        <v>69</v>
      </c>
      <c r="F1117" s="1">
        <v>58</v>
      </c>
      <c r="G1117" t="s">
        <v>85</v>
      </c>
      <c r="H1117" t="s">
        <v>38</v>
      </c>
      <c r="I1117" t="s">
        <v>100</v>
      </c>
      <c r="J1117" t="s">
        <v>58</v>
      </c>
      <c r="K1117" s="2">
        <v>4</v>
      </c>
      <c r="L1117" t="s">
        <v>152</v>
      </c>
      <c r="M1117" t="s">
        <v>34</v>
      </c>
      <c r="N1117" t="s">
        <v>72</v>
      </c>
      <c r="O1117" t="s">
        <v>26</v>
      </c>
      <c r="P1117" t="s">
        <v>26</v>
      </c>
      <c r="Q1117" s="3">
        <v>37</v>
      </c>
      <c r="R1117" t="s">
        <v>35</v>
      </c>
      <c r="S1117" t="s">
        <v>41</v>
      </c>
    </row>
    <row r="1118" spans="1:19" x14ac:dyDescent="0.25">
      <c r="A1118">
        <v>1117</v>
      </c>
      <c r="B1118">
        <v>67</v>
      </c>
      <c r="C1118" t="s">
        <v>19</v>
      </c>
      <c r="D1118" t="s">
        <v>132</v>
      </c>
      <c r="E1118" t="s">
        <v>69</v>
      </c>
      <c r="F1118" s="1">
        <v>96</v>
      </c>
      <c r="G1118" t="s">
        <v>78</v>
      </c>
      <c r="H1118" t="s">
        <v>45</v>
      </c>
      <c r="I1118" t="s">
        <v>63</v>
      </c>
      <c r="J1118" t="s">
        <v>25</v>
      </c>
      <c r="K1118" s="2">
        <v>4.2</v>
      </c>
      <c r="L1118" t="s">
        <v>152</v>
      </c>
      <c r="M1118" t="s">
        <v>29</v>
      </c>
      <c r="N1118" t="s">
        <v>28</v>
      </c>
      <c r="O1118" t="s">
        <v>26</v>
      </c>
      <c r="P1118" t="s">
        <v>26</v>
      </c>
      <c r="Q1118" s="3">
        <v>39</v>
      </c>
      <c r="R1118" t="s">
        <v>46</v>
      </c>
      <c r="S1118" t="s">
        <v>30</v>
      </c>
    </row>
    <row r="1119" spans="1:19" x14ac:dyDescent="0.25">
      <c r="A1119">
        <v>1118</v>
      </c>
      <c r="B1119">
        <v>25</v>
      </c>
      <c r="C1119" t="s">
        <v>19</v>
      </c>
      <c r="D1119" t="s">
        <v>89</v>
      </c>
      <c r="E1119" t="s">
        <v>69</v>
      </c>
      <c r="F1119" s="1">
        <v>77</v>
      </c>
      <c r="G1119" t="s">
        <v>99</v>
      </c>
      <c r="H1119" t="s">
        <v>23</v>
      </c>
      <c r="I1119" t="s">
        <v>93</v>
      </c>
      <c r="J1119" t="s">
        <v>39</v>
      </c>
      <c r="K1119" s="2">
        <v>4.5</v>
      </c>
      <c r="L1119" t="s">
        <v>152</v>
      </c>
      <c r="M1119" t="s">
        <v>46</v>
      </c>
      <c r="N1119" t="s">
        <v>76</v>
      </c>
      <c r="O1119" t="s">
        <v>26</v>
      </c>
      <c r="P1119" t="s">
        <v>26</v>
      </c>
      <c r="Q1119" s="3">
        <v>24</v>
      </c>
      <c r="R1119" t="s">
        <v>27</v>
      </c>
      <c r="S1119" t="s">
        <v>88</v>
      </c>
    </row>
    <row r="1120" spans="1:19" x14ac:dyDescent="0.25">
      <c r="A1120">
        <v>1119</v>
      </c>
      <c r="B1120">
        <v>49</v>
      </c>
      <c r="C1120" t="s">
        <v>19</v>
      </c>
      <c r="D1120" t="s">
        <v>133</v>
      </c>
      <c r="E1120" t="s">
        <v>69</v>
      </c>
      <c r="F1120" s="1">
        <v>65</v>
      </c>
      <c r="G1120" t="s">
        <v>116</v>
      </c>
      <c r="H1120" t="s">
        <v>45</v>
      </c>
      <c r="I1120" t="s">
        <v>75</v>
      </c>
      <c r="J1120" t="s">
        <v>54</v>
      </c>
      <c r="K1120" s="2">
        <v>4.9000000000000004</v>
      </c>
      <c r="L1120" t="s">
        <v>152</v>
      </c>
      <c r="M1120" t="s">
        <v>59</v>
      </c>
      <c r="N1120" t="s">
        <v>55</v>
      </c>
      <c r="O1120" t="s">
        <v>26</v>
      </c>
      <c r="P1120" t="s">
        <v>26</v>
      </c>
      <c r="Q1120" s="3">
        <v>11</v>
      </c>
      <c r="R1120" t="s">
        <v>46</v>
      </c>
      <c r="S1120" t="s">
        <v>97</v>
      </c>
    </row>
    <row r="1121" spans="1:19" x14ac:dyDescent="0.25">
      <c r="A1121">
        <v>1120</v>
      </c>
      <c r="B1121">
        <v>34</v>
      </c>
      <c r="C1121" t="s">
        <v>19</v>
      </c>
      <c r="D1121" t="s">
        <v>106</v>
      </c>
      <c r="E1121" t="s">
        <v>69</v>
      </c>
      <c r="F1121" s="1">
        <v>36</v>
      </c>
      <c r="G1121" t="s">
        <v>62</v>
      </c>
      <c r="H1121" t="s">
        <v>45</v>
      </c>
      <c r="I1121" t="s">
        <v>126</v>
      </c>
      <c r="J1121" t="s">
        <v>39</v>
      </c>
      <c r="K1121" s="2">
        <v>3.1</v>
      </c>
      <c r="L1121" t="s">
        <v>152</v>
      </c>
      <c r="M1121" t="s">
        <v>29</v>
      </c>
      <c r="N1121" t="s">
        <v>55</v>
      </c>
      <c r="O1121" t="s">
        <v>26</v>
      </c>
      <c r="P1121" t="s">
        <v>26</v>
      </c>
      <c r="Q1121" s="3">
        <v>36</v>
      </c>
      <c r="R1121" t="s">
        <v>27</v>
      </c>
      <c r="S1121" t="s">
        <v>41</v>
      </c>
    </row>
    <row r="1122" spans="1:19" x14ac:dyDescent="0.25">
      <c r="A1122">
        <v>1121</v>
      </c>
      <c r="B1122">
        <v>22</v>
      </c>
      <c r="C1122" t="s">
        <v>19</v>
      </c>
      <c r="D1122" t="s">
        <v>51</v>
      </c>
      <c r="E1122" t="s">
        <v>43</v>
      </c>
      <c r="F1122" s="1">
        <v>84</v>
      </c>
      <c r="G1122" t="s">
        <v>138</v>
      </c>
      <c r="H1122" t="s">
        <v>45</v>
      </c>
      <c r="I1122" t="s">
        <v>136</v>
      </c>
      <c r="J1122" t="s">
        <v>25</v>
      </c>
      <c r="K1122" s="2">
        <v>4</v>
      </c>
      <c r="L1122" t="s">
        <v>152</v>
      </c>
      <c r="M1122" t="s">
        <v>29</v>
      </c>
      <c r="N1122" t="s">
        <v>47</v>
      </c>
      <c r="O1122" t="s">
        <v>26</v>
      </c>
      <c r="P1122" t="s">
        <v>26</v>
      </c>
      <c r="Q1122" s="3">
        <v>40</v>
      </c>
      <c r="R1122" t="s">
        <v>59</v>
      </c>
      <c r="S1122" t="s">
        <v>88</v>
      </c>
    </row>
    <row r="1123" spans="1:19" x14ac:dyDescent="0.25">
      <c r="A1123">
        <v>1122</v>
      </c>
      <c r="B1123">
        <v>63</v>
      </c>
      <c r="C1123" t="s">
        <v>19</v>
      </c>
      <c r="D1123" t="s">
        <v>113</v>
      </c>
      <c r="E1123" t="s">
        <v>21</v>
      </c>
      <c r="F1123" s="1">
        <v>58</v>
      </c>
      <c r="G1123" t="s">
        <v>103</v>
      </c>
      <c r="H1123" t="s">
        <v>92</v>
      </c>
      <c r="I1123" t="s">
        <v>100</v>
      </c>
      <c r="J1123" t="s">
        <v>58</v>
      </c>
      <c r="K1123" s="2">
        <v>3.2</v>
      </c>
      <c r="L1123" t="s">
        <v>152</v>
      </c>
      <c r="M1123" t="s">
        <v>35</v>
      </c>
      <c r="N1123" t="s">
        <v>28</v>
      </c>
      <c r="O1123" t="s">
        <v>26</v>
      </c>
      <c r="P1123" t="s">
        <v>26</v>
      </c>
      <c r="Q1123" s="3">
        <v>25</v>
      </c>
      <c r="R1123" t="s">
        <v>35</v>
      </c>
      <c r="S1123" t="s">
        <v>60</v>
      </c>
    </row>
    <row r="1124" spans="1:19" x14ac:dyDescent="0.25">
      <c r="A1124">
        <v>1123</v>
      </c>
      <c r="B1124">
        <v>70</v>
      </c>
      <c r="C1124" t="s">
        <v>19</v>
      </c>
      <c r="D1124" t="s">
        <v>68</v>
      </c>
      <c r="E1124" t="s">
        <v>69</v>
      </c>
      <c r="F1124" s="1">
        <v>62</v>
      </c>
      <c r="G1124" t="s">
        <v>98</v>
      </c>
      <c r="H1124" t="s">
        <v>38</v>
      </c>
      <c r="I1124" t="s">
        <v>63</v>
      </c>
      <c r="J1124" t="s">
        <v>39</v>
      </c>
      <c r="K1124" s="2">
        <v>4.3</v>
      </c>
      <c r="L1124" t="s">
        <v>152</v>
      </c>
      <c r="M1124" t="s">
        <v>46</v>
      </c>
      <c r="N1124" t="s">
        <v>72</v>
      </c>
      <c r="O1124" t="s">
        <v>26</v>
      </c>
      <c r="P1124" t="s">
        <v>26</v>
      </c>
      <c r="Q1124" s="3">
        <v>12</v>
      </c>
      <c r="R1124" t="s">
        <v>27</v>
      </c>
      <c r="S1124" t="s">
        <v>50</v>
      </c>
    </row>
    <row r="1125" spans="1:19" x14ac:dyDescent="0.25">
      <c r="A1125">
        <v>1124</v>
      </c>
      <c r="B1125">
        <v>36</v>
      </c>
      <c r="C1125" t="s">
        <v>19</v>
      </c>
      <c r="D1125" t="s">
        <v>124</v>
      </c>
      <c r="E1125" t="s">
        <v>69</v>
      </c>
      <c r="F1125" s="1">
        <v>67</v>
      </c>
      <c r="G1125" t="s">
        <v>37</v>
      </c>
      <c r="H1125" t="s">
        <v>38</v>
      </c>
      <c r="I1125" t="s">
        <v>75</v>
      </c>
      <c r="J1125" t="s">
        <v>58</v>
      </c>
      <c r="K1125" s="2">
        <v>2.5</v>
      </c>
      <c r="L1125" t="s">
        <v>152</v>
      </c>
      <c r="M1125" t="s">
        <v>59</v>
      </c>
      <c r="N1125" t="s">
        <v>76</v>
      </c>
      <c r="O1125" t="s">
        <v>26</v>
      </c>
      <c r="P1125" t="s">
        <v>26</v>
      </c>
      <c r="Q1125" s="3">
        <v>38</v>
      </c>
      <c r="R1125" t="s">
        <v>35</v>
      </c>
      <c r="S1125" t="s">
        <v>88</v>
      </c>
    </row>
    <row r="1126" spans="1:19" x14ac:dyDescent="0.25">
      <c r="A1126">
        <v>1125</v>
      </c>
      <c r="B1126">
        <v>42</v>
      </c>
      <c r="C1126" t="s">
        <v>19</v>
      </c>
      <c r="D1126" t="s">
        <v>31</v>
      </c>
      <c r="E1126" t="s">
        <v>21</v>
      </c>
      <c r="F1126" s="1">
        <v>20</v>
      </c>
      <c r="G1126" t="s">
        <v>146</v>
      </c>
      <c r="H1126" t="s">
        <v>45</v>
      </c>
      <c r="I1126" t="s">
        <v>121</v>
      </c>
      <c r="J1126" t="s">
        <v>39</v>
      </c>
      <c r="K1126" s="2">
        <v>4.9000000000000004</v>
      </c>
      <c r="L1126" t="s">
        <v>152</v>
      </c>
      <c r="M1126" t="s">
        <v>59</v>
      </c>
      <c r="N1126" t="s">
        <v>28</v>
      </c>
      <c r="O1126" t="s">
        <v>26</v>
      </c>
      <c r="P1126" t="s">
        <v>26</v>
      </c>
      <c r="Q1126" s="3">
        <v>40</v>
      </c>
      <c r="R1126" t="s">
        <v>35</v>
      </c>
      <c r="S1126" t="s">
        <v>60</v>
      </c>
    </row>
    <row r="1127" spans="1:19" x14ac:dyDescent="0.25">
      <c r="A1127">
        <v>1126</v>
      </c>
      <c r="B1127">
        <v>27</v>
      </c>
      <c r="C1127" t="s">
        <v>19</v>
      </c>
      <c r="D1127" t="s">
        <v>42</v>
      </c>
      <c r="E1127" t="s">
        <v>43</v>
      </c>
      <c r="F1127" s="1">
        <v>90</v>
      </c>
      <c r="G1127" t="s">
        <v>114</v>
      </c>
      <c r="H1127" t="s">
        <v>45</v>
      </c>
      <c r="I1127" t="s">
        <v>93</v>
      </c>
      <c r="J1127" t="s">
        <v>54</v>
      </c>
      <c r="K1127" s="2">
        <v>2.7</v>
      </c>
      <c r="L1127" t="s">
        <v>152</v>
      </c>
      <c r="M1127" t="s">
        <v>59</v>
      </c>
      <c r="N1127" t="s">
        <v>72</v>
      </c>
      <c r="O1127" t="s">
        <v>26</v>
      </c>
      <c r="P1127" t="s">
        <v>26</v>
      </c>
      <c r="Q1127" s="3">
        <v>10</v>
      </c>
      <c r="R1127" t="s">
        <v>34</v>
      </c>
      <c r="S1127" t="s">
        <v>41</v>
      </c>
    </row>
    <row r="1128" spans="1:19" x14ac:dyDescent="0.25">
      <c r="A1128">
        <v>1127</v>
      </c>
      <c r="B1128">
        <v>23</v>
      </c>
      <c r="C1128" t="s">
        <v>19</v>
      </c>
      <c r="D1128" t="s">
        <v>119</v>
      </c>
      <c r="E1128" t="s">
        <v>69</v>
      </c>
      <c r="F1128" s="1">
        <v>58</v>
      </c>
      <c r="G1128" t="s">
        <v>146</v>
      </c>
      <c r="H1128" t="s">
        <v>23</v>
      </c>
      <c r="I1128" t="s">
        <v>118</v>
      </c>
      <c r="J1128" t="s">
        <v>25</v>
      </c>
      <c r="K1128" s="2">
        <v>3.4</v>
      </c>
      <c r="L1128" t="s">
        <v>152</v>
      </c>
      <c r="M1128" t="s">
        <v>29</v>
      </c>
      <c r="N1128" t="s">
        <v>55</v>
      </c>
      <c r="O1128" t="s">
        <v>26</v>
      </c>
      <c r="P1128" t="s">
        <v>26</v>
      </c>
      <c r="Q1128" s="3">
        <v>47</v>
      </c>
      <c r="R1128" t="s">
        <v>29</v>
      </c>
      <c r="S1128" t="s">
        <v>30</v>
      </c>
    </row>
    <row r="1129" spans="1:19" x14ac:dyDescent="0.25">
      <c r="A1129">
        <v>1128</v>
      </c>
      <c r="B1129">
        <v>50</v>
      </c>
      <c r="C1129" t="s">
        <v>19</v>
      </c>
      <c r="D1129" t="s">
        <v>56</v>
      </c>
      <c r="E1129" t="s">
        <v>21</v>
      </c>
      <c r="F1129" s="1">
        <v>53</v>
      </c>
      <c r="G1129" t="s">
        <v>80</v>
      </c>
      <c r="H1129" t="s">
        <v>92</v>
      </c>
      <c r="I1129" t="s">
        <v>33</v>
      </c>
      <c r="J1129" t="s">
        <v>39</v>
      </c>
      <c r="K1129" s="2">
        <v>4.8</v>
      </c>
      <c r="L1129" t="s">
        <v>152</v>
      </c>
      <c r="M1129" t="s">
        <v>29</v>
      </c>
      <c r="N1129" t="s">
        <v>76</v>
      </c>
      <c r="O1129" t="s">
        <v>26</v>
      </c>
      <c r="P1129" t="s">
        <v>26</v>
      </c>
      <c r="Q1129" s="3">
        <v>22</v>
      </c>
      <c r="R1129" t="s">
        <v>59</v>
      </c>
      <c r="S1129" t="s">
        <v>88</v>
      </c>
    </row>
    <row r="1130" spans="1:19" x14ac:dyDescent="0.25">
      <c r="A1130">
        <v>1129</v>
      </c>
      <c r="B1130">
        <v>56</v>
      </c>
      <c r="C1130" t="s">
        <v>19</v>
      </c>
      <c r="D1130" t="s">
        <v>143</v>
      </c>
      <c r="E1130" t="s">
        <v>69</v>
      </c>
      <c r="F1130" s="1">
        <v>30</v>
      </c>
      <c r="G1130" t="s">
        <v>85</v>
      </c>
      <c r="H1130" t="s">
        <v>23</v>
      </c>
      <c r="I1130" t="s">
        <v>63</v>
      </c>
      <c r="J1130" t="s">
        <v>25</v>
      </c>
      <c r="K1130" s="2">
        <v>4.7</v>
      </c>
      <c r="L1130" t="s">
        <v>152</v>
      </c>
      <c r="M1130" t="s">
        <v>46</v>
      </c>
      <c r="N1130" t="s">
        <v>47</v>
      </c>
      <c r="O1130" t="s">
        <v>26</v>
      </c>
      <c r="P1130" t="s">
        <v>26</v>
      </c>
      <c r="Q1130" s="3">
        <v>35</v>
      </c>
      <c r="R1130" t="s">
        <v>59</v>
      </c>
      <c r="S1130" t="s">
        <v>88</v>
      </c>
    </row>
    <row r="1131" spans="1:19" x14ac:dyDescent="0.25">
      <c r="A1131">
        <v>1130</v>
      </c>
      <c r="B1131">
        <v>37</v>
      </c>
      <c r="C1131" t="s">
        <v>19</v>
      </c>
      <c r="D1131" t="s">
        <v>104</v>
      </c>
      <c r="E1131" t="s">
        <v>21</v>
      </c>
      <c r="F1131" s="1">
        <v>65</v>
      </c>
      <c r="G1131" t="s">
        <v>83</v>
      </c>
      <c r="H1131" t="s">
        <v>92</v>
      </c>
      <c r="I1131" t="s">
        <v>53</v>
      </c>
      <c r="J1131" t="s">
        <v>25</v>
      </c>
      <c r="K1131" s="2">
        <v>4.7</v>
      </c>
      <c r="L1131" t="s">
        <v>152</v>
      </c>
      <c r="M1131" t="s">
        <v>27</v>
      </c>
      <c r="N1131" t="s">
        <v>28</v>
      </c>
      <c r="O1131" t="s">
        <v>26</v>
      </c>
      <c r="P1131" t="s">
        <v>26</v>
      </c>
      <c r="Q1131" s="3">
        <v>46</v>
      </c>
      <c r="R1131" t="s">
        <v>29</v>
      </c>
      <c r="S1131" t="s">
        <v>30</v>
      </c>
    </row>
    <row r="1132" spans="1:19" x14ac:dyDescent="0.25">
      <c r="A1132">
        <v>1131</v>
      </c>
      <c r="B1132">
        <v>67</v>
      </c>
      <c r="C1132" t="s">
        <v>19</v>
      </c>
      <c r="D1132" t="s">
        <v>106</v>
      </c>
      <c r="E1132" t="s">
        <v>69</v>
      </c>
      <c r="F1132" s="1">
        <v>41</v>
      </c>
      <c r="G1132" t="s">
        <v>22</v>
      </c>
      <c r="H1132" t="s">
        <v>45</v>
      </c>
      <c r="I1132" t="s">
        <v>93</v>
      </c>
      <c r="J1132" t="s">
        <v>54</v>
      </c>
      <c r="K1132" s="2">
        <v>3.9</v>
      </c>
      <c r="L1132" t="s">
        <v>152</v>
      </c>
      <c r="M1132" t="s">
        <v>35</v>
      </c>
      <c r="N1132" t="s">
        <v>55</v>
      </c>
      <c r="O1132" t="s">
        <v>26</v>
      </c>
      <c r="P1132" t="s">
        <v>26</v>
      </c>
      <c r="Q1132" s="3">
        <v>30</v>
      </c>
      <c r="R1132" t="s">
        <v>46</v>
      </c>
      <c r="S1132" t="s">
        <v>77</v>
      </c>
    </row>
    <row r="1133" spans="1:19" x14ac:dyDescent="0.25">
      <c r="A1133">
        <v>1132</v>
      </c>
      <c r="B1133">
        <v>67</v>
      </c>
      <c r="C1133" t="s">
        <v>19</v>
      </c>
      <c r="D1133" t="s">
        <v>56</v>
      </c>
      <c r="E1133" t="s">
        <v>21</v>
      </c>
      <c r="F1133" s="1">
        <v>73</v>
      </c>
      <c r="G1133" t="s">
        <v>115</v>
      </c>
      <c r="H1133" t="s">
        <v>45</v>
      </c>
      <c r="I1133" t="s">
        <v>94</v>
      </c>
      <c r="J1133" t="s">
        <v>39</v>
      </c>
      <c r="K1133" s="2">
        <v>3.7</v>
      </c>
      <c r="L1133" t="s">
        <v>152</v>
      </c>
      <c r="M1133" t="s">
        <v>27</v>
      </c>
      <c r="N1133" t="s">
        <v>28</v>
      </c>
      <c r="O1133" t="s">
        <v>26</v>
      </c>
      <c r="P1133" t="s">
        <v>26</v>
      </c>
      <c r="Q1133" s="3">
        <v>20</v>
      </c>
      <c r="R1133" t="s">
        <v>34</v>
      </c>
      <c r="S1133" t="s">
        <v>88</v>
      </c>
    </row>
    <row r="1134" spans="1:19" x14ac:dyDescent="0.25">
      <c r="A1134">
        <v>1133</v>
      </c>
      <c r="B1134">
        <v>50</v>
      </c>
      <c r="C1134" t="s">
        <v>19</v>
      </c>
      <c r="D1134" t="s">
        <v>104</v>
      </c>
      <c r="E1134" t="s">
        <v>21</v>
      </c>
      <c r="F1134" s="1">
        <v>98</v>
      </c>
      <c r="G1134" t="s">
        <v>98</v>
      </c>
      <c r="H1134" t="s">
        <v>38</v>
      </c>
      <c r="I1134" t="s">
        <v>86</v>
      </c>
      <c r="J1134" t="s">
        <v>39</v>
      </c>
      <c r="K1134" s="2">
        <v>4.3</v>
      </c>
      <c r="L1134" t="s">
        <v>152</v>
      </c>
      <c r="M1134" t="s">
        <v>46</v>
      </c>
      <c r="N1134" t="s">
        <v>76</v>
      </c>
      <c r="O1134" t="s">
        <v>26</v>
      </c>
      <c r="P1134" t="s">
        <v>26</v>
      </c>
      <c r="Q1134" s="3">
        <v>25</v>
      </c>
      <c r="R1134" t="s">
        <v>35</v>
      </c>
      <c r="S1134" t="s">
        <v>30</v>
      </c>
    </row>
    <row r="1135" spans="1:19" x14ac:dyDescent="0.25">
      <c r="A1135">
        <v>1134</v>
      </c>
      <c r="B1135">
        <v>36</v>
      </c>
      <c r="C1135" t="s">
        <v>19</v>
      </c>
      <c r="D1135" t="s">
        <v>73</v>
      </c>
      <c r="E1135" t="s">
        <v>43</v>
      </c>
      <c r="F1135" s="1">
        <v>36</v>
      </c>
      <c r="G1135" t="s">
        <v>139</v>
      </c>
      <c r="H1135" t="s">
        <v>92</v>
      </c>
      <c r="I1135" t="s">
        <v>136</v>
      </c>
      <c r="J1135" t="s">
        <v>25</v>
      </c>
      <c r="K1135" s="2">
        <v>4.0999999999999996</v>
      </c>
      <c r="L1135" t="s">
        <v>152</v>
      </c>
      <c r="M1135" t="s">
        <v>46</v>
      </c>
      <c r="N1135" t="s">
        <v>72</v>
      </c>
      <c r="O1135" t="s">
        <v>26</v>
      </c>
      <c r="P1135" t="s">
        <v>26</v>
      </c>
      <c r="Q1135" s="3">
        <v>29</v>
      </c>
      <c r="R1135" t="s">
        <v>35</v>
      </c>
      <c r="S1135" t="s">
        <v>41</v>
      </c>
    </row>
    <row r="1136" spans="1:19" x14ac:dyDescent="0.25">
      <c r="A1136">
        <v>1135</v>
      </c>
      <c r="B1136">
        <v>62</v>
      </c>
      <c r="C1136" t="s">
        <v>19</v>
      </c>
      <c r="D1136" t="s">
        <v>113</v>
      </c>
      <c r="E1136" t="s">
        <v>21</v>
      </c>
      <c r="F1136" s="1">
        <v>81</v>
      </c>
      <c r="G1136" t="s">
        <v>150</v>
      </c>
      <c r="H1136" t="s">
        <v>45</v>
      </c>
      <c r="I1136" t="s">
        <v>110</v>
      </c>
      <c r="J1136" t="s">
        <v>54</v>
      </c>
      <c r="K1136" s="2">
        <v>4.5999999999999996</v>
      </c>
      <c r="L1136" t="s">
        <v>152</v>
      </c>
      <c r="M1136" t="s">
        <v>34</v>
      </c>
      <c r="N1136" t="s">
        <v>28</v>
      </c>
      <c r="O1136" t="s">
        <v>26</v>
      </c>
      <c r="P1136" t="s">
        <v>26</v>
      </c>
      <c r="Q1136" s="3">
        <v>2</v>
      </c>
      <c r="R1136" t="s">
        <v>29</v>
      </c>
      <c r="S1136" t="s">
        <v>97</v>
      </c>
    </row>
    <row r="1137" spans="1:19" x14ac:dyDescent="0.25">
      <c r="A1137">
        <v>1136</v>
      </c>
      <c r="B1137">
        <v>65</v>
      </c>
      <c r="C1137" t="s">
        <v>19</v>
      </c>
      <c r="D1137" t="s">
        <v>87</v>
      </c>
      <c r="E1137" t="s">
        <v>21</v>
      </c>
      <c r="F1137" s="1">
        <v>90</v>
      </c>
      <c r="G1137" t="s">
        <v>37</v>
      </c>
      <c r="H1137" t="s">
        <v>23</v>
      </c>
      <c r="I1137" t="s">
        <v>100</v>
      </c>
      <c r="J1137" t="s">
        <v>25</v>
      </c>
      <c r="K1137" s="2">
        <v>3.6</v>
      </c>
      <c r="L1137" t="s">
        <v>152</v>
      </c>
      <c r="M1137" t="s">
        <v>46</v>
      </c>
      <c r="N1137" t="s">
        <v>72</v>
      </c>
      <c r="O1137" t="s">
        <v>26</v>
      </c>
      <c r="P1137" t="s">
        <v>26</v>
      </c>
      <c r="Q1137" s="3">
        <v>32</v>
      </c>
      <c r="R1137" t="s">
        <v>34</v>
      </c>
      <c r="S1137" t="s">
        <v>60</v>
      </c>
    </row>
    <row r="1138" spans="1:19" x14ac:dyDescent="0.25">
      <c r="A1138">
        <v>1137</v>
      </c>
      <c r="B1138">
        <v>23</v>
      </c>
      <c r="C1138" t="s">
        <v>19</v>
      </c>
      <c r="D1138" t="s">
        <v>68</v>
      </c>
      <c r="E1138" t="s">
        <v>69</v>
      </c>
      <c r="F1138" s="1">
        <v>83</v>
      </c>
      <c r="G1138" t="s">
        <v>115</v>
      </c>
      <c r="H1138" t="s">
        <v>38</v>
      </c>
      <c r="I1138" t="s">
        <v>109</v>
      </c>
      <c r="J1138" t="s">
        <v>54</v>
      </c>
      <c r="K1138" s="2">
        <v>4.8</v>
      </c>
      <c r="L1138" t="s">
        <v>152</v>
      </c>
      <c r="M1138" t="s">
        <v>59</v>
      </c>
      <c r="N1138" t="s">
        <v>40</v>
      </c>
      <c r="O1138" t="s">
        <v>26</v>
      </c>
      <c r="P1138" t="s">
        <v>26</v>
      </c>
      <c r="Q1138" s="3">
        <v>37</v>
      </c>
      <c r="R1138" t="s">
        <v>35</v>
      </c>
      <c r="S1138" t="s">
        <v>88</v>
      </c>
    </row>
    <row r="1139" spans="1:19" x14ac:dyDescent="0.25">
      <c r="A1139">
        <v>1138</v>
      </c>
      <c r="B1139">
        <v>46</v>
      </c>
      <c r="C1139" t="s">
        <v>19</v>
      </c>
      <c r="D1139" t="s">
        <v>56</v>
      </c>
      <c r="E1139" t="s">
        <v>21</v>
      </c>
      <c r="F1139" s="1">
        <v>91</v>
      </c>
      <c r="G1139" t="s">
        <v>130</v>
      </c>
      <c r="H1139" t="s">
        <v>92</v>
      </c>
      <c r="I1139" t="s">
        <v>71</v>
      </c>
      <c r="J1139" t="s">
        <v>25</v>
      </c>
      <c r="K1139" s="2">
        <v>2.8</v>
      </c>
      <c r="L1139" t="s">
        <v>152</v>
      </c>
      <c r="M1139" t="s">
        <v>27</v>
      </c>
      <c r="N1139" t="s">
        <v>72</v>
      </c>
      <c r="O1139" t="s">
        <v>26</v>
      </c>
      <c r="P1139" t="s">
        <v>26</v>
      </c>
      <c r="Q1139" s="3">
        <v>16</v>
      </c>
      <c r="R1139" t="s">
        <v>34</v>
      </c>
      <c r="S1139" t="s">
        <v>97</v>
      </c>
    </row>
    <row r="1140" spans="1:19" x14ac:dyDescent="0.25">
      <c r="A1140">
        <v>1139</v>
      </c>
      <c r="B1140">
        <v>18</v>
      </c>
      <c r="C1140" t="s">
        <v>19</v>
      </c>
      <c r="D1140" t="s">
        <v>95</v>
      </c>
      <c r="E1140" t="s">
        <v>21</v>
      </c>
      <c r="F1140" s="1">
        <v>36</v>
      </c>
      <c r="G1140" t="s">
        <v>146</v>
      </c>
      <c r="H1140" t="s">
        <v>45</v>
      </c>
      <c r="I1140" t="s">
        <v>75</v>
      </c>
      <c r="J1140" t="s">
        <v>54</v>
      </c>
      <c r="K1140" s="2">
        <v>4.7</v>
      </c>
      <c r="L1140" t="s">
        <v>152</v>
      </c>
      <c r="M1140" t="s">
        <v>29</v>
      </c>
      <c r="N1140" t="s">
        <v>28</v>
      </c>
      <c r="O1140" t="s">
        <v>26</v>
      </c>
      <c r="P1140" t="s">
        <v>26</v>
      </c>
      <c r="Q1140" s="3">
        <v>32</v>
      </c>
      <c r="R1140" t="s">
        <v>29</v>
      </c>
      <c r="S1140" t="s">
        <v>30</v>
      </c>
    </row>
    <row r="1141" spans="1:19" x14ac:dyDescent="0.25">
      <c r="A1141">
        <v>1140</v>
      </c>
      <c r="B1141">
        <v>58</v>
      </c>
      <c r="C1141" t="s">
        <v>19</v>
      </c>
      <c r="D1141" t="s">
        <v>64</v>
      </c>
      <c r="E1141" t="s">
        <v>65</v>
      </c>
      <c r="F1141" s="1">
        <v>53</v>
      </c>
      <c r="G1141" t="s">
        <v>90</v>
      </c>
      <c r="H1141" t="s">
        <v>23</v>
      </c>
      <c r="I1141" t="s">
        <v>75</v>
      </c>
      <c r="J1141" t="s">
        <v>39</v>
      </c>
      <c r="K1141" s="2">
        <v>3.9</v>
      </c>
      <c r="L1141" t="s">
        <v>152</v>
      </c>
      <c r="M1141" t="s">
        <v>46</v>
      </c>
      <c r="N1141" t="s">
        <v>55</v>
      </c>
      <c r="O1141" t="s">
        <v>26</v>
      </c>
      <c r="P1141" t="s">
        <v>26</v>
      </c>
      <c r="Q1141" s="3">
        <v>42</v>
      </c>
      <c r="R1141" t="s">
        <v>59</v>
      </c>
      <c r="S1141" t="s">
        <v>77</v>
      </c>
    </row>
    <row r="1142" spans="1:19" x14ac:dyDescent="0.25">
      <c r="A1142">
        <v>1141</v>
      </c>
      <c r="B1142">
        <v>31</v>
      </c>
      <c r="C1142" t="s">
        <v>19</v>
      </c>
      <c r="D1142" t="s">
        <v>36</v>
      </c>
      <c r="E1142" t="s">
        <v>21</v>
      </c>
      <c r="F1142" s="1">
        <v>39</v>
      </c>
      <c r="G1142" t="s">
        <v>128</v>
      </c>
      <c r="H1142" t="s">
        <v>45</v>
      </c>
      <c r="I1142" t="s">
        <v>53</v>
      </c>
      <c r="J1142" t="s">
        <v>25</v>
      </c>
      <c r="K1142" s="2">
        <v>2.6</v>
      </c>
      <c r="L1142" t="s">
        <v>152</v>
      </c>
      <c r="M1142" t="s">
        <v>35</v>
      </c>
      <c r="N1142" t="s">
        <v>76</v>
      </c>
      <c r="O1142" t="s">
        <v>26</v>
      </c>
      <c r="P1142" t="s">
        <v>26</v>
      </c>
      <c r="Q1142" s="3">
        <v>6</v>
      </c>
      <c r="R1142" t="s">
        <v>27</v>
      </c>
      <c r="S1142" t="s">
        <v>97</v>
      </c>
    </row>
    <row r="1143" spans="1:19" x14ac:dyDescent="0.25">
      <c r="A1143">
        <v>1142</v>
      </c>
      <c r="B1143">
        <v>39</v>
      </c>
      <c r="C1143" t="s">
        <v>19</v>
      </c>
      <c r="D1143" t="s">
        <v>143</v>
      </c>
      <c r="E1143" t="s">
        <v>69</v>
      </c>
      <c r="F1143" s="1">
        <v>33</v>
      </c>
      <c r="G1143" t="s">
        <v>123</v>
      </c>
      <c r="H1143" t="s">
        <v>38</v>
      </c>
      <c r="I1143" t="s">
        <v>67</v>
      </c>
      <c r="J1143" t="s">
        <v>25</v>
      </c>
      <c r="K1143" s="2">
        <v>4.7</v>
      </c>
      <c r="L1143" t="s">
        <v>152</v>
      </c>
      <c r="M1143" t="s">
        <v>59</v>
      </c>
      <c r="N1143" t="s">
        <v>47</v>
      </c>
      <c r="O1143" t="s">
        <v>26</v>
      </c>
      <c r="P1143" t="s">
        <v>26</v>
      </c>
      <c r="Q1143" s="3">
        <v>23</v>
      </c>
      <c r="R1143" t="s">
        <v>46</v>
      </c>
      <c r="S1143" t="s">
        <v>30</v>
      </c>
    </row>
    <row r="1144" spans="1:19" x14ac:dyDescent="0.25">
      <c r="A1144">
        <v>1143</v>
      </c>
      <c r="B1144">
        <v>69</v>
      </c>
      <c r="C1144" t="s">
        <v>19</v>
      </c>
      <c r="D1144" t="s">
        <v>113</v>
      </c>
      <c r="E1144" t="s">
        <v>21</v>
      </c>
      <c r="F1144" s="1">
        <v>76</v>
      </c>
      <c r="G1144" t="s">
        <v>123</v>
      </c>
      <c r="H1144" t="s">
        <v>23</v>
      </c>
      <c r="I1144" t="s">
        <v>96</v>
      </c>
      <c r="J1144" t="s">
        <v>39</v>
      </c>
      <c r="K1144" s="2">
        <v>3.5</v>
      </c>
      <c r="L1144" t="s">
        <v>152</v>
      </c>
      <c r="M1144" t="s">
        <v>35</v>
      </c>
      <c r="N1144" t="s">
        <v>76</v>
      </c>
      <c r="O1144" t="s">
        <v>26</v>
      </c>
      <c r="P1144" t="s">
        <v>26</v>
      </c>
      <c r="Q1144" s="3">
        <v>27</v>
      </c>
      <c r="R1144" t="s">
        <v>29</v>
      </c>
      <c r="S1144" t="s">
        <v>77</v>
      </c>
    </row>
    <row r="1145" spans="1:19" x14ac:dyDescent="0.25">
      <c r="A1145">
        <v>1144</v>
      </c>
      <c r="B1145">
        <v>68</v>
      </c>
      <c r="C1145" t="s">
        <v>19</v>
      </c>
      <c r="D1145" t="s">
        <v>137</v>
      </c>
      <c r="E1145" t="s">
        <v>43</v>
      </c>
      <c r="F1145" s="1">
        <v>23</v>
      </c>
      <c r="G1145" t="s">
        <v>107</v>
      </c>
      <c r="H1145" t="s">
        <v>23</v>
      </c>
      <c r="I1145" t="s">
        <v>86</v>
      </c>
      <c r="J1145" t="s">
        <v>25</v>
      </c>
      <c r="K1145" s="2">
        <v>4.4000000000000004</v>
      </c>
      <c r="L1145" t="s">
        <v>152</v>
      </c>
      <c r="M1145" t="s">
        <v>35</v>
      </c>
      <c r="N1145" t="s">
        <v>55</v>
      </c>
      <c r="O1145" t="s">
        <v>26</v>
      </c>
      <c r="P1145" t="s">
        <v>26</v>
      </c>
      <c r="Q1145" s="3">
        <v>43</v>
      </c>
      <c r="R1145" t="s">
        <v>46</v>
      </c>
      <c r="S1145" t="s">
        <v>60</v>
      </c>
    </row>
    <row r="1146" spans="1:19" x14ac:dyDescent="0.25">
      <c r="A1146">
        <v>1145</v>
      </c>
      <c r="B1146">
        <v>41</v>
      </c>
      <c r="C1146" t="s">
        <v>19</v>
      </c>
      <c r="D1146" t="s">
        <v>36</v>
      </c>
      <c r="E1146" t="s">
        <v>21</v>
      </c>
      <c r="F1146" s="1">
        <v>54</v>
      </c>
      <c r="G1146" t="s">
        <v>131</v>
      </c>
      <c r="H1146" t="s">
        <v>38</v>
      </c>
      <c r="I1146" t="s">
        <v>126</v>
      </c>
      <c r="J1146" t="s">
        <v>58</v>
      </c>
      <c r="K1146" s="2">
        <v>4.4000000000000004</v>
      </c>
      <c r="L1146" t="s">
        <v>152</v>
      </c>
      <c r="M1146" t="s">
        <v>46</v>
      </c>
      <c r="N1146" t="s">
        <v>72</v>
      </c>
      <c r="O1146" t="s">
        <v>26</v>
      </c>
      <c r="P1146" t="s">
        <v>26</v>
      </c>
      <c r="Q1146" s="3">
        <v>25</v>
      </c>
      <c r="R1146" t="s">
        <v>34</v>
      </c>
      <c r="S1146" t="s">
        <v>30</v>
      </c>
    </row>
    <row r="1147" spans="1:19" x14ac:dyDescent="0.25">
      <c r="A1147">
        <v>1146</v>
      </c>
      <c r="B1147">
        <v>31</v>
      </c>
      <c r="C1147" t="s">
        <v>19</v>
      </c>
      <c r="D1147" t="s">
        <v>51</v>
      </c>
      <c r="E1147" t="s">
        <v>43</v>
      </c>
      <c r="F1147" s="1">
        <v>89</v>
      </c>
      <c r="G1147" t="s">
        <v>107</v>
      </c>
      <c r="H1147" t="s">
        <v>23</v>
      </c>
      <c r="I1147" t="s">
        <v>71</v>
      </c>
      <c r="J1147" t="s">
        <v>54</v>
      </c>
      <c r="K1147" s="2">
        <v>3</v>
      </c>
      <c r="L1147" t="s">
        <v>152</v>
      </c>
      <c r="M1147" t="s">
        <v>29</v>
      </c>
      <c r="N1147" t="s">
        <v>28</v>
      </c>
      <c r="O1147" t="s">
        <v>26</v>
      </c>
      <c r="P1147" t="s">
        <v>26</v>
      </c>
      <c r="Q1147" s="3">
        <v>30</v>
      </c>
      <c r="R1147" t="s">
        <v>35</v>
      </c>
      <c r="S1147" t="s">
        <v>97</v>
      </c>
    </row>
    <row r="1148" spans="1:19" x14ac:dyDescent="0.25">
      <c r="A1148">
        <v>1147</v>
      </c>
      <c r="B1148">
        <v>48</v>
      </c>
      <c r="C1148" t="s">
        <v>19</v>
      </c>
      <c r="D1148" t="s">
        <v>51</v>
      </c>
      <c r="E1148" t="s">
        <v>43</v>
      </c>
      <c r="F1148" s="1">
        <v>38</v>
      </c>
      <c r="G1148" t="s">
        <v>150</v>
      </c>
      <c r="H1148" t="s">
        <v>45</v>
      </c>
      <c r="I1148" t="s">
        <v>126</v>
      </c>
      <c r="J1148" t="s">
        <v>54</v>
      </c>
      <c r="K1148" s="2">
        <v>4.2</v>
      </c>
      <c r="L1148" t="s">
        <v>152</v>
      </c>
      <c r="M1148" t="s">
        <v>59</v>
      </c>
      <c r="N1148" t="s">
        <v>55</v>
      </c>
      <c r="O1148" t="s">
        <v>26</v>
      </c>
      <c r="P1148" t="s">
        <v>26</v>
      </c>
      <c r="Q1148" s="3">
        <v>7</v>
      </c>
      <c r="R1148" t="s">
        <v>34</v>
      </c>
      <c r="S1148" t="s">
        <v>97</v>
      </c>
    </row>
    <row r="1149" spans="1:19" x14ac:dyDescent="0.25">
      <c r="A1149">
        <v>1148</v>
      </c>
      <c r="B1149">
        <v>59</v>
      </c>
      <c r="C1149" t="s">
        <v>19</v>
      </c>
      <c r="D1149" t="s">
        <v>124</v>
      </c>
      <c r="E1149" t="s">
        <v>69</v>
      </c>
      <c r="F1149" s="1">
        <v>36</v>
      </c>
      <c r="G1149" t="s">
        <v>122</v>
      </c>
      <c r="H1149" t="s">
        <v>92</v>
      </c>
      <c r="I1149" t="s">
        <v>108</v>
      </c>
      <c r="J1149" t="s">
        <v>25</v>
      </c>
      <c r="K1149" s="2">
        <v>4.3</v>
      </c>
      <c r="L1149" t="s">
        <v>152</v>
      </c>
      <c r="M1149" t="s">
        <v>46</v>
      </c>
      <c r="N1149" t="s">
        <v>47</v>
      </c>
      <c r="O1149" t="s">
        <v>26</v>
      </c>
      <c r="P1149" t="s">
        <v>26</v>
      </c>
      <c r="Q1149" s="3">
        <v>17</v>
      </c>
      <c r="R1149" t="s">
        <v>59</v>
      </c>
      <c r="S1149" t="s">
        <v>50</v>
      </c>
    </row>
    <row r="1150" spans="1:19" x14ac:dyDescent="0.25">
      <c r="A1150">
        <v>1149</v>
      </c>
      <c r="B1150">
        <v>34</v>
      </c>
      <c r="C1150" t="s">
        <v>19</v>
      </c>
      <c r="D1150" t="s">
        <v>95</v>
      </c>
      <c r="E1150" t="s">
        <v>21</v>
      </c>
      <c r="F1150" s="1">
        <v>66</v>
      </c>
      <c r="G1150" t="s">
        <v>103</v>
      </c>
      <c r="H1150" t="s">
        <v>45</v>
      </c>
      <c r="I1150" t="s">
        <v>84</v>
      </c>
      <c r="J1150" t="s">
        <v>39</v>
      </c>
      <c r="K1150" s="2">
        <v>2.6</v>
      </c>
      <c r="L1150" t="s">
        <v>152</v>
      </c>
      <c r="M1150" t="s">
        <v>34</v>
      </c>
      <c r="N1150" t="s">
        <v>76</v>
      </c>
      <c r="O1150" t="s">
        <v>26</v>
      </c>
      <c r="P1150" t="s">
        <v>26</v>
      </c>
      <c r="Q1150" s="3">
        <v>10</v>
      </c>
      <c r="R1150" t="s">
        <v>46</v>
      </c>
      <c r="S1150" t="s">
        <v>30</v>
      </c>
    </row>
    <row r="1151" spans="1:19" x14ac:dyDescent="0.25">
      <c r="A1151">
        <v>1150</v>
      </c>
      <c r="B1151">
        <v>21</v>
      </c>
      <c r="C1151" t="s">
        <v>19</v>
      </c>
      <c r="D1151" t="s">
        <v>106</v>
      </c>
      <c r="E1151" t="s">
        <v>69</v>
      </c>
      <c r="F1151" s="1">
        <v>42</v>
      </c>
      <c r="G1151" t="s">
        <v>142</v>
      </c>
      <c r="H1151" t="s">
        <v>23</v>
      </c>
      <c r="I1151" t="s">
        <v>109</v>
      </c>
      <c r="J1151" t="s">
        <v>39</v>
      </c>
      <c r="K1151" s="2">
        <v>3.3</v>
      </c>
      <c r="L1151" t="s">
        <v>152</v>
      </c>
      <c r="M1151" t="s">
        <v>35</v>
      </c>
      <c r="N1151" t="s">
        <v>76</v>
      </c>
      <c r="O1151" t="s">
        <v>26</v>
      </c>
      <c r="P1151" t="s">
        <v>26</v>
      </c>
      <c r="Q1151" s="3">
        <v>40</v>
      </c>
      <c r="R1151" t="s">
        <v>29</v>
      </c>
      <c r="S1151" t="s">
        <v>50</v>
      </c>
    </row>
    <row r="1152" spans="1:19" x14ac:dyDescent="0.25">
      <c r="A1152">
        <v>1151</v>
      </c>
      <c r="B1152">
        <v>29</v>
      </c>
      <c r="C1152" t="s">
        <v>19</v>
      </c>
      <c r="D1152" t="s">
        <v>106</v>
      </c>
      <c r="E1152" t="s">
        <v>69</v>
      </c>
      <c r="F1152" s="1">
        <v>36</v>
      </c>
      <c r="G1152" t="s">
        <v>22</v>
      </c>
      <c r="H1152" t="s">
        <v>38</v>
      </c>
      <c r="I1152" t="s">
        <v>108</v>
      </c>
      <c r="J1152" t="s">
        <v>25</v>
      </c>
      <c r="K1152" s="2">
        <v>2.7</v>
      </c>
      <c r="L1152" t="s">
        <v>152</v>
      </c>
      <c r="M1152" t="s">
        <v>59</v>
      </c>
      <c r="N1152" t="s">
        <v>47</v>
      </c>
      <c r="O1152" t="s">
        <v>26</v>
      </c>
      <c r="P1152" t="s">
        <v>26</v>
      </c>
      <c r="Q1152" s="3">
        <v>50</v>
      </c>
      <c r="R1152" t="s">
        <v>29</v>
      </c>
      <c r="S1152" t="s">
        <v>77</v>
      </c>
    </row>
    <row r="1153" spans="1:19" x14ac:dyDescent="0.25">
      <c r="A1153">
        <v>1152</v>
      </c>
      <c r="B1153">
        <v>41</v>
      </c>
      <c r="C1153" t="s">
        <v>19</v>
      </c>
      <c r="D1153" t="s">
        <v>20</v>
      </c>
      <c r="E1153" t="s">
        <v>21</v>
      </c>
      <c r="F1153" s="1">
        <v>86</v>
      </c>
      <c r="G1153" t="s">
        <v>123</v>
      </c>
      <c r="H1153" t="s">
        <v>45</v>
      </c>
      <c r="I1153" t="s">
        <v>24</v>
      </c>
      <c r="J1153" t="s">
        <v>39</v>
      </c>
      <c r="K1153" s="2">
        <v>4.2</v>
      </c>
      <c r="L1153" t="s">
        <v>152</v>
      </c>
      <c r="M1153" t="s">
        <v>34</v>
      </c>
      <c r="N1153" t="s">
        <v>28</v>
      </c>
      <c r="O1153" t="s">
        <v>26</v>
      </c>
      <c r="P1153" t="s">
        <v>26</v>
      </c>
      <c r="Q1153" s="3">
        <v>24</v>
      </c>
      <c r="R1153" t="s">
        <v>27</v>
      </c>
      <c r="S1153" t="s">
        <v>41</v>
      </c>
    </row>
    <row r="1154" spans="1:19" x14ac:dyDescent="0.25">
      <c r="A1154">
        <v>1153</v>
      </c>
      <c r="B1154">
        <v>62</v>
      </c>
      <c r="C1154" t="s">
        <v>19</v>
      </c>
      <c r="D1154" t="s">
        <v>68</v>
      </c>
      <c r="E1154" t="s">
        <v>69</v>
      </c>
      <c r="F1154" s="1">
        <v>49</v>
      </c>
      <c r="G1154" t="s">
        <v>139</v>
      </c>
      <c r="H1154" t="s">
        <v>45</v>
      </c>
      <c r="I1154" t="s">
        <v>81</v>
      </c>
      <c r="J1154" t="s">
        <v>58</v>
      </c>
      <c r="K1154" s="2">
        <v>4</v>
      </c>
      <c r="L1154" t="s">
        <v>152</v>
      </c>
      <c r="M1154" t="s">
        <v>35</v>
      </c>
      <c r="N1154" t="s">
        <v>55</v>
      </c>
      <c r="O1154" t="s">
        <v>26</v>
      </c>
      <c r="P1154" t="s">
        <v>26</v>
      </c>
      <c r="Q1154" s="3">
        <v>8</v>
      </c>
      <c r="R1154" t="s">
        <v>46</v>
      </c>
      <c r="S1154" t="s">
        <v>97</v>
      </c>
    </row>
    <row r="1155" spans="1:19" x14ac:dyDescent="0.25">
      <c r="A1155">
        <v>1154</v>
      </c>
      <c r="B1155">
        <v>27</v>
      </c>
      <c r="C1155" t="s">
        <v>19</v>
      </c>
      <c r="D1155" t="s">
        <v>56</v>
      </c>
      <c r="E1155" t="s">
        <v>21</v>
      </c>
      <c r="F1155" s="1">
        <v>41</v>
      </c>
      <c r="G1155" t="s">
        <v>135</v>
      </c>
      <c r="H1155" t="s">
        <v>45</v>
      </c>
      <c r="I1155" t="s">
        <v>71</v>
      </c>
      <c r="J1155" t="s">
        <v>54</v>
      </c>
      <c r="K1155" s="2">
        <v>4</v>
      </c>
      <c r="L1155" t="s">
        <v>152</v>
      </c>
      <c r="M1155" t="s">
        <v>46</v>
      </c>
      <c r="N1155" t="s">
        <v>40</v>
      </c>
      <c r="O1155" t="s">
        <v>26</v>
      </c>
      <c r="P1155" t="s">
        <v>26</v>
      </c>
      <c r="Q1155" s="3">
        <v>6</v>
      </c>
      <c r="R1155" t="s">
        <v>34</v>
      </c>
      <c r="S1155" t="s">
        <v>60</v>
      </c>
    </row>
    <row r="1156" spans="1:19" x14ac:dyDescent="0.25">
      <c r="A1156">
        <v>1155</v>
      </c>
      <c r="B1156">
        <v>49</v>
      </c>
      <c r="C1156" t="s">
        <v>19</v>
      </c>
      <c r="D1156" t="s">
        <v>82</v>
      </c>
      <c r="E1156" t="s">
        <v>21</v>
      </c>
      <c r="F1156" s="1">
        <v>82</v>
      </c>
      <c r="G1156" t="s">
        <v>142</v>
      </c>
      <c r="H1156" t="s">
        <v>23</v>
      </c>
      <c r="I1156" t="s">
        <v>109</v>
      </c>
      <c r="J1156" t="s">
        <v>39</v>
      </c>
      <c r="K1156" s="2">
        <v>2.9</v>
      </c>
      <c r="L1156" t="s">
        <v>152</v>
      </c>
      <c r="M1156" t="s">
        <v>29</v>
      </c>
      <c r="N1156" t="s">
        <v>72</v>
      </c>
      <c r="O1156" t="s">
        <v>26</v>
      </c>
      <c r="P1156" t="s">
        <v>26</v>
      </c>
      <c r="Q1156" s="3">
        <v>44</v>
      </c>
      <c r="R1156" t="s">
        <v>27</v>
      </c>
      <c r="S1156" t="s">
        <v>77</v>
      </c>
    </row>
    <row r="1157" spans="1:19" x14ac:dyDescent="0.25">
      <c r="A1157">
        <v>1156</v>
      </c>
      <c r="B1157">
        <v>67</v>
      </c>
      <c r="C1157" t="s">
        <v>19</v>
      </c>
      <c r="D1157" t="s">
        <v>113</v>
      </c>
      <c r="E1157" t="s">
        <v>21</v>
      </c>
      <c r="F1157" s="1">
        <v>53</v>
      </c>
      <c r="G1157" t="s">
        <v>122</v>
      </c>
      <c r="H1157" t="s">
        <v>38</v>
      </c>
      <c r="I1157" t="s">
        <v>108</v>
      </c>
      <c r="J1157" t="s">
        <v>58</v>
      </c>
      <c r="K1157" s="2">
        <v>2.6</v>
      </c>
      <c r="L1157" t="s">
        <v>152</v>
      </c>
      <c r="M1157" t="s">
        <v>59</v>
      </c>
      <c r="N1157" t="s">
        <v>28</v>
      </c>
      <c r="O1157" t="s">
        <v>26</v>
      </c>
      <c r="P1157" t="s">
        <v>26</v>
      </c>
      <c r="Q1157" s="3">
        <v>47</v>
      </c>
      <c r="R1157" t="s">
        <v>46</v>
      </c>
      <c r="S1157" t="s">
        <v>60</v>
      </c>
    </row>
    <row r="1158" spans="1:19" x14ac:dyDescent="0.25">
      <c r="A1158">
        <v>1157</v>
      </c>
      <c r="B1158">
        <v>20</v>
      </c>
      <c r="C1158" t="s">
        <v>19</v>
      </c>
      <c r="D1158" t="s">
        <v>73</v>
      </c>
      <c r="E1158" t="s">
        <v>43</v>
      </c>
      <c r="F1158" s="1">
        <v>21</v>
      </c>
      <c r="G1158" t="s">
        <v>78</v>
      </c>
      <c r="H1158" t="s">
        <v>45</v>
      </c>
      <c r="I1158" t="s">
        <v>81</v>
      </c>
      <c r="J1158" t="s">
        <v>54</v>
      </c>
      <c r="K1158" s="2">
        <v>4.8</v>
      </c>
      <c r="L1158" t="s">
        <v>152</v>
      </c>
      <c r="M1158" t="s">
        <v>46</v>
      </c>
      <c r="N1158" t="s">
        <v>28</v>
      </c>
      <c r="O1158" t="s">
        <v>26</v>
      </c>
      <c r="P1158" t="s">
        <v>26</v>
      </c>
      <c r="Q1158" s="3">
        <v>6</v>
      </c>
      <c r="R1158" t="s">
        <v>29</v>
      </c>
      <c r="S1158" t="s">
        <v>97</v>
      </c>
    </row>
    <row r="1159" spans="1:19" x14ac:dyDescent="0.25">
      <c r="A1159">
        <v>1158</v>
      </c>
      <c r="B1159">
        <v>37</v>
      </c>
      <c r="C1159" t="s">
        <v>19</v>
      </c>
      <c r="D1159" t="s">
        <v>133</v>
      </c>
      <c r="E1159" t="s">
        <v>69</v>
      </c>
      <c r="F1159" s="1">
        <v>66</v>
      </c>
      <c r="G1159" t="s">
        <v>128</v>
      </c>
      <c r="H1159" t="s">
        <v>45</v>
      </c>
      <c r="I1159" t="s">
        <v>63</v>
      </c>
      <c r="J1159" t="s">
        <v>58</v>
      </c>
      <c r="K1159" s="2">
        <v>4.4000000000000004</v>
      </c>
      <c r="L1159" t="s">
        <v>152</v>
      </c>
      <c r="M1159" t="s">
        <v>27</v>
      </c>
      <c r="N1159" t="s">
        <v>55</v>
      </c>
      <c r="O1159" t="s">
        <v>26</v>
      </c>
      <c r="P1159" t="s">
        <v>26</v>
      </c>
      <c r="Q1159" s="3">
        <v>11</v>
      </c>
      <c r="R1159" t="s">
        <v>35</v>
      </c>
      <c r="S1159" t="s">
        <v>60</v>
      </c>
    </row>
    <row r="1160" spans="1:19" x14ac:dyDescent="0.25">
      <c r="A1160">
        <v>1159</v>
      </c>
      <c r="B1160">
        <v>69</v>
      </c>
      <c r="C1160" t="s">
        <v>19</v>
      </c>
      <c r="D1160" t="s">
        <v>133</v>
      </c>
      <c r="E1160" t="s">
        <v>69</v>
      </c>
      <c r="F1160" s="1">
        <v>89</v>
      </c>
      <c r="G1160" t="s">
        <v>107</v>
      </c>
      <c r="H1160" t="s">
        <v>23</v>
      </c>
      <c r="I1160" t="s">
        <v>121</v>
      </c>
      <c r="J1160" t="s">
        <v>54</v>
      </c>
      <c r="K1160" s="2">
        <v>4</v>
      </c>
      <c r="L1160" t="s">
        <v>152</v>
      </c>
      <c r="M1160" t="s">
        <v>29</v>
      </c>
      <c r="N1160" t="s">
        <v>72</v>
      </c>
      <c r="O1160" t="s">
        <v>26</v>
      </c>
      <c r="P1160" t="s">
        <v>26</v>
      </c>
      <c r="Q1160" s="3">
        <v>41</v>
      </c>
      <c r="R1160" t="s">
        <v>34</v>
      </c>
      <c r="S1160" t="s">
        <v>50</v>
      </c>
    </row>
    <row r="1161" spans="1:19" x14ac:dyDescent="0.25">
      <c r="A1161">
        <v>1160</v>
      </c>
      <c r="B1161">
        <v>66</v>
      </c>
      <c r="C1161" t="s">
        <v>19</v>
      </c>
      <c r="D1161" t="s">
        <v>68</v>
      </c>
      <c r="E1161" t="s">
        <v>69</v>
      </c>
      <c r="F1161" s="1">
        <v>55</v>
      </c>
      <c r="G1161" t="s">
        <v>83</v>
      </c>
      <c r="H1161" t="s">
        <v>23</v>
      </c>
      <c r="I1161" t="s">
        <v>144</v>
      </c>
      <c r="J1161" t="s">
        <v>58</v>
      </c>
      <c r="K1161" s="2">
        <v>3.6</v>
      </c>
      <c r="L1161" t="s">
        <v>152</v>
      </c>
      <c r="M1161" t="s">
        <v>59</v>
      </c>
      <c r="N1161" t="s">
        <v>72</v>
      </c>
      <c r="O1161" t="s">
        <v>26</v>
      </c>
      <c r="P1161" t="s">
        <v>26</v>
      </c>
      <c r="Q1161" s="3">
        <v>46</v>
      </c>
      <c r="R1161" t="s">
        <v>29</v>
      </c>
      <c r="S1161" t="s">
        <v>97</v>
      </c>
    </row>
    <row r="1162" spans="1:19" x14ac:dyDescent="0.25">
      <c r="A1162">
        <v>1161</v>
      </c>
      <c r="B1162">
        <v>37</v>
      </c>
      <c r="C1162" t="s">
        <v>19</v>
      </c>
      <c r="D1162" t="s">
        <v>119</v>
      </c>
      <c r="E1162" t="s">
        <v>69</v>
      </c>
      <c r="F1162" s="1">
        <v>42</v>
      </c>
      <c r="G1162" t="s">
        <v>114</v>
      </c>
      <c r="H1162" t="s">
        <v>38</v>
      </c>
      <c r="I1162" t="s">
        <v>144</v>
      </c>
      <c r="J1162" t="s">
        <v>54</v>
      </c>
      <c r="K1162" s="2">
        <v>3.2</v>
      </c>
      <c r="L1162" t="s">
        <v>152</v>
      </c>
      <c r="M1162" t="s">
        <v>35</v>
      </c>
      <c r="N1162" t="s">
        <v>47</v>
      </c>
      <c r="O1162" t="s">
        <v>26</v>
      </c>
      <c r="P1162" t="s">
        <v>26</v>
      </c>
      <c r="Q1162" s="3">
        <v>9</v>
      </c>
      <c r="R1162" t="s">
        <v>29</v>
      </c>
      <c r="S1162" t="s">
        <v>77</v>
      </c>
    </row>
    <row r="1163" spans="1:19" x14ac:dyDescent="0.25">
      <c r="A1163">
        <v>1162</v>
      </c>
      <c r="B1163">
        <v>63</v>
      </c>
      <c r="C1163" t="s">
        <v>19</v>
      </c>
      <c r="D1163" t="s">
        <v>61</v>
      </c>
      <c r="E1163" t="s">
        <v>21</v>
      </c>
      <c r="F1163" s="1">
        <v>52</v>
      </c>
      <c r="G1163" t="s">
        <v>101</v>
      </c>
      <c r="H1163" t="s">
        <v>38</v>
      </c>
      <c r="I1163" t="s">
        <v>121</v>
      </c>
      <c r="J1163" t="s">
        <v>58</v>
      </c>
      <c r="K1163" s="2">
        <v>3.1</v>
      </c>
      <c r="L1163" t="s">
        <v>152</v>
      </c>
      <c r="M1163" t="s">
        <v>34</v>
      </c>
      <c r="N1163" t="s">
        <v>72</v>
      </c>
      <c r="O1163" t="s">
        <v>26</v>
      </c>
      <c r="P1163" t="s">
        <v>26</v>
      </c>
      <c r="Q1163" s="3">
        <v>37</v>
      </c>
      <c r="R1163" t="s">
        <v>46</v>
      </c>
      <c r="S1163" t="s">
        <v>88</v>
      </c>
    </row>
    <row r="1164" spans="1:19" x14ac:dyDescent="0.25">
      <c r="A1164">
        <v>1163</v>
      </c>
      <c r="B1164">
        <v>47</v>
      </c>
      <c r="C1164" t="s">
        <v>19</v>
      </c>
      <c r="D1164" t="s">
        <v>42</v>
      </c>
      <c r="E1164" t="s">
        <v>43</v>
      </c>
      <c r="F1164" s="1">
        <v>92</v>
      </c>
      <c r="G1164" t="s">
        <v>98</v>
      </c>
      <c r="H1164" t="s">
        <v>45</v>
      </c>
      <c r="I1164" t="s">
        <v>144</v>
      </c>
      <c r="J1164" t="s">
        <v>25</v>
      </c>
      <c r="K1164" s="2">
        <v>4.2</v>
      </c>
      <c r="L1164" t="s">
        <v>152</v>
      </c>
      <c r="M1164" t="s">
        <v>29</v>
      </c>
      <c r="N1164" t="s">
        <v>28</v>
      </c>
      <c r="O1164" t="s">
        <v>26</v>
      </c>
      <c r="P1164" t="s">
        <v>26</v>
      </c>
      <c r="Q1164" s="3">
        <v>13</v>
      </c>
      <c r="R1164" t="s">
        <v>46</v>
      </c>
      <c r="S1164" t="s">
        <v>41</v>
      </c>
    </row>
    <row r="1165" spans="1:19" x14ac:dyDescent="0.25">
      <c r="A1165">
        <v>1164</v>
      </c>
      <c r="B1165">
        <v>26</v>
      </c>
      <c r="C1165" t="s">
        <v>19</v>
      </c>
      <c r="D1165" t="s">
        <v>95</v>
      </c>
      <c r="E1165" t="s">
        <v>21</v>
      </c>
      <c r="F1165" s="1">
        <v>56</v>
      </c>
      <c r="G1165" t="s">
        <v>122</v>
      </c>
      <c r="H1165" t="s">
        <v>23</v>
      </c>
      <c r="I1165" t="s">
        <v>53</v>
      </c>
      <c r="J1165" t="s">
        <v>54</v>
      </c>
      <c r="K1165" s="2">
        <v>3</v>
      </c>
      <c r="L1165" t="s">
        <v>152</v>
      </c>
      <c r="M1165" t="s">
        <v>27</v>
      </c>
      <c r="N1165" t="s">
        <v>72</v>
      </c>
      <c r="O1165" t="s">
        <v>26</v>
      </c>
      <c r="P1165" t="s">
        <v>26</v>
      </c>
      <c r="Q1165" s="3">
        <v>24</v>
      </c>
      <c r="R1165" t="s">
        <v>59</v>
      </c>
      <c r="S1165" t="s">
        <v>88</v>
      </c>
    </row>
    <row r="1166" spans="1:19" x14ac:dyDescent="0.25">
      <c r="A1166">
        <v>1165</v>
      </c>
      <c r="B1166">
        <v>68</v>
      </c>
      <c r="C1166" t="s">
        <v>19</v>
      </c>
      <c r="D1166" t="s">
        <v>82</v>
      </c>
      <c r="E1166" t="s">
        <v>21</v>
      </c>
      <c r="F1166" s="1">
        <v>96</v>
      </c>
      <c r="G1166" t="s">
        <v>57</v>
      </c>
      <c r="H1166" t="s">
        <v>45</v>
      </c>
      <c r="I1166" t="s">
        <v>96</v>
      </c>
      <c r="J1166" t="s">
        <v>25</v>
      </c>
      <c r="K1166" s="2">
        <v>4.2</v>
      </c>
      <c r="L1166" t="s">
        <v>152</v>
      </c>
      <c r="M1166" t="s">
        <v>27</v>
      </c>
      <c r="N1166" t="s">
        <v>55</v>
      </c>
      <c r="O1166" t="s">
        <v>26</v>
      </c>
      <c r="P1166" t="s">
        <v>26</v>
      </c>
      <c r="Q1166" s="3">
        <v>47</v>
      </c>
      <c r="R1166" t="s">
        <v>46</v>
      </c>
      <c r="S1166" t="s">
        <v>60</v>
      </c>
    </row>
    <row r="1167" spans="1:19" x14ac:dyDescent="0.25">
      <c r="A1167">
        <v>1166</v>
      </c>
      <c r="B1167">
        <v>51</v>
      </c>
      <c r="C1167" t="s">
        <v>19</v>
      </c>
      <c r="D1167" t="s">
        <v>113</v>
      </c>
      <c r="E1167" t="s">
        <v>21</v>
      </c>
      <c r="F1167" s="1">
        <v>64</v>
      </c>
      <c r="G1167" t="s">
        <v>150</v>
      </c>
      <c r="H1167" t="s">
        <v>45</v>
      </c>
      <c r="I1167" t="s">
        <v>67</v>
      </c>
      <c r="J1167" t="s">
        <v>25</v>
      </c>
      <c r="K1167" s="2">
        <v>2.9</v>
      </c>
      <c r="L1167" t="s">
        <v>152</v>
      </c>
      <c r="M1167" t="s">
        <v>35</v>
      </c>
      <c r="N1167" t="s">
        <v>47</v>
      </c>
      <c r="O1167" t="s">
        <v>26</v>
      </c>
      <c r="P1167" t="s">
        <v>26</v>
      </c>
      <c r="Q1167" s="3">
        <v>21</v>
      </c>
      <c r="R1167" t="s">
        <v>29</v>
      </c>
      <c r="S1167" t="s">
        <v>97</v>
      </c>
    </row>
    <row r="1168" spans="1:19" x14ac:dyDescent="0.25">
      <c r="A1168">
        <v>1167</v>
      </c>
      <c r="B1168">
        <v>48</v>
      </c>
      <c r="C1168" t="s">
        <v>19</v>
      </c>
      <c r="D1168" t="s">
        <v>82</v>
      </c>
      <c r="E1168" t="s">
        <v>21</v>
      </c>
      <c r="F1168" s="1">
        <v>48</v>
      </c>
      <c r="G1168" t="s">
        <v>139</v>
      </c>
      <c r="H1168" t="s">
        <v>38</v>
      </c>
      <c r="I1168" t="s">
        <v>93</v>
      </c>
      <c r="J1168" t="s">
        <v>25</v>
      </c>
      <c r="K1168" s="2">
        <v>3.7</v>
      </c>
      <c r="L1168" t="s">
        <v>152</v>
      </c>
      <c r="M1168" t="s">
        <v>35</v>
      </c>
      <c r="N1168" t="s">
        <v>76</v>
      </c>
      <c r="O1168" t="s">
        <v>26</v>
      </c>
      <c r="P1168" t="s">
        <v>26</v>
      </c>
      <c r="Q1168" s="3">
        <v>22</v>
      </c>
      <c r="R1168" t="s">
        <v>29</v>
      </c>
      <c r="S1168" t="s">
        <v>30</v>
      </c>
    </row>
    <row r="1169" spans="1:19" x14ac:dyDescent="0.25">
      <c r="A1169">
        <v>1168</v>
      </c>
      <c r="B1169">
        <v>60</v>
      </c>
      <c r="C1169" t="s">
        <v>19</v>
      </c>
      <c r="D1169" t="s">
        <v>125</v>
      </c>
      <c r="E1169" t="s">
        <v>21</v>
      </c>
      <c r="F1169" s="1">
        <v>83</v>
      </c>
      <c r="G1169" t="s">
        <v>127</v>
      </c>
      <c r="H1169" t="s">
        <v>92</v>
      </c>
      <c r="I1169" t="s">
        <v>118</v>
      </c>
      <c r="J1169" t="s">
        <v>54</v>
      </c>
      <c r="K1169" s="2">
        <v>3.6</v>
      </c>
      <c r="L1169" t="s">
        <v>152</v>
      </c>
      <c r="M1169" t="s">
        <v>46</v>
      </c>
      <c r="N1169" t="s">
        <v>40</v>
      </c>
      <c r="O1169" t="s">
        <v>26</v>
      </c>
      <c r="P1169" t="s">
        <v>26</v>
      </c>
      <c r="Q1169" s="3">
        <v>16</v>
      </c>
      <c r="R1169" t="s">
        <v>46</v>
      </c>
      <c r="S1169" t="s">
        <v>60</v>
      </c>
    </row>
    <row r="1170" spans="1:19" x14ac:dyDescent="0.25">
      <c r="A1170">
        <v>1169</v>
      </c>
      <c r="B1170">
        <v>68</v>
      </c>
      <c r="C1170" t="s">
        <v>19</v>
      </c>
      <c r="D1170" t="s">
        <v>119</v>
      </c>
      <c r="E1170" t="s">
        <v>69</v>
      </c>
      <c r="F1170" s="1">
        <v>91</v>
      </c>
      <c r="G1170" t="s">
        <v>91</v>
      </c>
      <c r="H1170" t="s">
        <v>23</v>
      </c>
      <c r="I1170" t="s">
        <v>84</v>
      </c>
      <c r="J1170" t="s">
        <v>54</v>
      </c>
      <c r="K1170" s="2">
        <v>3.6</v>
      </c>
      <c r="L1170" t="s">
        <v>152</v>
      </c>
      <c r="M1170" t="s">
        <v>46</v>
      </c>
      <c r="N1170" t="s">
        <v>55</v>
      </c>
      <c r="O1170" t="s">
        <v>26</v>
      </c>
      <c r="P1170" t="s">
        <v>26</v>
      </c>
      <c r="Q1170" s="3">
        <v>37</v>
      </c>
      <c r="R1170" t="s">
        <v>59</v>
      </c>
      <c r="S1170" t="s">
        <v>30</v>
      </c>
    </row>
    <row r="1171" spans="1:19" x14ac:dyDescent="0.25">
      <c r="A1171">
        <v>1170</v>
      </c>
      <c r="B1171">
        <v>25</v>
      </c>
      <c r="C1171" t="s">
        <v>19</v>
      </c>
      <c r="D1171" t="s">
        <v>132</v>
      </c>
      <c r="E1171" t="s">
        <v>69</v>
      </c>
      <c r="F1171" s="1">
        <v>94</v>
      </c>
      <c r="G1171" t="s">
        <v>52</v>
      </c>
      <c r="H1171" t="s">
        <v>38</v>
      </c>
      <c r="I1171" t="s">
        <v>24</v>
      </c>
      <c r="J1171" t="s">
        <v>58</v>
      </c>
      <c r="K1171" s="2">
        <v>4.5</v>
      </c>
      <c r="L1171" t="s">
        <v>152</v>
      </c>
      <c r="M1171" t="s">
        <v>29</v>
      </c>
      <c r="N1171" t="s">
        <v>72</v>
      </c>
      <c r="O1171" t="s">
        <v>26</v>
      </c>
      <c r="P1171" t="s">
        <v>26</v>
      </c>
      <c r="Q1171" s="3">
        <v>3</v>
      </c>
      <c r="R1171" t="s">
        <v>35</v>
      </c>
      <c r="S1171" t="s">
        <v>50</v>
      </c>
    </row>
    <row r="1172" spans="1:19" x14ac:dyDescent="0.25">
      <c r="A1172">
        <v>1171</v>
      </c>
      <c r="B1172">
        <v>57</v>
      </c>
      <c r="C1172" t="s">
        <v>19</v>
      </c>
      <c r="D1172" t="s">
        <v>87</v>
      </c>
      <c r="E1172" t="s">
        <v>21</v>
      </c>
      <c r="F1172" s="1">
        <v>62</v>
      </c>
      <c r="G1172" t="s">
        <v>115</v>
      </c>
      <c r="H1172" t="s">
        <v>38</v>
      </c>
      <c r="I1172" t="s">
        <v>108</v>
      </c>
      <c r="J1172" t="s">
        <v>39</v>
      </c>
      <c r="K1172" s="2">
        <v>3.2</v>
      </c>
      <c r="L1172" t="s">
        <v>152</v>
      </c>
      <c r="M1172" t="s">
        <v>34</v>
      </c>
      <c r="N1172" t="s">
        <v>28</v>
      </c>
      <c r="O1172" t="s">
        <v>26</v>
      </c>
      <c r="P1172" t="s">
        <v>26</v>
      </c>
      <c r="Q1172" s="3">
        <v>33</v>
      </c>
      <c r="R1172" t="s">
        <v>35</v>
      </c>
      <c r="S1172" t="s">
        <v>77</v>
      </c>
    </row>
    <row r="1173" spans="1:19" x14ac:dyDescent="0.25">
      <c r="A1173">
        <v>1172</v>
      </c>
      <c r="B1173">
        <v>41</v>
      </c>
      <c r="C1173" t="s">
        <v>19</v>
      </c>
      <c r="D1173" t="s">
        <v>125</v>
      </c>
      <c r="E1173" t="s">
        <v>21</v>
      </c>
      <c r="F1173" s="1">
        <v>55</v>
      </c>
      <c r="G1173" t="s">
        <v>62</v>
      </c>
      <c r="H1173" t="s">
        <v>45</v>
      </c>
      <c r="I1173" t="s">
        <v>93</v>
      </c>
      <c r="J1173" t="s">
        <v>39</v>
      </c>
      <c r="K1173" s="2">
        <v>3.9</v>
      </c>
      <c r="L1173" t="s">
        <v>152</v>
      </c>
      <c r="M1173" t="s">
        <v>34</v>
      </c>
      <c r="N1173" t="s">
        <v>47</v>
      </c>
      <c r="O1173" t="s">
        <v>26</v>
      </c>
      <c r="P1173" t="s">
        <v>26</v>
      </c>
      <c r="Q1173" s="3">
        <v>15</v>
      </c>
      <c r="R1173" t="s">
        <v>59</v>
      </c>
      <c r="S1173" t="s">
        <v>50</v>
      </c>
    </row>
    <row r="1174" spans="1:19" x14ac:dyDescent="0.25">
      <c r="A1174">
        <v>1173</v>
      </c>
      <c r="B1174">
        <v>59</v>
      </c>
      <c r="C1174" t="s">
        <v>19</v>
      </c>
      <c r="D1174" t="s">
        <v>64</v>
      </c>
      <c r="E1174" t="s">
        <v>65</v>
      </c>
      <c r="F1174" s="1">
        <v>68</v>
      </c>
      <c r="G1174" t="s">
        <v>48</v>
      </c>
      <c r="H1174" t="s">
        <v>23</v>
      </c>
      <c r="I1174" t="s">
        <v>100</v>
      </c>
      <c r="J1174" t="s">
        <v>39</v>
      </c>
      <c r="K1174" s="2">
        <v>4.5999999999999996</v>
      </c>
      <c r="L1174" t="s">
        <v>152</v>
      </c>
      <c r="M1174" t="s">
        <v>27</v>
      </c>
      <c r="N1174" t="s">
        <v>76</v>
      </c>
      <c r="O1174" t="s">
        <v>26</v>
      </c>
      <c r="P1174" t="s">
        <v>26</v>
      </c>
      <c r="Q1174" s="3">
        <v>42</v>
      </c>
      <c r="R1174" t="s">
        <v>34</v>
      </c>
      <c r="S1174" t="s">
        <v>77</v>
      </c>
    </row>
    <row r="1175" spans="1:19" x14ac:dyDescent="0.25">
      <c r="A1175">
        <v>1174</v>
      </c>
      <c r="B1175">
        <v>44</v>
      </c>
      <c r="C1175" t="s">
        <v>19</v>
      </c>
      <c r="D1175" t="s">
        <v>106</v>
      </c>
      <c r="E1175" t="s">
        <v>69</v>
      </c>
      <c r="F1175" s="1">
        <v>76</v>
      </c>
      <c r="G1175" t="s">
        <v>147</v>
      </c>
      <c r="H1175" t="s">
        <v>45</v>
      </c>
      <c r="I1175" t="s">
        <v>126</v>
      </c>
      <c r="J1175" t="s">
        <v>25</v>
      </c>
      <c r="K1175" s="2">
        <v>2.5</v>
      </c>
      <c r="L1175" t="s">
        <v>152</v>
      </c>
      <c r="M1175" t="s">
        <v>27</v>
      </c>
      <c r="N1175" t="s">
        <v>28</v>
      </c>
      <c r="O1175" t="s">
        <v>26</v>
      </c>
      <c r="P1175" t="s">
        <v>26</v>
      </c>
      <c r="Q1175" s="3">
        <v>42</v>
      </c>
      <c r="R1175" t="s">
        <v>35</v>
      </c>
      <c r="S1175" t="s">
        <v>77</v>
      </c>
    </row>
    <row r="1176" spans="1:19" x14ac:dyDescent="0.25">
      <c r="A1176">
        <v>1175</v>
      </c>
      <c r="B1176">
        <v>42</v>
      </c>
      <c r="C1176" t="s">
        <v>19</v>
      </c>
      <c r="D1176" t="s">
        <v>132</v>
      </c>
      <c r="E1176" t="s">
        <v>69</v>
      </c>
      <c r="F1176" s="1">
        <v>31</v>
      </c>
      <c r="G1176" t="s">
        <v>151</v>
      </c>
      <c r="H1176" t="s">
        <v>45</v>
      </c>
      <c r="I1176" t="s">
        <v>94</v>
      </c>
      <c r="J1176" t="s">
        <v>25</v>
      </c>
      <c r="K1176" s="2">
        <v>4.3</v>
      </c>
      <c r="L1176" t="s">
        <v>152</v>
      </c>
      <c r="M1176" t="s">
        <v>35</v>
      </c>
      <c r="N1176" t="s">
        <v>28</v>
      </c>
      <c r="O1176" t="s">
        <v>26</v>
      </c>
      <c r="P1176" t="s">
        <v>26</v>
      </c>
      <c r="Q1176" s="3">
        <v>19</v>
      </c>
      <c r="R1176" t="s">
        <v>34</v>
      </c>
      <c r="S1176" t="s">
        <v>77</v>
      </c>
    </row>
    <row r="1177" spans="1:19" x14ac:dyDescent="0.25">
      <c r="A1177">
        <v>1176</v>
      </c>
      <c r="B1177">
        <v>35</v>
      </c>
      <c r="C1177" t="s">
        <v>19</v>
      </c>
      <c r="D1177" t="s">
        <v>133</v>
      </c>
      <c r="E1177" t="s">
        <v>69</v>
      </c>
      <c r="F1177" s="1">
        <v>81</v>
      </c>
      <c r="G1177" t="s">
        <v>127</v>
      </c>
      <c r="H1177" t="s">
        <v>45</v>
      </c>
      <c r="I1177" t="s">
        <v>118</v>
      </c>
      <c r="J1177" t="s">
        <v>39</v>
      </c>
      <c r="K1177" s="2">
        <v>4.0999999999999996</v>
      </c>
      <c r="L1177" t="s">
        <v>152</v>
      </c>
      <c r="M1177" t="s">
        <v>27</v>
      </c>
      <c r="N1177" t="s">
        <v>76</v>
      </c>
      <c r="O1177" t="s">
        <v>26</v>
      </c>
      <c r="P1177" t="s">
        <v>26</v>
      </c>
      <c r="Q1177" s="3">
        <v>26</v>
      </c>
      <c r="R1177" t="s">
        <v>46</v>
      </c>
      <c r="S1177" t="s">
        <v>60</v>
      </c>
    </row>
    <row r="1178" spans="1:19" x14ac:dyDescent="0.25">
      <c r="A1178">
        <v>1177</v>
      </c>
      <c r="B1178">
        <v>36</v>
      </c>
      <c r="C1178" t="s">
        <v>19</v>
      </c>
      <c r="D1178" t="s">
        <v>82</v>
      </c>
      <c r="E1178" t="s">
        <v>21</v>
      </c>
      <c r="F1178" s="1">
        <v>83</v>
      </c>
      <c r="G1178" t="s">
        <v>48</v>
      </c>
      <c r="H1178" t="s">
        <v>45</v>
      </c>
      <c r="I1178" t="s">
        <v>108</v>
      </c>
      <c r="J1178" t="s">
        <v>25</v>
      </c>
      <c r="K1178" s="2">
        <v>4.5999999999999996</v>
      </c>
      <c r="L1178" t="s">
        <v>152</v>
      </c>
      <c r="M1178" t="s">
        <v>27</v>
      </c>
      <c r="N1178" t="s">
        <v>40</v>
      </c>
      <c r="O1178" t="s">
        <v>26</v>
      </c>
      <c r="P1178" t="s">
        <v>26</v>
      </c>
      <c r="Q1178" s="3">
        <v>39</v>
      </c>
      <c r="R1178" t="s">
        <v>46</v>
      </c>
      <c r="S1178" t="s">
        <v>60</v>
      </c>
    </row>
    <row r="1179" spans="1:19" x14ac:dyDescent="0.25">
      <c r="A1179">
        <v>1178</v>
      </c>
      <c r="B1179">
        <v>54</v>
      </c>
      <c r="C1179" t="s">
        <v>19</v>
      </c>
      <c r="D1179" t="s">
        <v>87</v>
      </c>
      <c r="E1179" t="s">
        <v>21</v>
      </c>
      <c r="F1179" s="1">
        <v>21</v>
      </c>
      <c r="G1179" t="s">
        <v>146</v>
      </c>
      <c r="H1179" t="s">
        <v>45</v>
      </c>
      <c r="I1179" t="s">
        <v>94</v>
      </c>
      <c r="J1179" t="s">
        <v>39</v>
      </c>
      <c r="K1179" s="2">
        <v>4.8</v>
      </c>
      <c r="L1179" t="s">
        <v>152</v>
      </c>
      <c r="M1179" t="s">
        <v>35</v>
      </c>
      <c r="N1179" t="s">
        <v>55</v>
      </c>
      <c r="O1179" t="s">
        <v>26</v>
      </c>
      <c r="P1179" t="s">
        <v>26</v>
      </c>
      <c r="Q1179" s="3">
        <v>24</v>
      </c>
      <c r="R1179" t="s">
        <v>59</v>
      </c>
      <c r="S1179" t="s">
        <v>88</v>
      </c>
    </row>
    <row r="1180" spans="1:19" x14ac:dyDescent="0.25">
      <c r="A1180">
        <v>1179</v>
      </c>
      <c r="B1180">
        <v>37</v>
      </c>
      <c r="C1180" t="s">
        <v>19</v>
      </c>
      <c r="D1180" t="s">
        <v>82</v>
      </c>
      <c r="E1180" t="s">
        <v>21</v>
      </c>
      <c r="F1180" s="1">
        <v>22</v>
      </c>
      <c r="G1180" t="s">
        <v>131</v>
      </c>
      <c r="H1180" t="s">
        <v>45</v>
      </c>
      <c r="I1180" t="s">
        <v>86</v>
      </c>
      <c r="J1180" t="s">
        <v>39</v>
      </c>
      <c r="K1180" s="2">
        <v>4.9000000000000004</v>
      </c>
      <c r="L1180" t="s">
        <v>152</v>
      </c>
      <c r="M1180" t="s">
        <v>27</v>
      </c>
      <c r="N1180" t="s">
        <v>28</v>
      </c>
      <c r="O1180" t="s">
        <v>26</v>
      </c>
      <c r="P1180" t="s">
        <v>26</v>
      </c>
      <c r="Q1180" s="3">
        <v>23</v>
      </c>
      <c r="R1180" t="s">
        <v>59</v>
      </c>
      <c r="S1180" t="s">
        <v>50</v>
      </c>
    </row>
    <row r="1181" spans="1:19" x14ac:dyDescent="0.25">
      <c r="A1181">
        <v>1180</v>
      </c>
      <c r="B1181">
        <v>20</v>
      </c>
      <c r="C1181" t="s">
        <v>19</v>
      </c>
      <c r="D1181" t="s">
        <v>113</v>
      </c>
      <c r="E1181" t="s">
        <v>21</v>
      </c>
      <c r="F1181" s="1">
        <v>33</v>
      </c>
      <c r="G1181" t="s">
        <v>116</v>
      </c>
      <c r="H1181" t="s">
        <v>45</v>
      </c>
      <c r="I1181" t="s">
        <v>144</v>
      </c>
      <c r="J1181" t="s">
        <v>54</v>
      </c>
      <c r="K1181" s="2">
        <v>2.8</v>
      </c>
      <c r="L1181" t="s">
        <v>152</v>
      </c>
      <c r="M1181" t="s">
        <v>59</v>
      </c>
      <c r="N1181" t="s">
        <v>40</v>
      </c>
      <c r="O1181" t="s">
        <v>26</v>
      </c>
      <c r="P1181" t="s">
        <v>26</v>
      </c>
      <c r="Q1181" s="3">
        <v>44</v>
      </c>
      <c r="R1181" t="s">
        <v>34</v>
      </c>
      <c r="S1181" t="s">
        <v>50</v>
      </c>
    </row>
    <row r="1182" spans="1:19" x14ac:dyDescent="0.25">
      <c r="A1182">
        <v>1181</v>
      </c>
      <c r="B1182">
        <v>23</v>
      </c>
      <c r="C1182" t="s">
        <v>19</v>
      </c>
      <c r="D1182" t="s">
        <v>87</v>
      </c>
      <c r="E1182" t="s">
        <v>21</v>
      </c>
      <c r="F1182" s="1">
        <v>23</v>
      </c>
      <c r="G1182" t="s">
        <v>48</v>
      </c>
      <c r="H1182" t="s">
        <v>38</v>
      </c>
      <c r="I1182" t="s">
        <v>118</v>
      </c>
      <c r="J1182" t="s">
        <v>39</v>
      </c>
      <c r="K1182" s="2">
        <v>4.9000000000000004</v>
      </c>
      <c r="L1182" t="s">
        <v>152</v>
      </c>
      <c r="M1182" t="s">
        <v>35</v>
      </c>
      <c r="N1182" t="s">
        <v>55</v>
      </c>
      <c r="O1182" t="s">
        <v>26</v>
      </c>
      <c r="P1182" t="s">
        <v>26</v>
      </c>
      <c r="Q1182" s="3">
        <v>34</v>
      </c>
      <c r="R1182" t="s">
        <v>35</v>
      </c>
      <c r="S1182" t="s">
        <v>88</v>
      </c>
    </row>
    <row r="1183" spans="1:19" x14ac:dyDescent="0.25">
      <c r="A1183">
        <v>1182</v>
      </c>
      <c r="B1183">
        <v>61</v>
      </c>
      <c r="C1183" t="s">
        <v>19</v>
      </c>
      <c r="D1183" t="s">
        <v>61</v>
      </c>
      <c r="E1183" t="s">
        <v>21</v>
      </c>
      <c r="F1183" s="1">
        <v>96</v>
      </c>
      <c r="G1183" t="s">
        <v>85</v>
      </c>
      <c r="H1183" t="s">
        <v>23</v>
      </c>
      <c r="I1183" t="s">
        <v>86</v>
      </c>
      <c r="J1183" t="s">
        <v>54</v>
      </c>
      <c r="K1183" s="2">
        <v>3.5</v>
      </c>
      <c r="L1183" t="s">
        <v>152</v>
      </c>
      <c r="M1183" t="s">
        <v>35</v>
      </c>
      <c r="N1183" t="s">
        <v>40</v>
      </c>
      <c r="O1183" t="s">
        <v>26</v>
      </c>
      <c r="P1183" t="s">
        <v>26</v>
      </c>
      <c r="Q1183" s="3">
        <v>43</v>
      </c>
      <c r="R1183" t="s">
        <v>34</v>
      </c>
      <c r="S1183" t="s">
        <v>60</v>
      </c>
    </row>
    <row r="1184" spans="1:19" x14ac:dyDescent="0.25">
      <c r="A1184">
        <v>1183</v>
      </c>
      <c r="B1184">
        <v>37</v>
      </c>
      <c r="C1184" t="s">
        <v>19</v>
      </c>
      <c r="D1184" t="s">
        <v>106</v>
      </c>
      <c r="E1184" t="s">
        <v>69</v>
      </c>
      <c r="F1184" s="1">
        <v>21</v>
      </c>
      <c r="G1184" t="s">
        <v>130</v>
      </c>
      <c r="H1184" t="s">
        <v>45</v>
      </c>
      <c r="I1184" t="s">
        <v>33</v>
      </c>
      <c r="J1184" t="s">
        <v>39</v>
      </c>
      <c r="K1184" s="2">
        <v>3.8</v>
      </c>
      <c r="L1184" t="s">
        <v>152</v>
      </c>
      <c r="M1184" t="s">
        <v>59</v>
      </c>
      <c r="N1184" t="s">
        <v>28</v>
      </c>
      <c r="O1184" t="s">
        <v>26</v>
      </c>
      <c r="P1184" t="s">
        <v>26</v>
      </c>
      <c r="Q1184" s="3">
        <v>45</v>
      </c>
      <c r="R1184" t="s">
        <v>46</v>
      </c>
      <c r="S1184" t="s">
        <v>60</v>
      </c>
    </row>
    <row r="1185" spans="1:19" x14ac:dyDescent="0.25">
      <c r="A1185">
        <v>1184</v>
      </c>
      <c r="B1185">
        <v>23</v>
      </c>
      <c r="C1185" t="s">
        <v>19</v>
      </c>
      <c r="D1185" t="s">
        <v>95</v>
      </c>
      <c r="E1185" t="s">
        <v>21</v>
      </c>
      <c r="F1185" s="1">
        <v>39</v>
      </c>
      <c r="G1185" t="s">
        <v>62</v>
      </c>
      <c r="H1185" t="s">
        <v>45</v>
      </c>
      <c r="I1185" t="s">
        <v>134</v>
      </c>
      <c r="J1185" t="s">
        <v>39</v>
      </c>
      <c r="K1185" s="2">
        <v>4.5</v>
      </c>
      <c r="L1185" t="s">
        <v>152</v>
      </c>
      <c r="M1185" t="s">
        <v>46</v>
      </c>
      <c r="N1185" t="s">
        <v>72</v>
      </c>
      <c r="O1185" t="s">
        <v>26</v>
      </c>
      <c r="P1185" t="s">
        <v>26</v>
      </c>
      <c r="Q1185" s="3">
        <v>4</v>
      </c>
      <c r="R1185" t="s">
        <v>27</v>
      </c>
      <c r="S1185" t="s">
        <v>41</v>
      </c>
    </row>
    <row r="1186" spans="1:19" x14ac:dyDescent="0.25">
      <c r="A1186">
        <v>1185</v>
      </c>
      <c r="B1186">
        <v>63</v>
      </c>
      <c r="C1186" t="s">
        <v>19</v>
      </c>
      <c r="D1186" t="s">
        <v>133</v>
      </c>
      <c r="E1186" t="s">
        <v>69</v>
      </c>
      <c r="F1186" s="1">
        <v>73</v>
      </c>
      <c r="G1186" t="s">
        <v>131</v>
      </c>
      <c r="H1186" t="s">
        <v>38</v>
      </c>
      <c r="I1186" t="s">
        <v>126</v>
      </c>
      <c r="J1186" t="s">
        <v>58</v>
      </c>
      <c r="K1186" s="2">
        <v>3.4</v>
      </c>
      <c r="L1186" t="s">
        <v>152</v>
      </c>
      <c r="M1186" t="s">
        <v>34</v>
      </c>
      <c r="N1186" t="s">
        <v>28</v>
      </c>
      <c r="O1186" t="s">
        <v>26</v>
      </c>
      <c r="P1186" t="s">
        <v>26</v>
      </c>
      <c r="Q1186" s="3">
        <v>19</v>
      </c>
      <c r="R1186" t="s">
        <v>27</v>
      </c>
      <c r="S1186" t="s">
        <v>50</v>
      </c>
    </row>
    <row r="1187" spans="1:19" x14ac:dyDescent="0.25">
      <c r="A1187">
        <v>1186</v>
      </c>
      <c r="B1187">
        <v>47</v>
      </c>
      <c r="C1187" t="s">
        <v>19</v>
      </c>
      <c r="D1187" t="s">
        <v>36</v>
      </c>
      <c r="E1187" t="s">
        <v>21</v>
      </c>
      <c r="F1187" s="1">
        <v>64</v>
      </c>
      <c r="G1187" t="s">
        <v>32</v>
      </c>
      <c r="H1187" t="s">
        <v>45</v>
      </c>
      <c r="I1187" t="s">
        <v>136</v>
      </c>
      <c r="J1187" t="s">
        <v>39</v>
      </c>
      <c r="K1187" s="2">
        <v>3.9</v>
      </c>
      <c r="L1187" t="s">
        <v>152</v>
      </c>
      <c r="M1187" t="s">
        <v>59</v>
      </c>
      <c r="N1187" t="s">
        <v>55</v>
      </c>
      <c r="O1187" t="s">
        <v>26</v>
      </c>
      <c r="P1187" t="s">
        <v>26</v>
      </c>
      <c r="Q1187" s="3">
        <v>29</v>
      </c>
      <c r="R1187" t="s">
        <v>27</v>
      </c>
      <c r="S1187" t="s">
        <v>88</v>
      </c>
    </row>
    <row r="1188" spans="1:19" x14ac:dyDescent="0.25">
      <c r="A1188">
        <v>1187</v>
      </c>
      <c r="B1188">
        <v>63</v>
      </c>
      <c r="C1188" t="s">
        <v>19</v>
      </c>
      <c r="D1188" t="s">
        <v>36</v>
      </c>
      <c r="E1188" t="s">
        <v>21</v>
      </c>
      <c r="F1188" s="1">
        <v>68</v>
      </c>
      <c r="G1188" t="s">
        <v>116</v>
      </c>
      <c r="H1188" t="s">
        <v>45</v>
      </c>
      <c r="I1188" t="s">
        <v>118</v>
      </c>
      <c r="J1188" t="s">
        <v>54</v>
      </c>
      <c r="K1188" s="2">
        <v>4.0999999999999996</v>
      </c>
      <c r="L1188" t="s">
        <v>152</v>
      </c>
      <c r="M1188" t="s">
        <v>35</v>
      </c>
      <c r="N1188" t="s">
        <v>72</v>
      </c>
      <c r="O1188" t="s">
        <v>26</v>
      </c>
      <c r="P1188" t="s">
        <v>26</v>
      </c>
      <c r="Q1188" s="3">
        <v>27</v>
      </c>
      <c r="R1188" t="s">
        <v>27</v>
      </c>
      <c r="S1188" t="s">
        <v>50</v>
      </c>
    </row>
    <row r="1189" spans="1:19" x14ac:dyDescent="0.25">
      <c r="A1189">
        <v>1188</v>
      </c>
      <c r="B1189">
        <v>56</v>
      </c>
      <c r="C1189" t="s">
        <v>19</v>
      </c>
      <c r="D1189" t="s">
        <v>124</v>
      </c>
      <c r="E1189" t="s">
        <v>69</v>
      </c>
      <c r="F1189" s="1">
        <v>89</v>
      </c>
      <c r="G1189" t="s">
        <v>146</v>
      </c>
      <c r="H1189" t="s">
        <v>23</v>
      </c>
      <c r="I1189" t="s">
        <v>33</v>
      </c>
      <c r="J1189" t="s">
        <v>58</v>
      </c>
      <c r="K1189" s="2">
        <v>3</v>
      </c>
      <c r="L1189" t="s">
        <v>152</v>
      </c>
      <c r="M1189" t="s">
        <v>35</v>
      </c>
      <c r="N1189" t="s">
        <v>28</v>
      </c>
      <c r="O1189" t="s">
        <v>26</v>
      </c>
      <c r="P1189" t="s">
        <v>26</v>
      </c>
      <c r="Q1189" s="3">
        <v>37</v>
      </c>
      <c r="R1189" t="s">
        <v>27</v>
      </c>
      <c r="S1189" t="s">
        <v>97</v>
      </c>
    </row>
    <row r="1190" spans="1:19" x14ac:dyDescent="0.25">
      <c r="A1190">
        <v>1189</v>
      </c>
      <c r="B1190">
        <v>68</v>
      </c>
      <c r="C1190" t="s">
        <v>19</v>
      </c>
      <c r="D1190" t="s">
        <v>20</v>
      </c>
      <c r="E1190" t="s">
        <v>21</v>
      </c>
      <c r="F1190" s="1">
        <v>29</v>
      </c>
      <c r="G1190" t="s">
        <v>91</v>
      </c>
      <c r="H1190" t="s">
        <v>45</v>
      </c>
      <c r="I1190" t="s">
        <v>136</v>
      </c>
      <c r="J1190" t="s">
        <v>54</v>
      </c>
      <c r="K1190" s="2">
        <v>3.3</v>
      </c>
      <c r="L1190" t="s">
        <v>152</v>
      </c>
      <c r="M1190" t="s">
        <v>27</v>
      </c>
      <c r="N1190" t="s">
        <v>47</v>
      </c>
      <c r="O1190" t="s">
        <v>26</v>
      </c>
      <c r="P1190" t="s">
        <v>26</v>
      </c>
      <c r="Q1190" s="3">
        <v>11</v>
      </c>
      <c r="R1190" t="s">
        <v>27</v>
      </c>
      <c r="S1190" t="s">
        <v>41</v>
      </c>
    </row>
    <row r="1191" spans="1:19" x14ac:dyDescent="0.25">
      <c r="A1191">
        <v>1190</v>
      </c>
      <c r="B1191">
        <v>64</v>
      </c>
      <c r="C1191" t="s">
        <v>19</v>
      </c>
      <c r="D1191" t="s">
        <v>56</v>
      </c>
      <c r="E1191" t="s">
        <v>21</v>
      </c>
      <c r="F1191" s="1">
        <v>97</v>
      </c>
      <c r="G1191" t="s">
        <v>74</v>
      </c>
      <c r="H1191" t="s">
        <v>92</v>
      </c>
      <c r="I1191" t="s">
        <v>86</v>
      </c>
      <c r="J1191" t="s">
        <v>54</v>
      </c>
      <c r="K1191" s="2">
        <v>4.9000000000000004</v>
      </c>
      <c r="L1191" t="s">
        <v>152</v>
      </c>
      <c r="M1191" t="s">
        <v>29</v>
      </c>
      <c r="N1191" t="s">
        <v>40</v>
      </c>
      <c r="O1191" t="s">
        <v>26</v>
      </c>
      <c r="P1191" t="s">
        <v>26</v>
      </c>
      <c r="Q1191" s="3">
        <v>28</v>
      </c>
      <c r="R1191" t="s">
        <v>59</v>
      </c>
      <c r="S1191" t="s">
        <v>50</v>
      </c>
    </row>
    <row r="1192" spans="1:19" x14ac:dyDescent="0.25">
      <c r="A1192">
        <v>1191</v>
      </c>
      <c r="B1192">
        <v>62</v>
      </c>
      <c r="C1192" t="s">
        <v>19</v>
      </c>
      <c r="D1192" t="s">
        <v>56</v>
      </c>
      <c r="E1192" t="s">
        <v>21</v>
      </c>
      <c r="F1192" s="1">
        <v>45</v>
      </c>
      <c r="G1192" t="s">
        <v>131</v>
      </c>
      <c r="H1192" t="s">
        <v>45</v>
      </c>
      <c r="I1192" t="s">
        <v>121</v>
      </c>
      <c r="J1192" t="s">
        <v>25</v>
      </c>
      <c r="K1192" s="2">
        <v>4.3</v>
      </c>
      <c r="L1192" t="s">
        <v>152</v>
      </c>
      <c r="M1192" t="s">
        <v>34</v>
      </c>
      <c r="N1192" t="s">
        <v>47</v>
      </c>
      <c r="O1192" t="s">
        <v>26</v>
      </c>
      <c r="P1192" t="s">
        <v>26</v>
      </c>
      <c r="Q1192" s="3">
        <v>31</v>
      </c>
      <c r="R1192" t="s">
        <v>27</v>
      </c>
      <c r="S1192" t="s">
        <v>41</v>
      </c>
    </row>
    <row r="1193" spans="1:19" x14ac:dyDescent="0.25">
      <c r="A1193">
        <v>1192</v>
      </c>
      <c r="B1193">
        <v>34</v>
      </c>
      <c r="C1193" t="s">
        <v>19</v>
      </c>
      <c r="D1193" t="s">
        <v>113</v>
      </c>
      <c r="E1193" t="s">
        <v>21</v>
      </c>
      <c r="F1193" s="1">
        <v>70</v>
      </c>
      <c r="G1193" t="s">
        <v>116</v>
      </c>
      <c r="H1193" t="s">
        <v>23</v>
      </c>
      <c r="I1193" t="s">
        <v>63</v>
      </c>
      <c r="J1193" t="s">
        <v>25</v>
      </c>
      <c r="K1193" s="2">
        <v>4.0999999999999996</v>
      </c>
      <c r="L1193" t="s">
        <v>152</v>
      </c>
      <c r="M1193" t="s">
        <v>59</v>
      </c>
      <c r="N1193" t="s">
        <v>40</v>
      </c>
      <c r="O1193" t="s">
        <v>26</v>
      </c>
      <c r="P1193" t="s">
        <v>26</v>
      </c>
      <c r="Q1193" s="3">
        <v>50</v>
      </c>
      <c r="R1193" t="s">
        <v>29</v>
      </c>
      <c r="S1193" t="s">
        <v>60</v>
      </c>
    </row>
    <row r="1194" spans="1:19" x14ac:dyDescent="0.25">
      <c r="A1194">
        <v>1193</v>
      </c>
      <c r="B1194">
        <v>49</v>
      </c>
      <c r="C1194" t="s">
        <v>19</v>
      </c>
      <c r="D1194" t="s">
        <v>64</v>
      </c>
      <c r="E1194" t="s">
        <v>65</v>
      </c>
      <c r="F1194" s="1">
        <v>56</v>
      </c>
      <c r="G1194" t="s">
        <v>103</v>
      </c>
      <c r="H1194" t="s">
        <v>45</v>
      </c>
      <c r="I1194" t="s">
        <v>49</v>
      </c>
      <c r="J1194" t="s">
        <v>54</v>
      </c>
      <c r="K1194" s="2">
        <v>4</v>
      </c>
      <c r="L1194" t="s">
        <v>152</v>
      </c>
      <c r="M1194" t="s">
        <v>46</v>
      </c>
      <c r="N1194" t="s">
        <v>72</v>
      </c>
      <c r="O1194" t="s">
        <v>26</v>
      </c>
      <c r="P1194" t="s">
        <v>26</v>
      </c>
      <c r="Q1194" s="3">
        <v>42</v>
      </c>
      <c r="R1194" t="s">
        <v>29</v>
      </c>
      <c r="S1194" t="s">
        <v>60</v>
      </c>
    </row>
    <row r="1195" spans="1:19" x14ac:dyDescent="0.25">
      <c r="A1195">
        <v>1194</v>
      </c>
      <c r="B1195">
        <v>40</v>
      </c>
      <c r="C1195" t="s">
        <v>19</v>
      </c>
      <c r="D1195" t="s">
        <v>102</v>
      </c>
      <c r="E1195" t="s">
        <v>65</v>
      </c>
      <c r="F1195" s="1">
        <v>55</v>
      </c>
      <c r="G1195" t="s">
        <v>120</v>
      </c>
      <c r="H1195" t="s">
        <v>23</v>
      </c>
      <c r="I1195" t="s">
        <v>71</v>
      </c>
      <c r="J1195" t="s">
        <v>58</v>
      </c>
      <c r="K1195" s="2">
        <v>5</v>
      </c>
      <c r="L1195" t="s">
        <v>152</v>
      </c>
      <c r="M1195" t="s">
        <v>29</v>
      </c>
      <c r="N1195" t="s">
        <v>72</v>
      </c>
      <c r="O1195" t="s">
        <v>26</v>
      </c>
      <c r="P1195" t="s">
        <v>26</v>
      </c>
      <c r="Q1195" s="3">
        <v>18</v>
      </c>
      <c r="R1195" t="s">
        <v>27</v>
      </c>
      <c r="S1195" t="s">
        <v>30</v>
      </c>
    </row>
    <row r="1196" spans="1:19" x14ac:dyDescent="0.25">
      <c r="A1196">
        <v>1195</v>
      </c>
      <c r="B1196">
        <v>50</v>
      </c>
      <c r="C1196" t="s">
        <v>19</v>
      </c>
      <c r="D1196" t="s">
        <v>104</v>
      </c>
      <c r="E1196" t="s">
        <v>21</v>
      </c>
      <c r="F1196" s="1">
        <v>46</v>
      </c>
      <c r="G1196" t="s">
        <v>85</v>
      </c>
      <c r="H1196" t="s">
        <v>38</v>
      </c>
      <c r="I1196" t="s">
        <v>86</v>
      </c>
      <c r="J1196" t="s">
        <v>25</v>
      </c>
      <c r="K1196" s="2">
        <v>3.1</v>
      </c>
      <c r="L1196" t="s">
        <v>152</v>
      </c>
      <c r="M1196" t="s">
        <v>59</v>
      </c>
      <c r="N1196" t="s">
        <v>72</v>
      </c>
      <c r="O1196" t="s">
        <v>26</v>
      </c>
      <c r="P1196" t="s">
        <v>26</v>
      </c>
      <c r="Q1196" s="3">
        <v>6</v>
      </c>
      <c r="R1196" t="s">
        <v>27</v>
      </c>
      <c r="S1196" t="s">
        <v>30</v>
      </c>
    </row>
    <row r="1197" spans="1:19" x14ac:dyDescent="0.25">
      <c r="A1197">
        <v>1196</v>
      </c>
      <c r="B1197">
        <v>25</v>
      </c>
      <c r="C1197" t="s">
        <v>19</v>
      </c>
      <c r="D1197" t="s">
        <v>119</v>
      </c>
      <c r="E1197" t="s">
        <v>69</v>
      </c>
      <c r="F1197" s="1">
        <v>95</v>
      </c>
      <c r="G1197" t="s">
        <v>105</v>
      </c>
      <c r="H1197" t="s">
        <v>45</v>
      </c>
      <c r="I1197" t="s">
        <v>53</v>
      </c>
      <c r="J1197" t="s">
        <v>25</v>
      </c>
      <c r="K1197" s="2">
        <v>4</v>
      </c>
      <c r="L1197" t="s">
        <v>152</v>
      </c>
      <c r="M1197" t="s">
        <v>35</v>
      </c>
      <c r="N1197" t="s">
        <v>72</v>
      </c>
      <c r="O1197" t="s">
        <v>26</v>
      </c>
      <c r="P1197" t="s">
        <v>26</v>
      </c>
      <c r="Q1197" s="3">
        <v>33</v>
      </c>
      <c r="R1197" t="s">
        <v>29</v>
      </c>
      <c r="S1197" t="s">
        <v>88</v>
      </c>
    </row>
    <row r="1198" spans="1:19" x14ac:dyDescent="0.25">
      <c r="A1198">
        <v>1197</v>
      </c>
      <c r="B1198">
        <v>30</v>
      </c>
      <c r="C1198" t="s">
        <v>19</v>
      </c>
      <c r="D1198" t="s">
        <v>133</v>
      </c>
      <c r="E1198" t="s">
        <v>69</v>
      </c>
      <c r="F1198" s="1">
        <v>88</v>
      </c>
      <c r="G1198" t="s">
        <v>114</v>
      </c>
      <c r="H1198" t="s">
        <v>45</v>
      </c>
      <c r="I1198" t="s">
        <v>33</v>
      </c>
      <c r="J1198" t="s">
        <v>25</v>
      </c>
      <c r="K1198" s="2">
        <v>3.2</v>
      </c>
      <c r="L1198" t="s">
        <v>152</v>
      </c>
      <c r="M1198" t="s">
        <v>46</v>
      </c>
      <c r="N1198" t="s">
        <v>72</v>
      </c>
      <c r="O1198" t="s">
        <v>26</v>
      </c>
      <c r="P1198" t="s">
        <v>26</v>
      </c>
      <c r="Q1198" s="3">
        <v>13</v>
      </c>
      <c r="R1198" t="s">
        <v>34</v>
      </c>
      <c r="S1198" t="s">
        <v>77</v>
      </c>
    </row>
    <row r="1199" spans="1:19" x14ac:dyDescent="0.25">
      <c r="A1199">
        <v>1198</v>
      </c>
      <c r="B1199">
        <v>54</v>
      </c>
      <c r="C1199" t="s">
        <v>19</v>
      </c>
      <c r="D1199" t="s">
        <v>51</v>
      </c>
      <c r="E1199" t="s">
        <v>43</v>
      </c>
      <c r="F1199" s="1">
        <v>92</v>
      </c>
      <c r="G1199" t="s">
        <v>129</v>
      </c>
      <c r="H1199" t="s">
        <v>23</v>
      </c>
      <c r="I1199" t="s">
        <v>84</v>
      </c>
      <c r="J1199" t="s">
        <v>58</v>
      </c>
      <c r="K1199" s="2">
        <v>3.9</v>
      </c>
      <c r="L1199" t="s">
        <v>152</v>
      </c>
      <c r="M1199" t="s">
        <v>59</v>
      </c>
      <c r="N1199" t="s">
        <v>55</v>
      </c>
      <c r="O1199" t="s">
        <v>26</v>
      </c>
      <c r="P1199" t="s">
        <v>26</v>
      </c>
      <c r="Q1199" s="3">
        <v>26</v>
      </c>
      <c r="R1199" t="s">
        <v>46</v>
      </c>
      <c r="S1199" t="s">
        <v>50</v>
      </c>
    </row>
    <row r="1200" spans="1:19" x14ac:dyDescent="0.25">
      <c r="A1200">
        <v>1199</v>
      </c>
      <c r="B1200">
        <v>40</v>
      </c>
      <c r="C1200" t="s">
        <v>19</v>
      </c>
      <c r="D1200" t="s">
        <v>125</v>
      </c>
      <c r="E1200" t="s">
        <v>21</v>
      </c>
      <c r="F1200" s="1">
        <v>49</v>
      </c>
      <c r="G1200" t="s">
        <v>127</v>
      </c>
      <c r="H1200" t="s">
        <v>45</v>
      </c>
      <c r="I1200" t="s">
        <v>110</v>
      </c>
      <c r="J1200" t="s">
        <v>54</v>
      </c>
      <c r="K1200" s="2">
        <v>3.9</v>
      </c>
      <c r="L1200" t="s">
        <v>152</v>
      </c>
      <c r="M1200" t="s">
        <v>34</v>
      </c>
      <c r="N1200" t="s">
        <v>72</v>
      </c>
      <c r="O1200" t="s">
        <v>26</v>
      </c>
      <c r="P1200" t="s">
        <v>26</v>
      </c>
      <c r="Q1200" s="3">
        <v>17</v>
      </c>
      <c r="R1200" t="s">
        <v>35</v>
      </c>
      <c r="S1200" t="s">
        <v>50</v>
      </c>
    </row>
    <row r="1201" spans="1:19" x14ac:dyDescent="0.25">
      <c r="A1201">
        <v>1200</v>
      </c>
      <c r="B1201">
        <v>49</v>
      </c>
      <c r="C1201" t="s">
        <v>19</v>
      </c>
      <c r="D1201" t="s">
        <v>42</v>
      </c>
      <c r="E1201" t="s">
        <v>43</v>
      </c>
      <c r="F1201" s="1">
        <v>89</v>
      </c>
      <c r="G1201" t="s">
        <v>128</v>
      </c>
      <c r="H1201" t="s">
        <v>45</v>
      </c>
      <c r="I1201" t="s">
        <v>126</v>
      </c>
      <c r="J1201" t="s">
        <v>58</v>
      </c>
      <c r="K1201" s="2">
        <v>4.5</v>
      </c>
      <c r="L1201" t="s">
        <v>152</v>
      </c>
      <c r="M1201" t="s">
        <v>27</v>
      </c>
      <c r="N1201" t="s">
        <v>40</v>
      </c>
      <c r="O1201" t="s">
        <v>26</v>
      </c>
      <c r="P1201" t="s">
        <v>26</v>
      </c>
      <c r="Q1201" s="3">
        <v>3</v>
      </c>
      <c r="R1201" t="s">
        <v>59</v>
      </c>
      <c r="S1201" t="s">
        <v>41</v>
      </c>
    </row>
    <row r="1202" spans="1:19" x14ac:dyDescent="0.25">
      <c r="A1202">
        <v>1201</v>
      </c>
      <c r="B1202">
        <v>27</v>
      </c>
      <c r="C1202" t="s">
        <v>19</v>
      </c>
      <c r="D1202" t="s">
        <v>64</v>
      </c>
      <c r="E1202" t="s">
        <v>65</v>
      </c>
      <c r="F1202" s="1">
        <v>22</v>
      </c>
      <c r="G1202" t="s">
        <v>139</v>
      </c>
      <c r="H1202" t="s">
        <v>92</v>
      </c>
      <c r="I1202" t="s">
        <v>94</v>
      </c>
      <c r="J1202" t="s">
        <v>25</v>
      </c>
      <c r="K1202" s="2">
        <v>4.4000000000000004</v>
      </c>
      <c r="L1202" t="s">
        <v>152</v>
      </c>
      <c r="M1202" t="s">
        <v>34</v>
      </c>
      <c r="N1202" t="s">
        <v>76</v>
      </c>
      <c r="O1202" t="s">
        <v>26</v>
      </c>
      <c r="P1202" t="s">
        <v>26</v>
      </c>
      <c r="Q1202" s="3">
        <v>7</v>
      </c>
      <c r="R1202" t="s">
        <v>46</v>
      </c>
      <c r="S1202" t="s">
        <v>41</v>
      </c>
    </row>
    <row r="1203" spans="1:19" x14ac:dyDescent="0.25">
      <c r="A1203">
        <v>1202</v>
      </c>
      <c r="B1203">
        <v>27</v>
      </c>
      <c r="C1203" t="s">
        <v>19</v>
      </c>
      <c r="D1203" t="s">
        <v>73</v>
      </c>
      <c r="E1203" t="s">
        <v>43</v>
      </c>
      <c r="F1203" s="1">
        <v>61</v>
      </c>
      <c r="G1203" t="s">
        <v>115</v>
      </c>
      <c r="H1203" t="s">
        <v>92</v>
      </c>
      <c r="I1203" t="s">
        <v>94</v>
      </c>
      <c r="J1203" t="s">
        <v>54</v>
      </c>
      <c r="K1203" s="2">
        <v>3.1</v>
      </c>
      <c r="L1203" t="s">
        <v>152</v>
      </c>
      <c r="M1203" t="s">
        <v>35</v>
      </c>
      <c r="N1203" t="s">
        <v>72</v>
      </c>
      <c r="O1203" t="s">
        <v>26</v>
      </c>
      <c r="P1203" t="s">
        <v>26</v>
      </c>
      <c r="Q1203" s="3">
        <v>46</v>
      </c>
      <c r="R1203" t="s">
        <v>29</v>
      </c>
      <c r="S1203" t="s">
        <v>30</v>
      </c>
    </row>
    <row r="1204" spans="1:19" x14ac:dyDescent="0.25">
      <c r="A1204">
        <v>1203</v>
      </c>
      <c r="B1204">
        <v>48</v>
      </c>
      <c r="C1204" t="s">
        <v>19</v>
      </c>
      <c r="D1204" t="s">
        <v>119</v>
      </c>
      <c r="E1204" t="s">
        <v>69</v>
      </c>
      <c r="F1204" s="1">
        <v>29</v>
      </c>
      <c r="G1204" t="s">
        <v>128</v>
      </c>
      <c r="H1204" t="s">
        <v>38</v>
      </c>
      <c r="I1204" t="s">
        <v>79</v>
      </c>
      <c r="J1204" t="s">
        <v>39</v>
      </c>
      <c r="K1204" s="2">
        <v>2.9</v>
      </c>
      <c r="L1204" t="s">
        <v>152</v>
      </c>
      <c r="M1204" t="s">
        <v>34</v>
      </c>
      <c r="N1204" t="s">
        <v>55</v>
      </c>
      <c r="O1204" t="s">
        <v>26</v>
      </c>
      <c r="P1204" t="s">
        <v>26</v>
      </c>
      <c r="Q1204" s="3">
        <v>14</v>
      </c>
      <c r="R1204" t="s">
        <v>29</v>
      </c>
      <c r="S1204" t="s">
        <v>97</v>
      </c>
    </row>
    <row r="1205" spans="1:19" x14ac:dyDescent="0.25">
      <c r="A1205">
        <v>1204</v>
      </c>
      <c r="B1205">
        <v>40</v>
      </c>
      <c r="C1205" t="s">
        <v>19</v>
      </c>
      <c r="D1205" t="s">
        <v>51</v>
      </c>
      <c r="E1205" t="s">
        <v>43</v>
      </c>
      <c r="F1205" s="1">
        <v>82</v>
      </c>
      <c r="G1205" t="s">
        <v>148</v>
      </c>
      <c r="H1205" t="s">
        <v>45</v>
      </c>
      <c r="I1205" t="s">
        <v>121</v>
      </c>
      <c r="J1205" t="s">
        <v>25</v>
      </c>
      <c r="K1205" s="2">
        <v>3.7</v>
      </c>
      <c r="L1205" t="s">
        <v>152</v>
      </c>
      <c r="M1205" t="s">
        <v>34</v>
      </c>
      <c r="N1205" t="s">
        <v>40</v>
      </c>
      <c r="O1205" t="s">
        <v>26</v>
      </c>
      <c r="P1205" t="s">
        <v>26</v>
      </c>
      <c r="Q1205" s="3">
        <v>23</v>
      </c>
      <c r="R1205" t="s">
        <v>34</v>
      </c>
      <c r="S1205" t="s">
        <v>50</v>
      </c>
    </row>
    <row r="1206" spans="1:19" x14ac:dyDescent="0.25">
      <c r="A1206">
        <v>1205</v>
      </c>
      <c r="B1206">
        <v>67</v>
      </c>
      <c r="C1206" t="s">
        <v>19</v>
      </c>
      <c r="D1206" t="s">
        <v>133</v>
      </c>
      <c r="E1206" t="s">
        <v>69</v>
      </c>
      <c r="F1206" s="1">
        <v>94</v>
      </c>
      <c r="G1206" t="s">
        <v>103</v>
      </c>
      <c r="H1206" t="s">
        <v>45</v>
      </c>
      <c r="I1206" t="s">
        <v>71</v>
      </c>
      <c r="J1206" t="s">
        <v>39</v>
      </c>
      <c r="K1206" s="2">
        <v>3.2</v>
      </c>
      <c r="L1206" t="s">
        <v>152</v>
      </c>
      <c r="M1206" t="s">
        <v>34</v>
      </c>
      <c r="N1206" t="s">
        <v>72</v>
      </c>
      <c r="O1206" t="s">
        <v>26</v>
      </c>
      <c r="P1206" t="s">
        <v>26</v>
      </c>
      <c r="Q1206" s="3">
        <v>20</v>
      </c>
      <c r="R1206" t="s">
        <v>27</v>
      </c>
      <c r="S1206" t="s">
        <v>97</v>
      </c>
    </row>
    <row r="1207" spans="1:19" x14ac:dyDescent="0.25">
      <c r="A1207">
        <v>1206</v>
      </c>
      <c r="B1207">
        <v>52</v>
      </c>
      <c r="C1207" t="s">
        <v>19</v>
      </c>
      <c r="D1207" t="s">
        <v>68</v>
      </c>
      <c r="E1207" t="s">
        <v>69</v>
      </c>
      <c r="F1207" s="1">
        <v>99</v>
      </c>
      <c r="G1207" t="s">
        <v>99</v>
      </c>
      <c r="H1207" t="s">
        <v>45</v>
      </c>
      <c r="I1207" t="s">
        <v>79</v>
      </c>
      <c r="J1207" t="s">
        <v>39</v>
      </c>
      <c r="K1207" s="2">
        <v>3.5</v>
      </c>
      <c r="L1207" t="s">
        <v>152</v>
      </c>
      <c r="M1207" t="s">
        <v>27</v>
      </c>
      <c r="N1207" t="s">
        <v>55</v>
      </c>
      <c r="O1207" t="s">
        <v>26</v>
      </c>
      <c r="P1207" t="s">
        <v>26</v>
      </c>
      <c r="Q1207" s="3">
        <v>38</v>
      </c>
      <c r="R1207" t="s">
        <v>34</v>
      </c>
      <c r="S1207" t="s">
        <v>30</v>
      </c>
    </row>
    <row r="1208" spans="1:19" x14ac:dyDescent="0.25">
      <c r="A1208">
        <v>1207</v>
      </c>
      <c r="B1208">
        <v>22</v>
      </c>
      <c r="C1208" t="s">
        <v>19</v>
      </c>
      <c r="D1208" t="s">
        <v>68</v>
      </c>
      <c r="E1208" t="s">
        <v>69</v>
      </c>
      <c r="F1208" s="1">
        <v>59</v>
      </c>
      <c r="G1208" t="s">
        <v>91</v>
      </c>
      <c r="H1208" t="s">
        <v>38</v>
      </c>
      <c r="I1208" t="s">
        <v>109</v>
      </c>
      <c r="J1208" t="s">
        <v>58</v>
      </c>
      <c r="K1208" s="2">
        <v>3</v>
      </c>
      <c r="L1208" t="s">
        <v>152</v>
      </c>
      <c r="M1208" t="s">
        <v>35</v>
      </c>
      <c r="N1208" t="s">
        <v>40</v>
      </c>
      <c r="O1208" t="s">
        <v>26</v>
      </c>
      <c r="P1208" t="s">
        <v>26</v>
      </c>
      <c r="Q1208" s="3">
        <v>16</v>
      </c>
      <c r="R1208" t="s">
        <v>29</v>
      </c>
      <c r="S1208" t="s">
        <v>97</v>
      </c>
    </row>
    <row r="1209" spans="1:19" x14ac:dyDescent="0.25">
      <c r="A1209">
        <v>1208</v>
      </c>
      <c r="B1209">
        <v>62</v>
      </c>
      <c r="C1209" t="s">
        <v>19</v>
      </c>
      <c r="D1209" t="s">
        <v>137</v>
      </c>
      <c r="E1209" t="s">
        <v>43</v>
      </c>
      <c r="F1209" s="1">
        <v>90</v>
      </c>
      <c r="G1209" t="s">
        <v>149</v>
      </c>
      <c r="H1209" t="s">
        <v>45</v>
      </c>
      <c r="I1209" t="s">
        <v>53</v>
      </c>
      <c r="J1209" t="s">
        <v>54</v>
      </c>
      <c r="K1209" s="2">
        <v>4.0999999999999996</v>
      </c>
      <c r="L1209" t="s">
        <v>152</v>
      </c>
      <c r="M1209" t="s">
        <v>29</v>
      </c>
      <c r="N1209" t="s">
        <v>47</v>
      </c>
      <c r="O1209" t="s">
        <v>26</v>
      </c>
      <c r="P1209" t="s">
        <v>26</v>
      </c>
      <c r="Q1209" s="3">
        <v>48</v>
      </c>
      <c r="R1209" t="s">
        <v>27</v>
      </c>
      <c r="S1209" t="s">
        <v>97</v>
      </c>
    </row>
    <row r="1210" spans="1:19" x14ac:dyDescent="0.25">
      <c r="A1210">
        <v>1209</v>
      </c>
      <c r="B1210">
        <v>20</v>
      </c>
      <c r="C1210" t="s">
        <v>19</v>
      </c>
      <c r="D1210" t="s">
        <v>137</v>
      </c>
      <c r="E1210" t="s">
        <v>43</v>
      </c>
      <c r="F1210" s="1">
        <v>100</v>
      </c>
      <c r="G1210" t="s">
        <v>150</v>
      </c>
      <c r="H1210" t="s">
        <v>38</v>
      </c>
      <c r="I1210" t="s">
        <v>108</v>
      </c>
      <c r="J1210" t="s">
        <v>25</v>
      </c>
      <c r="K1210" s="2">
        <v>2.9</v>
      </c>
      <c r="L1210" t="s">
        <v>152</v>
      </c>
      <c r="M1210" t="s">
        <v>35</v>
      </c>
      <c r="N1210" t="s">
        <v>72</v>
      </c>
      <c r="O1210" t="s">
        <v>26</v>
      </c>
      <c r="P1210" t="s">
        <v>26</v>
      </c>
      <c r="Q1210" s="3">
        <v>8</v>
      </c>
      <c r="R1210" t="s">
        <v>59</v>
      </c>
      <c r="S1210" t="s">
        <v>50</v>
      </c>
    </row>
    <row r="1211" spans="1:19" x14ac:dyDescent="0.25">
      <c r="A1211">
        <v>1210</v>
      </c>
      <c r="B1211">
        <v>41</v>
      </c>
      <c r="C1211" t="s">
        <v>19</v>
      </c>
      <c r="D1211" t="s">
        <v>95</v>
      </c>
      <c r="E1211" t="s">
        <v>21</v>
      </c>
      <c r="F1211" s="1">
        <v>62</v>
      </c>
      <c r="G1211" t="s">
        <v>138</v>
      </c>
      <c r="H1211" t="s">
        <v>45</v>
      </c>
      <c r="I1211" t="s">
        <v>144</v>
      </c>
      <c r="J1211" t="s">
        <v>25</v>
      </c>
      <c r="K1211" s="2">
        <v>3.8</v>
      </c>
      <c r="L1211" t="s">
        <v>152</v>
      </c>
      <c r="M1211" t="s">
        <v>46</v>
      </c>
      <c r="N1211" t="s">
        <v>47</v>
      </c>
      <c r="O1211" t="s">
        <v>26</v>
      </c>
      <c r="P1211" t="s">
        <v>26</v>
      </c>
      <c r="Q1211" s="3">
        <v>16</v>
      </c>
      <c r="R1211" t="s">
        <v>34</v>
      </c>
      <c r="S1211" t="s">
        <v>88</v>
      </c>
    </row>
    <row r="1212" spans="1:19" x14ac:dyDescent="0.25">
      <c r="A1212">
        <v>1211</v>
      </c>
      <c r="B1212">
        <v>34</v>
      </c>
      <c r="C1212" t="s">
        <v>19</v>
      </c>
      <c r="D1212" t="s">
        <v>89</v>
      </c>
      <c r="E1212" t="s">
        <v>69</v>
      </c>
      <c r="F1212" s="1">
        <v>78</v>
      </c>
      <c r="G1212" t="s">
        <v>70</v>
      </c>
      <c r="H1212" t="s">
        <v>45</v>
      </c>
      <c r="I1212" t="s">
        <v>79</v>
      </c>
      <c r="J1212" t="s">
        <v>58</v>
      </c>
      <c r="K1212" s="2">
        <v>4.0999999999999996</v>
      </c>
      <c r="L1212" t="s">
        <v>152</v>
      </c>
      <c r="M1212" t="s">
        <v>46</v>
      </c>
      <c r="N1212" t="s">
        <v>47</v>
      </c>
      <c r="O1212" t="s">
        <v>26</v>
      </c>
      <c r="P1212" t="s">
        <v>26</v>
      </c>
      <c r="Q1212" s="3">
        <v>5</v>
      </c>
      <c r="R1212" t="s">
        <v>35</v>
      </c>
      <c r="S1212" t="s">
        <v>60</v>
      </c>
    </row>
    <row r="1213" spans="1:19" x14ac:dyDescent="0.25">
      <c r="A1213">
        <v>1212</v>
      </c>
      <c r="B1213">
        <v>23</v>
      </c>
      <c r="C1213" t="s">
        <v>19</v>
      </c>
      <c r="D1213" t="s">
        <v>104</v>
      </c>
      <c r="E1213" t="s">
        <v>21</v>
      </c>
      <c r="F1213" s="1">
        <v>94</v>
      </c>
      <c r="G1213" t="s">
        <v>101</v>
      </c>
      <c r="H1213" t="s">
        <v>45</v>
      </c>
      <c r="I1213" t="s">
        <v>96</v>
      </c>
      <c r="J1213" t="s">
        <v>39</v>
      </c>
      <c r="K1213" s="2">
        <v>4.5999999999999996</v>
      </c>
      <c r="L1213" t="s">
        <v>152</v>
      </c>
      <c r="M1213" t="s">
        <v>29</v>
      </c>
      <c r="N1213" t="s">
        <v>76</v>
      </c>
      <c r="O1213" t="s">
        <v>26</v>
      </c>
      <c r="P1213" t="s">
        <v>26</v>
      </c>
      <c r="Q1213" s="3">
        <v>14</v>
      </c>
      <c r="R1213" t="s">
        <v>29</v>
      </c>
      <c r="S1213" t="s">
        <v>97</v>
      </c>
    </row>
    <row r="1214" spans="1:19" x14ac:dyDescent="0.25">
      <c r="A1214">
        <v>1213</v>
      </c>
      <c r="B1214">
        <v>32</v>
      </c>
      <c r="C1214" t="s">
        <v>19</v>
      </c>
      <c r="D1214" t="s">
        <v>73</v>
      </c>
      <c r="E1214" t="s">
        <v>43</v>
      </c>
      <c r="F1214" s="1">
        <v>74</v>
      </c>
      <c r="G1214" t="s">
        <v>138</v>
      </c>
      <c r="H1214" t="s">
        <v>45</v>
      </c>
      <c r="I1214" t="s">
        <v>134</v>
      </c>
      <c r="J1214" t="s">
        <v>54</v>
      </c>
      <c r="K1214" s="2">
        <v>2.5</v>
      </c>
      <c r="L1214" t="s">
        <v>152</v>
      </c>
      <c r="M1214" t="s">
        <v>29</v>
      </c>
      <c r="N1214" t="s">
        <v>40</v>
      </c>
      <c r="O1214" t="s">
        <v>26</v>
      </c>
      <c r="P1214" t="s">
        <v>26</v>
      </c>
      <c r="Q1214" s="3">
        <v>18</v>
      </c>
      <c r="R1214" t="s">
        <v>27</v>
      </c>
      <c r="S1214" t="s">
        <v>41</v>
      </c>
    </row>
    <row r="1215" spans="1:19" x14ac:dyDescent="0.25">
      <c r="A1215">
        <v>1214</v>
      </c>
      <c r="B1215">
        <v>68</v>
      </c>
      <c r="C1215" t="s">
        <v>19</v>
      </c>
      <c r="D1215" t="s">
        <v>68</v>
      </c>
      <c r="E1215" t="s">
        <v>69</v>
      </c>
      <c r="F1215" s="1">
        <v>52</v>
      </c>
      <c r="G1215" t="s">
        <v>22</v>
      </c>
      <c r="H1215" t="s">
        <v>92</v>
      </c>
      <c r="I1215" t="s">
        <v>94</v>
      </c>
      <c r="J1215" t="s">
        <v>39</v>
      </c>
      <c r="K1215" s="2">
        <v>3.7</v>
      </c>
      <c r="L1215" t="s">
        <v>152</v>
      </c>
      <c r="M1215" t="s">
        <v>35</v>
      </c>
      <c r="N1215" t="s">
        <v>28</v>
      </c>
      <c r="O1215" t="s">
        <v>26</v>
      </c>
      <c r="P1215" t="s">
        <v>26</v>
      </c>
      <c r="Q1215" s="3">
        <v>14</v>
      </c>
      <c r="R1215" t="s">
        <v>59</v>
      </c>
      <c r="S1215" t="s">
        <v>97</v>
      </c>
    </row>
    <row r="1216" spans="1:19" x14ac:dyDescent="0.25">
      <c r="A1216">
        <v>1215</v>
      </c>
      <c r="B1216">
        <v>30</v>
      </c>
      <c r="C1216" t="s">
        <v>19</v>
      </c>
      <c r="D1216" t="s">
        <v>102</v>
      </c>
      <c r="E1216" t="s">
        <v>65</v>
      </c>
      <c r="F1216" s="1">
        <v>81</v>
      </c>
      <c r="G1216" t="s">
        <v>129</v>
      </c>
      <c r="H1216" t="s">
        <v>45</v>
      </c>
      <c r="I1216" t="s">
        <v>144</v>
      </c>
      <c r="J1216" t="s">
        <v>58</v>
      </c>
      <c r="K1216" s="2">
        <v>3.8</v>
      </c>
      <c r="L1216" t="s">
        <v>152</v>
      </c>
      <c r="M1216" t="s">
        <v>35</v>
      </c>
      <c r="N1216" t="s">
        <v>40</v>
      </c>
      <c r="O1216" t="s">
        <v>26</v>
      </c>
      <c r="P1216" t="s">
        <v>26</v>
      </c>
      <c r="Q1216" s="3">
        <v>5</v>
      </c>
      <c r="R1216" t="s">
        <v>35</v>
      </c>
      <c r="S1216" t="s">
        <v>97</v>
      </c>
    </row>
    <row r="1217" spans="1:19" x14ac:dyDescent="0.25">
      <c r="A1217">
        <v>1216</v>
      </c>
      <c r="B1217">
        <v>66</v>
      </c>
      <c r="C1217" t="s">
        <v>19</v>
      </c>
      <c r="D1217" t="s">
        <v>20</v>
      </c>
      <c r="E1217" t="s">
        <v>21</v>
      </c>
      <c r="F1217" s="1">
        <v>20</v>
      </c>
      <c r="G1217" t="s">
        <v>48</v>
      </c>
      <c r="H1217" t="s">
        <v>23</v>
      </c>
      <c r="I1217" t="s">
        <v>71</v>
      </c>
      <c r="J1217" t="s">
        <v>25</v>
      </c>
      <c r="K1217" s="2">
        <v>2.6</v>
      </c>
      <c r="L1217" t="s">
        <v>152</v>
      </c>
      <c r="M1217" t="s">
        <v>35</v>
      </c>
      <c r="N1217" t="s">
        <v>72</v>
      </c>
      <c r="O1217" t="s">
        <v>26</v>
      </c>
      <c r="P1217" t="s">
        <v>26</v>
      </c>
      <c r="Q1217" s="3">
        <v>15</v>
      </c>
      <c r="R1217" t="s">
        <v>27</v>
      </c>
      <c r="S1217" t="s">
        <v>97</v>
      </c>
    </row>
    <row r="1218" spans="1:19" x14ac:dyDescent="0.25">
      <c r="A1218">
        <v>1217</v>
      </c>
      <c r="B1218">
        <v>62</v>
      </c>
      <c r="C1218" t="s">
        <v>19</v>
      </c>
      <c r="D1218" t="s">
        <v>95</v>
      </c>
      <c r="E1218" t="s">
        <v>21</v>
      </c>
      <c r="F1218" s="1">
        <v>32</v>
      </c>
      <c r="G1218" t="s">
        <v>140</v>
      </c>
      <c r="H1218" t="s">
        <v>92</v>
      </c>
      <c r="I1218" t="s">
        <v>93</v>
      </c>
      <c r="J1218" t="s">
        <v>54</v>
      </c>
      <c r="K1218" s="2">
        <v>3.7</v>
      </c>
      <c r="L1218" t="s">
        <v>152</v>
      </c>
      <c r="M1218" t="s">
        <v>46</v>
      </c>
      <c r="N1218" t="s">
        <v>40</v>
      </c>
      <c r="O1218" t="s">
        <v>26</v>
      </c>
      <c r="P1218" t="s">
        <v>26</v>
      </c>
      <c r="Q1218" s="3">
        <v>3</v>
      </c>
      <c r="R1218" t="s">
        <v>29</v>
      </c>
      <c r="S1218" t="s">
        <v>97</v>
      </c>
    </row>
    <row r="1219" spans="1:19" x14ac:dyDescent="0.25">
      <c r="A1219">
        <v>1218</v>
      </c>
      <c r="B1219">
        <v>50</v>
      </c>
      <c r="C1219" t="s">
        <v>19</v>
      </c>
      <c r="D1219" t="s">
        <v>137</v>
      </c>
      <c r="E1219" t="s">
        <v>43</v>
      </c>
      <c r="F1219" s="1">
        <v>63</v>
      </c>
      <c r="G1219" t="s">
        <v>145</v>
      </c>
      <c r="H1219" t="s">
        <v>92</v>
      </c>
      <c r="I1219" t="s">
        <v>109</v>
      </c>
      <c r="J1219" t="s">
        <v>58</v>
      </c>
      <c r="K1219" s="2">
        <v>2.6</v>
      </c>
      <c r="L1219" t="s">
        <v>152</v>
      </c>
      <c r="M1219" t="s">
        <v>59</v>
      </c>
      <c r="N1219" t="s">
        <v>40</v>
      </c>
      <c r="O1219" t="s">
        <v>26</v>
      </c>
      <c r="P1219" t="s">
        <v>26</v>
      </c>
      <c r="Q1219" s="3">
        <v>12</v>
      </c>
      <c r="R1219" t="s">
        <v>35</v>
      </c>
      <c r="S1219" t="s">
        <v>97</v>
      </c>
    </row>
    <row r="1220" spans="1:19" x14ac:dyDescent="0.25">
      <c r="A1220">
        <v>1219</v>
      </c>
      <c r="B1220">
        <v>55</v>
      </c>
      <c r="C1220" t="s">
        <v>19</v>
      </c>
      <c r="D1220" t="s">
        <v>137</v>
      </c>
      <c r="E1220" t="s">
        <v>43</v>
      </c>
      <c r="F1220" s="1">
        <v>79</v>
      </c>
      <c r="G1220" t="s">
        <v>138</v>
      </c>
      <c r="H1220" t="s">
        <v>45</v>
      </c>
      <c r="I1220" t="s">
        <v>109</v>
      </c>
      <c r="J1220" t="s">
        <v>39</v>
      </c>
      <c r="K1220" s="2">
        <v>3.1</v>
      </c>
      <c r="L1220" t="s">
        <v>152</v>
      </c>
      <c r="M1220" t="s">
        <v>29</v>
      </c>
      <c r="N1220" t="s">
        <v>76</v>
      </c>
      <c r="O1220" t="s">
        <v>26</v>
      </c>
      <c r="P1220" t="s">
        <v>26</v>
      </c>
      <c r="Q1220" s="3">
        <v>43</v>
      </c>
      <c r="R1220" t="s">
        <v>35</v>
      </c>
      <c r="S1220" t="s">
        <v>97</v>
      </c>
    </row>
    <row r="1221" spans="1:19" x14ac:dyDescent="0.25">
      <c r="A1221">
        <v>1220</v>
      </c>
      <c r="B1221">
        <v>19</v>
      </c>
      <c r="C1221" t="s">
        <v>19</v>
      </c>
      <c r="D1221" t="s">
        <v>31</v>
      </c>
      <c r="E1221" t="s">
        <v>21</v>
      </c>
      <c r="F1221" s="1">
        <v>23</v>
      </c>
      <c r="G1221" t="s">
        <v>129</v>
      </c>
      <c r="H1221" t="s">
        <v>45</v>
      </c>
      <c r="I1221" t="s">
        <v>81</v>
      </c>
      <c r="J1221" t="s">
        <v>25</v>
      </c>
      <c r="K1221" s="2">
        <v>2.5</v>
      </c>
      <c r="L1221" t="s">
        <v>152</v>
      </c>
      <c r="M1221" t="s">
        <v>34</v>
      </c>
      <c r="N1221" t="s">
        <v>47</v>
      </c>
      <c r="O1221" t="s">
        <v>26</v>
      </c>
      <c r="P1221" t="s">
        <v>26</v>
      </c>
      <c r="Q1221" s="3">
        <v>35</v>
      </c>
      <c r="R1221" t="s">
        <v>27</v>
      </c>
      <c r="S1221" t="s">
        <v>77</v>
      </c>
    </row>
    <row r="1222" spans="1:19" x14ac:dyDescent="0.25">
      <c r="A1222">
        <v>1221</v>
      </c>
      <c r="B1222">
        <v>67</v>
      </c>
      <c r="C1222" t="s">
        <v>19</v>
      </c>
      <c r="D1222" t="s">
        <v>143</v>
      </c>
      <c r="E1222" t="s">
        <v>69</v>
      </c>
      <c r="F1222" s="1">
        <v>64</v>
      </c>
      <c r="G1222" t="s">
        <v>22</v>
      </c>
      <c r="H1222" t="s">
        <v>45</v>
      </c>
      <c r="I1222" t="s">
        <v>96</v>
      </c>
      <c r="J1222" t="s">
        <v>25</v>
      </c>
      <c r="K1222" s="2">
        <v>4.9000000000000004</v>
      </c>
      <c r="L1222" t="s">
        <v>152</v>
      </c>
      <c r="M1222" t="s">
        <v>34</v>
      </c>
      <c r="N1222" t="s">
        <v>28</v>
      </c>
      <c r="O1222" t="s">
        <v>26</v>
      </c>
      <c r="P1222" t="s">
        <v>26</v>
      </c>
      <c r="Q1222" s="3">
        <v>36</v>
      </c>
      <c r="R1222" t="s">
        <v>34</v>
      </c>
      <c r="S1222" t="s">
        <v>60</v>
      </c>
    </row>
    <row r="1223" spans="1:19" x14ac:dyDescent="0.25">
      <c r="A1223">
        <v>1222</v>
      </c>
      <c r="B1223">
        <v>18</v>
      </c>
      <c r="C1223" t="s">
        <v>19</v>
      </c>
      <c r="D1223" t="s">
        <v>125</v>
      </c>
      <c r="E1223" t="s">
        <v>21</v>
      </c>
      <c r="F1223" s="1">
        <v>69</v>
      </c>
      <c r="G1223" t="s">
        <v>146</v>
      </c>
      <c r="H1223" t="s">
        <v>45</v>
      </c>
      <c r="I1223" t="s">
        <v>108</v>
      </c>
      <c r="J1223" t="s">
        <v>25</v>
      </c>
      <c r="K1223" s="2">
        <v>4.5</v>
      </c>
      <c r="L1223" t="s">
        <v>152</v>
      </c>
      <c r="M1223" t="s">
        <v>34</v>
      </c>
      <c r="N1223" t="s">
        <v>55</v>
      </c>
      <c r="O1223" t="s">
        <v>26</v>
      </c>
      <c r="P1223" t="s">
        <v>26</v>
      </c>
      <c r="Q1223" s="3">
        <v>3</v>
      </c>
      <c r="R1223" t="s">
        <v>35</v>
      </c>
      <c r="S1223" t="s">
        <v>60</v>
      </c>
    </row>
    <row r="1224" spans="1:19" x14ac:dyDescent="0.25">
      <c r="A1224">
        <v>1223</v>
      </c>
      <c r="B1224">
        <v>58</v>
      </c>
      <c r="C1224" t="s">
        <v>19</v>
      </c>
      <c r="D1224" t="s">
        <v>36</v>
      </c>
      <c r="E1224" t="s">
        <v>21</v>
      </c>
      <c r="F1224" s="1">
        <v>69</v>
      </c>
      <c r="G1224" t="s">
        <v>116</v>
      </c>
      <c r="H1224" t="s">
        <v>23</v>
      </c>
      <c r="I1224" t="s">
        <v>136</v>
      </c>
      <c r="J1224" t="s">
        <v>58</v>
      </c>
      <c r="K1224" s="2">
        <v>3.4</v>
      </c>
      <c r="L1224" t="s">
        <v>152</v>
      </c>
      <c r="M1224" t="s">
        <v>34</v>
      </c>
      <c r="N1224" t="s">
        <v>76</v>
      </c>
      <c r="O1224" t="s">
        <v>26</v>
      </c>
      <c r="P1224" t="s">
        <v>26</v>
      </c>
      <c r="Q1224" s="3">
        <v>27</v>
      </c>
      <c r="R1224" t="s">
        <v>34</v>
      </c>
      <c r="S1224" t="s">
        <v>50</v>
      </c>
    </row>
    <row r="1225" spans="1:19" x14ac:dyDescent="0.25">
      <c r="A1225">
        <v>1224</v>
      </c>
      <c r="B1225">
        <v>69</v>
      </c>
      <c r="C1225" t="s">
        <v>19</v>
      </c>
      <c r="D1225" t="s">
        <v>95</v>
      </c>
      <c r="E1225" t="s">
        <v>21</v>
      </c>
      <c r="F1225" s="1">
        <v>24</v>
      </c>
      <c r="G1225" t="s">
        <v>111</v>
      </c>
      <c r="H1225" t="s">
        <v>23</v>
      </c>
      <c r="I1225" t="s">
        <v>108</v>
      </c>
      <c r="J1225" t="s">
        <v>25</v>
      </c>
      <c r="K1225" s="2">
        <v>3.9</v>
      </c>
      <c r="L1225" t="s">
        <v>152</v>
      </c>
      <c r="M1225" t="s">
        <v>27</v>
      </c>
      <c r="N1225" t="s">
        <v>40</v>
      </c>
      <c r="O1225" t="s">
        <v>26</v>
      </c>
      <c r="P1225" t="s">
        <v>26</v>
      </c>
      <c r="Q1225" s="3">
        <v>21</v>
      </c>
      <c r="R1225" t="s">
        <v>34</v>
      </c>
      <c r="S1225" t="s">
        <v>41</v>
      </c>
    </row>
    <row r="1226" spans="1:19" x14ac:dyDescent="0.25">
      <c r="A1226">
        <v>1225</v>
      </c>
      <c r="B1226">
        <v>62</v>
      </c>
      <c r="C1226" t="s">
        <v>19</v>
      </c>
      <c r="D1226" t="s">
        <v>61</v>
      </c>
      <c r="E1226" t="s">
        <v>21</v>
      </c>
      <c r="F1226" s="1">
        <v>50</v>
      </c>
      <c r="G1226" t="s">
        <v>115</v>
      </c>
      <c r="H1226" t="s">
        <v>45</v>
      </c>
      <c r="I1226" t="s">
        <v>134</v>
      </c>
      <c r="J1226" t="s">
        <v>54</v>
      </c>
      <c r="K1226" s="2">
        <v>3.7</v>
      </c>
      <c r="L1226" t="s">
        <v>152</v>
      </c>
      <c r="M1226" t="s">
        <v>34</v>
      </c>
      <c r="N1226" t="s">
        <v>76</v>
      </c>
      <c r="O1226" t="s">
        <v>26</v>
      </c>
      <c r="P1226" t="s">
        <v>26</v>
      </c>
      <c r="Q1226" s="3">
        <v>18</v>
      </c>
      <c r="R1226" t="s">
        <v>29</v>
      </c>
      <c r="S1226" t="s">
        <v>41</v>
      </c>
    </row>
    <row r="1227" spans="1:19" x14ac:dyDescent="0.25">
      <c r="A1227">
        <v>1226</v>
      </c>
      <c r="B1227">
        <v>28</v>
      </c>
      <c r="C1227" t="s">
        <v>19</v>
      </c>
      <c r="D1227" t="s">
        <v>143</v>
      </c>
      <c r="E1227" t="s">
        <v>69</v>
      </c>
      <c r="F1227" s="1">
        <v>97</v>
      </c>
      <c r="G1227" t="s">
        <v>98</v>
      </c>
      <c r="H1227" t="s">
        <v>38</v>
      </c>
      <c r="I1227" t="s">
        <v>49</v>
      </c>
      <c r="J1227" t="s">
        <v>58</v>
      </c>
      <c r="K1227" s="2">
        <v>2.6</v>
      </c>
      <c r="L1227" t="s">
        <v>152</v>
      </c>
      <c r="M1227" t="s">
        <v>27</v>
      </c>
      <c r="N1227" t="s">
        <v>40</v>
      </c>
      <c r="O1227" t="s">
        <v>26</v>
      </c>
      <c r="P1227" t="s">
        <v>26</v>
      </c>
      <c r="Q1227" s="3">
        <v>16</v>
      </c>
      <c r="R1227" t="s">
        <v>59</v>
      </c>
      <c r="S1227" t="s">
        <v>41</v>
      </c>
    </row>
    <row r="1228" spans="1:19" x14ac:dyDescent="0.25">
      <c r="A1228">
        <v>1227</v>
      </c>
      <c r="B1228">
        <v>53</v>
      </c>
      <c r="C1228" t="s">
        <v>19</v>
      </c>
      <c r="D1228" t="s">
        <v>42</v>
      </c>
      <c r="E1228" t="s">
        <v>43</v>
      </c>
      <c r="F1228" s="1">
        <v>91</v>
      </c>
      <c r="G1228" t="s">
        <v>123</v>
      </c>
      <c r="H1228" t="s">
        <v>38</v>
      </c>
      <c r="I1228" t="s">
        <v>109</v>
      </c>
      <c r="J1228" t="s">
        <v>58</v>
      </c>
      <c r="K1228" s="2">
        <v>3.4</v>
      </c>
      <c r="L1228" t="s">
        <v>152</v>
      </c>
      <c r="M1228" t="s">
        <v>46</v>
      </c>
      <c r="N1228" t="s">
        <v>76</v>
      </c>
      <c r="O1228" t="s">
        <v>26</v>
      </c>
      <c r="P1228" t="s">
        <v>26</v>
      </c>
      <c r="Q1228" s="3">
        <v>18</v>
      </c>
      <c r="R1228" t="s">
        <v>29</v>
      </c>
      <c r="S1228" t="s">
        <v>77</v>
      </c>
    </row>
    <row r="1229" spans="1:19" x14ac:dyDescent="0.25">
      <c r="A1229">
        <v>1228</v>
      </c>
      <c r="B1229">
        <v>27</v>
      </c>
      <c r="C1229" t="s">
        <v>19</v>
      </c>
      <c r="D1229" t="s">
        <v>20</v>
      </c>
      <c r="E1229" t="s">
        <v>21</v>
      </c>
      <c r="F1229" s="1">
        <v>37</v>
      </c>
      <c r="G1229" t="s">
        <v>115</v>
      </c>
      <c r="H1229" t="s">
        <v>23</v>
      </c>
      <c r="I1229" t="s">
        <v>134</v>
      </c>
      <c r="J1229" t="s">
        <v>39</v>
      </c>
      <c r="K1229" s="2">
        <v>4.9000000000000004</v>
      </c>
      <c r="L1229" t="s">
        <v>152</v>
      </c>
      <c r="M1229" t="s">
        <v>29</v>
      </c>
      <c r="N1229" t="s">
        <v>76</v>
      </c>
      <c r="O1229" t="s">
        <v>26</v>
      </c>
      <c r="P1229" t="s">
        <v>26</v>
      </c>
      <c r="Q1229" s="3">
        <v>19</v>
      </c>
      <c r="R1229" t="s">
        <v>34</v>
      </c>
      <c r="S1229" t="s">
        <v>77</v>
      </c>
    </row>
    <row r="1230" spans="1:19" x14ac:dyDescent="0.25">
      <c r="A1230">
        <v>1229</v>
      </c>
      <c r="B1230">
        <v>55</v>
      </c>
      <c r="C1230" t="s">
        <v>19</v>
      </c>
      <c r="D1230" t="s">
        <v>102</v>
      </c>
      <c r="E1230" t="s">
        <v>65</v>
      </c>
      <c r="F1230" s="1">
        <v>55</v>
      </c>
      <c r="G1230" t="s">
        <v>116</v>
      </c>
      <c r="H1230" t="s">
        <v>38</v>
      </c>
      <c r="I1230" t="s">
        <v>134</v>
      </c>
      <c r="J1230" t="s">
        <v>25</v>
      </c>
      <c r="K1230" s="2">
        <v>3.9</v>
      </c>
      <c r="L1230" t="s">
        <v>152</v>
      </c>
      <c r="M1230" t="s">
        <v>29</v>
      </c>
      <c r="N1230" t="s">
        <v>28</v>
      </c>
      <c r="O1230" t="s">
        <v>26</v>
      </c>
      <c r="P1230" t="s">
        <v>26</v>
      </c>
      <c r="Q1230" s="3">
        <v>1</v>
      </c>
      <c r="R1230" t="s">
        <v>35</v>
      </c>
      <c r="S1230" t="s">
        <v>50</v>
      </c>
    </row>
    <row r="1231" spans="1:19" x14ac:dyDescent="0.25">
      <c r="A1231">
        <v>1230</v>
      </c>
      <c r="B1231">
        <v>34</v>
      </c>
      <c r="C1231" t="s">
        <v>19</v>
      </c>
      <c r="D1231" t="s">
        <v>106</v>
      </c>
      <c r="E1231" t="s">
        <v>69</v>
      </c>
      <c r="F1231" s="1">
        <v>52</v>
      </c>
      <c r="G1231" t="s">
        <v>111</v>
      </c>
      <c r="H1231" t="s">
        <v>92</v>
      </c>
      <c r="I1231" t="s">
        <v>33</v>
      </c>
      <c r="J1231" t="s">
        <v>25</v>
      </c>
      <c r="K1231" s="2">
        <v>3.6</v>
      </c>
      <c r="L1231" t="s">
        <v>152</v>
      </c>
      <c r="M1231" t="s">
        <v>29</v>
      </c>
      <c r="N1231" t="s">
        <v>28</v>
      </c>
      <c r="O1231" t="s">
        <v>26</v>
      </c>
      <c r="P1231" t="s">
        <v>26</v>
      </c>
      <c r="Q1231" s="3">
        <v>39</v>
      </c>
      <c r="R1231" t="s">
        <v>34</v>
      </c>
      <c r="S1231" t="s">
        <v>50</v>
      </c>
    </row>
    <row r="1232" spans="1:19" x14ac:dyDescent="0.25">
      <c r="A1232">
        <v>1231</v>
      </c>
      <c r="B1232">
        <v>25</v>
      </c>
      <c r="C1232" t="s">
        <v>19</v>
      </c>
      <c r="D1232" t="s">
        <v>124</v>
      </c>
      <c r="E1232" t="s">
        <v>69</v>
      </c>
      <c r="F1232" s="1">
        <v>80</v>
      </c>
      <c r="G1232" t="s">
        <v>115</v>
      </c>
      <c r="H1232" t="s">
        <v>23</v>
      </c>
      <c r="I1232" t="s">
        <v>110</v>
      </c>
      <c r="J1232" t="s">
        <v>39</v>
      </c>
      <c r="K1232" s="2">
        <v>4.5999999999999996</v>
      </c>
      <c r="L1232" t="s">
        <v>152</v>
      </c>
      <c r="M1232" t="s">
        <v>59</v>
      </c>
      <c r="N1232" t="s">
        <v>55</v>
      </c>
      <c r="O1232" t="s">
        <v>26</v>
      </c>
      <c r="P1232" t="s">
        <v>26</v>
      </c>
      <c r="Q1232" s="3">
        <v>49</v>
      </c>
      <c r="R1232" t="s">
        <v>29</v>
      </c>
      <c r="S1232" t="s">
        <v>88</v>
      </c>
    </row>
    <row r="1233" spans="1:19" x14ac:dyDescent="0.25">
      <c r="A1233">
        <v>1232</v>
      </c>
      <c r="B1233">
        <v>66</v>
      </c>
      <c r="C1233" t="s">
        <v>19</v>
      </c>
      <c r="D1233" t="s">
        <v>125</v>
      </c>
      <c r="E1233" t="s">
        <v>21</v>
      </c>
      <c r="F1233" s="1">
        <v>79</v>
      </c>
      <c r="G1233" t="s">
        <v>138</v>
      </c>
      <c r="H1233" t="s">
        <v>45</v>
      </c>
      <c r="I1233" t="s">
        <v>81</v>
      </c>
      <c r="J1233" t="s">
        <v>39</v>
      </c>
      <c r="K1233" s="2">
        <v>4</v>
      </c>
      <c r="L1233" t="s">
        <v>152</v>
      </c>
      <c r="M1233" t="s">
        <v>27</v>
      </c>
      <c r="N1233" t="s">
        <v>72</v>
      </c>
      <c r="O1233" t="s">
        <v>26</v>
      </c>
      <c r="P1233" t="s">
        <v>26</v>
      </c>
      <c r="Q1233" s="3">
        <v>43</v>
      </c>
      <c r="R1233" t="s">
        <v>27</v>
      </c>
      <c r="S1233" t="s">
        <v>30</v>
      </c>
    </row>
    <row r="1234" spans="1:19" x14ac:dyDescent="0.25">
      <c r="A1234">
        <v>1233</v>
      </c>
      <c r="B1234">
        <v>57</v>
      </c>
      <c r="C1234" t="s">
        <v>19</v>
      </c>
      <c r="D1234" t="s">
        <v>68</v>
      </c>
      <c r="E1234" t="s">
        <v>69</v>
      </c>
      <c r="F1234" s="1">
        <v>23</v>
      </c>
      <c r="G1234" t="s">
        <v>85</v>
      </c>
      <c r="H1234" t="s">
        <v>45</v>
      </c>
      <c r="I1234" t="s">
        <v>63</v>
      </c>
      <c r="J1234" t="s">
        <v>54</v>
      </c>
      <c r="K1234" s="2">
        <v>3.6</v>
      </c>
      <c r="L1234" t="s">
        <v>152</v>
      </c>
      <c r="M1234" t="s">
        <v>35</v>
      </c>
      <c r="N1234" t="s">
        <v>40</v>
      </c>
      <c r="O1234" t="s">
        <v>26</v>
      </c>
      <c r="P1234" t="s">
        <v>26</v>
      </c>
      <c r="Q1234" s="3">
        <v>31</v>
      </c>
      <c r="R1234" t="s">
        <v>59</v>
      </c>
      <c r="S1234" t="s">
        <v>97</v>
      </c>
    </row>
    <row r="1235" spans="1:19" x14ac:dyDescent="0.25">
      <c r="A1235">
        <v>1234</v>
      </c>
      <c r="B1235">
        <v>46</v>
      </c>
      <c r="C1235" t="s">
        <v>19</v>
      </c>
      <c r="D1235" t="s">
        <v>95</v>
      </c>
      <c r="E1235" t="s">
        <v>21</v>
      </c>
      <c r="F1235" s="1">
        <v>73</v>
      </c>
      <c r="G1235" t="s">
        <v>140</v>
      </c>
      <c r="H1235" t="s">
        <v>23</v>
      </c>
      <c r="I1235" t="s">
        <v>118</v>
      </c>
      <c r="J1235" t="s">
        <v>25</v>
      </c>
      <c r="K1235" s="2">
        <v>3.5</v>
      </c>
      <c r="L1235" t="s">
        <v>152</v>
      </c>
      <c r="M1235" t="s">
        <v>35</v>
      </c>
      <c r="N1235" t="s">
        <v>47</v>
      </c>
      <c r="O1235" t="s">
        <v>26</v>
      </c>
      <c r="P1235" t="s">
        <v>26</v>
      </c>
      <c r="Q1235" s="3">
        <v>40</v>
      </c>
      <c r="R1235" t="s">
        <v>29</v>
      </c>
      <c r="S1235" t="s">
        <v>97</v>
      </c>
    </row>
    <row r="1236" spans="1:19" x14ac:dyDescent="0.25">
      <c r="A1236">
        <v>1235</v>
      </c>
      <c r="B1236">
        <v>38</v>
      </c>
      <c r="C1236" t="s">
        <v>19</v>
      </c>
      <c r="D1236" t="s">
        <v>143</v>
      </c>
      <c r="E1236" t="s">
        <v>69</v>
      </c>
      <c r="F1236" s="1">
        <v>99</v>
      </c>
      <c r="G1236" t="s">
        <v>127</v>
      </c>
      <c r="H1236" t="s">
        <v>45</v>
      </c>
      <c r="I1236" t="s">
        <v>126</v>
      </c>
      <c r="J1236" t="s">
        <v>58</v>
      </c>
      <c r="K1236" s="2">
        <v>4.0999999999999996</v>
      </c>
      <c r="L1236" t="s">
        <v>152</v>
      </c>
      <c r="M1236" t="s">
        <v>35</v>
      </c>
      <c r="N1236" t="s">
        <v>76</v>
      </c>
      <c r="O1236" t="s">
        <v>26</v>
      </c>
      <c r="P1236" t="s">
        <v>26</v>
      </c>
      <c r="Q1236" s="3">
        <v>2</v>
      </c>
      <c r="R1236" t="s">
        <v>34</v>
      </c>
      <c r="S1236" t="s">
        <v>77</v>
      </c>
    </row>
    <row r="1237" spans="1:19" x14ac:dyDescent="0.25">
      <c r="A1237">
        <v>1236</v>
      </c>
      <c r="B1237">
        <v>23</v>
      </c>
      <c r="C1237" t="s">
        <v>19</v>
      </c>
      <c r="D1237" t="s">
        <v>31</v>
      </c>
      <c r="E1237" t="s">
        <v>21</v>
      </c>
      <c r="F1237" s="1">
        <v>22</v>
      </c>
      <c r="G1237" t="s">
        <v>135</v>
      </c>
      <c r="H1237" t="s">
        <v>45</v>
      </c>
      <c r="I1237" t="s">
        <v>108</v>
      </c>
      <c r="J1237" t="s">
        <v>39</v>
      </c>
      <c r="K1237" s="2">
        <v>3</v>
      </c>
      <c r="L1237" t="s">
        <v>152</v>
      </c>
      <c r="M1237" t="s">
        <v>34</v>
      </c>
      <c r="N1237" t="s">
        <v>76</v>
      </c>
      <c r="O1237" t="s">
        <v>26</v>
      </c>
      <c r="P1237" t="s">
        <v>26</v>
      </c>
      <c r="Q1237" s="3">
        <v>46</v>
      </c>
      <c r="R1237" t="s">
        <v>46</v>
      </c>
      <c r="S1237" t="s">
        <v>97</v>
      </c>
    </row>
    <row r="1238" spans="1:19" x14ac:dyDescent="0.25">
      <c r="A1238">
        <v>1237</v>
      </c>
      <c r="B1238">
        <v>42</v>
      </c>
      <c r="C1238" t="s">
        <v>19</v>
      </c>
      <c r="D1238" t="s">
        <v>124</v>
      </c>
      <c r="E1238" t="s">
        <v>69</v>
      </c>
      <c r="F1238" s="1">
        <v>68</v>
      </c>
      <c r="G1238" t="s">
        <v>130</v>
      </c>
      <c r="H1238" t="s">
        <v>45</v>
      </c>
      <c r="I1238" t="s">
        <v>53</v>
      </c>
      <c r="J1238" t="s">
        <v>54</v>
      </c>
      <c r="K1238" s="2">
        <v>4.4000000000000004</v>
      </c>
      <c r="L1238" t="s">
        <v>152</v>
      </c>
      <c r="M1238" t="s">
        <v>46</v>
      </c>
      <c r="N1238" t="s">
        <v>76</v>
      </c>
      <c r="O1238" t="s">
        <v>26</v>
      </c>
      <c r="P1238" t="s">
        <v>26</v>
      </c>
      <c r="Q1238" s="3">
        <v>35</v>
      </c>
      <c r="R1238" t="s">
        <v>59</v>
      </c>
      <c r="S1238" t="s">
        <v>97</v>
      </c>
    </row>
    <row r="1239" spans="1:19" x14ac:dyDescent="0.25">
      <c r="A1239">
        <v>1238</v>
      </c>
      <c r="B1239">
        <v>25</v>
      </c>
      <c r="C1239" t="s">
        <v>19</v>
      </c>
      <c r="D1239" t="s">
        <v>82</v>
      </c>
      <c r="E1239" t="s">
        <v>21</v>
      </c>
      <c r="F1239" s="1">
        <v>92</v>
      </c>
      <c r="G1239" t="s">
        <v>151</v>
      </c>
      <c r="H1239" t="s">
        <v>38</v>
      </c>
      <c r="I1239" t="s">
        <v>63</v>
      </c>
      <c r="J1239" t="s">
        <v>39</v>
      </c>
      <c r="K1239" s="2">
        <v>4.4000000000000004</v>
      </c>
      <c r="L1239" t="s">
        <v>152</v>
      </c>
      <c r="M1239" t="s">
        <v>27</v>
      </c>
      <c r="N1239" t="s">
        <v>72</v>
      </c>
      <c r="O1239" t="s">
        <v>26</v>
      </c>
      <c r="P1239" t="s">
        <v>26</v>
      </c>
      <c r="Q1239" s="3">
        <v>42</v>
      </c>
      <c r="R1239" t="s">
        <v>27</v>
      </c>
      <c r="S1239" t="s">
        <v>60</v>
      </c>
    </row>
    <row r="1240" spans="1:19" x14ac:dyDescent="0.25">
      <c r="A1240">
        <v>1239</v>
      </c>
      <c r="B1240">
        <v>55</v>
      </c>
      <c r="C1240" t="s">
        <v>19</v>
      </c>
      <c r="D1240" t="s">
        <v>95</v>
      </c>
      <c r="E1240" t="s">
        <v>21</v>
      </c>
      <c r="F1240" s="1">
        <v>77</v>
      </c>
      <c r="G1240" t="s">
        <v>52</v>
      </c>
      <c r="H1240" t="s">
        <v>45</v>
      </c>
      <c r="I1240" t="s">
        <v>84</v>
      </c>
      <c r="J1240" t="s">
        <v>25</v>
      </c>
      <c r="K1240" s="2">
        <v>3.7</v>
      </c>
      <c r="L1240" t="s">
        <v>152</v>
      </c>
      <c r="M1240" t="s">
        <v>46</v>
      </c>
      <c r="N1240" t="s">
        <v>28</v>
      </c>
      <c r="O1240" t="s">
        <v>26</v>
      </c>
      <c r="P1240" t="s">
        <v>26</v>
      </c>
      <c r="Q1240" s="3">
        <v>3</v>
      </c>
      <c r="R1240" t="s">
        <v>29</v>
      </c>
      <c r="S1240" t="s">
        <v>30</v>
      </c>
    </row>
    <row r="1241" spans="1:19" x14ac:dyDescent="0.25">
      <c r="A1241">
        <v>1240</v>
      </c>
      <c r="B1241">
        <v>62</v>
      </c>
      <c r="C1241" t="s">
        <v>19</v>
      </c>
      <c r="D1241" t="s">
        <v>64</v>
      </c>
      <c r="E1241" t="s">
        <v>65</v>
      </c>
      <c r="F1241" s="1">
        <v>37</v>
      </c>
      <c r="G1241" t="s">
        <v>127</v>
      </c>
      <c r="H1241" t="s">
        <v>92</v>
      </c>
      <c r="I1241" t="s">
        <v>136</v>
      </c>
      <c r="J1241" t="s">
        <v>39</v>
      </c>
      <c r="K1241" s="2">
        <v>4.8</v>
      </c>
      <c r="L1241" t="s">
        <v>152</v>
      </c>
      <c r="M1241" t="s">
        <v>46</v>
      </c>
      <c r="N1241" t="s">
        <v>55</v>
      </c>
      <c r="O1241" t="s">
        <v>26</v>
      </c>
      <c r="P1241" t="s">
        <v>26</v>
      </c>
      <c r="Q1241" s="3">
        <v>32</v>
      </c>
      <c r="R1241" t="s">
        <v>59</v>
      </c>
      <c r="S1241" t="s">
        <v>97</v>
      </c>
    </row>
    <row r="1242" spans="1:19" x14ac:dyDescent="0.25">
      <c r="A1242">
        <v>1241</v>
      </c>
      <c r="B1242">
        <v>41</v>
      </c>
      <c r="C1242" t="s">
        <v>19</v>
      </c>
      <c r="D1242" t="s">
        <v>119</v>
      </c>
      <c r="E1242" t="s">
        <v>69</v>
      </c>
      <c r="F1242" s="1">
        <v>79</v>
      </c>
      <c r="G1242" t="s">
        <v>127</v>
      </c>
      <c r="H1242" t="s">
        <v>23</v>
      </c>
      <c r="I1242" t="s">
        <v>53</v>
      </c>
      <c r="J1242" t="s">
        <v>25</v>
      </c>
      <c r="K1242" s="2">
        <v>2.9</v>
      </c>
      <c r="L1242" t="s">
        <v>152</v>
      </c>
      <c r="M1242" t="s">
        <v>59</v>
      </c>
      <c r="N1242" t="s">
        <v>76</v>
      </c>
      <c r="O1242" t="s">
        <v>26</v>
      </c>
      <c r="P1242" t="s">
        <v>26</v>
      </c>
      <c r="Q1242" s="3">
        <v>48</v>
      </c>
      <c r="R1242" t="s">
        <v>59</v>
      </c>
      <c r="S1242" t="s">
        <v>50</v>
      </c>
    </row>
    <row r="1243" spans="1:19" x14ac:dyDescent="0.25">
      <c r="A1243">
        <v>1242</v>
      </c>
      <c r="B1243">
        <v>58</v>
      </c>
      <c r="C1243" t="s">
        <v>19</v>
      </c>
      <c r="D1243" t="s">
        <v>104</v>
      </c>
      <c r="E1243" t="s">
        <v>21</v>
      </c>
      <c r="F1243" s="1">
        <v>51</v>
      </c>
      <c r="G1243" t="s">
        <v>78</v>
      </c>
      <c r="H1243" t="s">
        <v>92</v>
      </c>
      <c r="I1243" t="s">
        <v>71</v>
      </c>
      <c r="J1243" t="s">
        <v>25</v>
      </c>
      <c r="K1243" s="2">
        <v>3.1</v>
      </c>
      <c r="L1243" t="s">
        <v>152</v>
      </c>
      <c r="M1243" t="s">
        <v>35</v>
      </c>
      <c r="N1243" t="s">
        <v>28</v>
      </c>
      <c r="O1243" t="s">
        <v>26</v>
      </c>
      <c r="P1243" t="s">
        <v>26</v>
      </c>
      <c r="Q1243" s="3">
        <v>34</v>
      </c>
      <c r="R1243" t="s">
        <v>27</v>
      </c>
      <c r="S1243" t="s">
        <v>41</v>
      </c>
    </row>
    <row r="1244" spans="1:19" x14ac:dyDescent="0.25">
      <c r="A1244">
        <v>1243</v>
      </c>
      <c r="B1244">
        <v>56</v>
      </c>
      <c r="C1244" t="s">
        <v>19</v>
      </c>
      <c r="D1244" t="s">
        <v>125</v>
      </c>
      <c r="E1244" t="s">
        <v>21</v>
      </c>
      <c r="F1244" s="1">
        <v>27</v>
      </c>
      <c r="G1244" t="s">
        <v>107</v>
      </c>
      <c r="H1244" t="s">
        <v>45</v>
      </c>
      <c r="I1244" t="s">
        <v>93</v>
      </c>
      <c r="J1244" t="s">
        <v>54</v>
      </c>
      <c r="K1244" s="2">
        <v>4</v>
      </c>
      <c r="L1244" t="s">
        <v>152</v>
      </c>
      <c r="M1244" t="s">
        <v>34</v>
      </c>
      <c r="N1244" t="s">
        <v>47</v>
      </c>
      <c r="O1244" t="s">
        <v>26</v>
      </c>
      <c r="P1244" t="s">
        <v>26</v>
      </c>
      <c r="Q1244" s="3">
        <v>15</v>
      </c>
      <c r="R1244" t="s">
        <v>34</v>
      </c>
      <c r="S1244" t="s">
        <v>60</v>
      </c>
    </row>
    <row r="1245" spans="1:19" x14ac:dyDescent="0.25">
      <c r="A1245">
        <v>1244</v>
      </c>
      <c r="B1245">
        <v>25</v>
      </c>
      <c r="C1245" t="s">
        <v>19</v>
      </c>
      <c r="D1245" t="s">
        <v>20</v>
      </c>
      <c r="E1245" t="s">
        <v>21</v>
      </c>
      <c r="F1245" s="1">
        <v>23</v>
      </c>
      <c r="G1245" t="s">
        <v>83</v>
      </c>
      <c r="H1245" t="s">
        <v>38</v>
      </c>
      <c r="I1245" t="s">
        <v>71</v>
      </c>
      <c r="J1245" t="s">
        <v>39</v>
      </c>
      <c r="K1245" s="2">
        <v>3</v>
      </c>
      <c r="L1245" t="s">
        <v>152</v>
      </c>
      <c r="M1245" t="s">
        <v>46</v>
      </c>
      <c r="N1245" t="s">
        <v>76</v>
      </c>
      <c r="O1245" t="s">
        <v>26</v>
      </c>
      <c r="P1245" t="s">
        <v>26</v>
      </c>
      <c r="Q1245" s="3">
        <v>22</v>
      </c>
      <c r="R1245" t="s">
        <v>59</v>
      </c>
      <c r="S1245" t="s">
        <v>50</v>
      </c>
    </row>
    <row r="1246" spans="1:19" x14ac:dyDescent="0.25">
      <c r="A1246">
        <v>1245</v>
      </c>
      <c r="B1246">
        <v>70</v>
      </c>
      <c r="C1246" t="s">
        <v>19</v>
      </c>
      <c r="D1246" t="s">
        <v>125</v>
      </c>
      <c r="E1246" t="s">
        <v>21</v>
      </c>
      <c r="F1246" s="1">
        <v>76</v>
      </c>
      <c r="G1246" t="s">
        <v>116</v>
      </c>
      <c r="H1246" t="s">
        <v>38</v>
      </c>
      <c r="I1246" t="s">
        <v>67</v>
      </c>
      <c r="J1246" t="s">
        <v>54</v>
      </c>
      <c r="K1246" s="2">
        <v>3.9</v>
      </c>
      <c r="L1246" t="s">
        <v>152</v>
      </c>
      <c r="M1246" t="s">
        <v>35</v>
      </c>
      <c r="N1246" t="s">
        <v>72</v>
      </c>
      <c r="O1246" t="s">
        <v>26</v>
      </c>
      <c r="P1246" t="s">
        <v>26</v>
      </c>
      <c r="Q1246" s="3">
        <v>2</v>
      </c>
      <c r="R1246" t="s">
        <v>35</v>
      </c>
      <c r="S1246" t="s">
        <v>88</v>
      </c>
    </row>
    <row r="1247" spans="1:19" x14ac:dyDescent="0.25">
      <c r="A1247">
        <v>1246</v>
      </c>
      <c r="B1247">
        <v>42</v>
      </c>
      <c r="C1247" t="s">
        <v>19</v>
      </c>
      <c r="D1247" t="s">
        <v>82</v>
      </c>
      <c r="E1247" t="s">
        <v>21</v>
      </c>
      <c r="F1247" s="1">
        <v>31</v>
      </c>
      <c r="G1247" t="s">
        <v>85</v>
      </c>
      <c r="H1247" t="s">
        <v>45</v>
      </c>
      <c r="I1247" t="s">
        <v>84</v>
      </c>
      <c r="J1247" t="s">
        <v>58</v>
      </c>
      <c r="K1247" s="2">
        <v>3.4</v>
      </c>
      <c r="L1247" t="s">
        <v>152</v>
      </c>
      <c r="M1247" t="s">
        <v>34</v>
      </c>
      <c r="N1247" t="s">
        <v>55</v>
      </c>
      <c r="O1247" t="s">
        <v>26</v>
      </c>
      <c r="P1247" t="s">
        <v>26</v>
      </c>
      <c r="Q1247" s="3">
        <v>30</v>
      </c>
      <c r="R1247" t="s">
        <v>34</v>
      </c>
      <c r="S1247" t="s">
        <v>41</v>
      </c>
    </row>
    <row r="1248" spans="1:19" x14ac:dyDescent="0.25">
      <c r="A1248">
        <v>1247</v>
      </c>
      <c r="B1248">
        <v>27</v>
      </c>
      <c r="C1248" t="s">
        <v>19</v>
      </c>
      <c r="D1248" t="s">
        <v>104</v>
      </c>
      <c r="E1248" t="s">
        <v>21</v>
      </c>
      <c r="F1248" s="1">
        <v>60</v>
      </c>
      <c r="G1248" t="s">
        <v>62</v>
      </c>
      <c r="H1248" t="s">
        <v>45</v>
      </c>
      <c r="I1248" t="s">
        <v>63</v>
      </c>
      <c r="J1248" t="s">
        <v>25</v>
      </c>
      <c r="K1248" s="2">
        <v>2.7</v>
      </c>
      <c r="L1248" t="s">
        <v>152</v>
      </c>
      <c r="M1248" t="s">
        <v>27</v>
      </c>
      <c r="N1248" t="s">
        <v>55</v>
      </c>
      <c r="O1248" t="s">
        <v>26</v>
      </c>
      <c r="P1248" t="s">
        <v>26</v>
      </c>
      <c r="Q1248" s="3">
        <v>27</v>
      </c>
      <c r="R1248" t="s">
        <v>35</v>
      </c>
      <c r="S1248" t="s">
        <v>88</v>
      </c>
    </row>
    <row r="1249" spans="1:19" x14ac:dyDescent="0.25">
      <c r="A1249">
        <v>1248</v>
      </c>
      <c r="B1249">
        <v>65</v>
      </c>
      <c r="C1249" t="s">
        <v>19</v>
      </c>
      <c r="D1249" t="s">
        <v>113</v>
      </c>
      <c r="E1249" t="s">
        <v>21</v>
      </c>
      <c r="F1249" s="1">
        <v>99</v>
      </c>
      <c r="G1249" t="s">
        <v>141</v>
      </c>
      <c r="H1249" t="s">
        <v>45</v>
      </c>
      <c r="I1249" t="s">
        <v>63</v>
      </c>
      <c r="J1249" t="s">
        <v>39</v>
      </c>
      <c r="K1249" s="2">
        <v>3.5</v>
      </c>
      <c r="L1249" t="s">
        <v>152</v>
      </c>
      <c r="M1249" t="s">
        <v>34</v>
      </c>
      <c r="N1249" t="s">
        <v>28</v>
      </c>
      <c r="O1249" t="s">
        <v>26</v>
      </c>
      <c r="P1249" t="s">
        <v>26</v>
      </c>
      <c r="Q1249" s="3">
        <v>18</v>
      </c>
      <c r="R1249" t="s">
        <v>29</v>
      </c>
      <c r="S1249" t="s">
        <v>77</v>
      </c>
    </row>
    <row r="1250" spans="1:19" x14ac:dyDescent="0.25">
      <c r="A1250">
        <v>1249</v>
      </c>
      <c r="B1250">
        <v>62</v>
      </c>
      <c r="C1250" t="s">
        <v>19</v>
      </c>
      <c r="D1250" t="s">
        <v>124</v>
      </c>
      <c r="E1250" t="s">
        <v>69</v>
      </c>
      <c r="F1250" s="1">
        <v>37</v>
      </c>
      <c r="G1250" t="s">
        <v>150</v>
      </c>
      <c r="H1250" t="s">
        <v>92</v>
      </c>
      <c r="I1250" t="s">
        <v>108</v>
      </c>
      <c r="J1250" t="s">
        <v>25</v>
      </c>
      <c r="K1250" s="2">
        <v>3</v>
      </c>
      <c r="L1250" t="s">
        <v>152</v>
      </c>
      <c r="M1250" t="s">
        <v>27</v>
      </c>
      <c r="N1250" t="s">
        <v>40</v>
      </c>
      <c r="O1250" t="s">
        <v>26</v>
      </c>
      <c r="P1250" t="s">
        <v>26</v>
      </c>
      <c r="Q1250" s="3">
        <v>8</v>
      </c>
      <c r="R1250" t="s">
        <v>27</v>
      </c>
      <c r="S1250" t="s">
        <v>50</v>
      </c>
    </row>
    <row r="1251" spans="1:19" x14ac:dyDescent="0.25">
      <c r="A1251">
        <v>1250</v>
      </c>
      <c r="B1251">
        <v>62</v>
      </c>
      <c r="C1251" t="s">
        <v>19</v>
      </c>
      <c r="D1251" t="s">
        <v>137</v>
      </c>
      <c r="E1251" t="s">
        <v>43</v>
      </c>
      <c r="F1251" s="1">
        <v>50</v>
      </c>
      <c r="G1251" t="s">
        <v>48</v>
      </c>
      <c r="H1251" t="s">
        <v>45</v>
      </c>
      <c r="I1251" t="s">
        <v>100</v>
      </c>
      <c r="J1251" t="s">
        <v>25</v>
      </c>
      <c r="K1251" s="2">
        <v>4.5</v>
      </c>
      <c r="L1251" t="s">
        <v>152</v>
      </c>
      <c r="M1251" t="s">
        <v>46</v>
      </c>
      <c r="N1251" t="s">
        <v>28</v>
      </c>
      <c r="O1251" t="s">
        <v>26</v>
      </c>
      <c r="P1251" t="s">
        <v>26</v>
      </c>
      <c r="Q1251" s="3">
        <v>48</v>
      </c>
      <c r="R1251" t="s">
        <v>29</v>
      </c>
      <c r="S1251" t="s">
        <v>30</v>
      </c>
    </row>
    <row r="1252" spans="1:19" x14ac:dyDescent="0.25">
      <c r="A1252">
        <v>1251</v>
      </c>
      <c r="B1252">
        <v>52</v>
      </c>
      <c r="C1252" t="s">
        <v>19</v>
      </c>
      <c r="D1252" t="s">
        <v>36</v>
      </c>
      <c r="E1252" t="s">
        <v>21</v>
      </c>
      <c r="F1252" s="1">
        <v>26</v>
      </c>
      <c r="G1252" t="s">
        <v>83</v>
      </c>
      <c r="H1252" t="s">
        <v>92</v>
      </c>
      <c r="I1252" t="s">
        <v>75</v>
      </c>
      <c r="J1252" t="s">
        <v>25</v>
      </c>
      <c r="K1252" s="2">
        <v>4.0999999999999996</v>
      </c>
      <c r="L1252" t="s">
        <v>152</v>
      </c>
      <c r="M1252" t="s">
        <v>35</v>
      </c>
      <c r="N1252" t="s">
        <v>40</v>
      </c>
      <c r="O1252" t="s">
        <v>26</v>
      </c>
      <c r="P1252" t="s">
        <v>26</v>
      </c>
      <c r="Q1252" s="3">
        <v>24</v>
      </c>
      <c r="R1252" t="s">
        <v>35</v>
      </c>
      <c r="S1252" t="s">
        <v>88</v>
      </c>
    </row>
    <row r="1253" spans="1:19" x14ac:dyDescent="0.25">
      <c r="A1253">
        <v>1252</v>
      </c>
      <c r="B1253">
        <v>56</v>
      </c>
      <c r="C1253" t="s">
        <v>19</v>
      </c>
      <c r="D1253" t="s">
        <v>61</v>
      </c>
      <c r="E1253" t="s">
        <v>21</v>
      </c>
      <c r="F1253" s="1">
        <v>86</v>
      </c>
      <c r="G1253" t="s">
        <v>116</v>
      </c>
      <c r="H1253" t="s">
        <v>92</v>
      </c>
      <c r="I1253" t="s">
        <v>121</v>
      </c>
      <c r="J1253" t="s">
        <v>39</v>
      </c>
      <c r="K1253" s="2">
        <v>5</v>
      </c>
      <c r="L1253" t="s">
        <v>152</v>
      </c>
      <c r="M1253" t="s">
        <v>59</v>
      </c>
      <c r="N1253" t="s">
        <v>47</v>
      </c>
      <c r="O1253" t="s">
        <v>26</v>
      </c>
      <c r="P1253" t="s">
        <v>26</v>
      </c>
      <c r="Q1253" s="3">
        <v>43</v>
      </c>
      <c r="R1253" t="s">
        <v>27</v>
      </c>
      <c r="S1253" t="s">
        <v>88</v>
      </c>
    </row>
    <row r="1254" spans="1:19" x14ac:dyDescent="0.25">
      <c r="A1254">
        <v>1253</v>
      </c>
      <c r="B1254">
        <v>28</v>
      </c>
      <c r="C1254" t="s">
        <v>19</v>
      </c>
      <c r="D1254" t="s">
        <v>42</v>
      </c>
      <c r="E1254" t="s">
        <v>43</v>
      </c>
      <c r="F1254" s="1">
        <v>41</v>
      </c>
      <c r="G1254" t="s">
        <v>37</v>
      </c>
      <c r="H1254" t="s">
        <v>23</v>
      </c>
      <c r="I1254" t="s">
        <v>136</v>
      </c>
      <c r="J1254" t="s">
        <v>58</v>
      </c>
      <c r="K1254" s="2">
        <v>4</v>
      </c>
      <c r="L1254" t="s">
        <v>152</v>
      </c>
      <c r="M1254" t="s">
        <v>29</v>
      </c>
      <c r="N1254" t="s">
        <v>55</v>
      </c>
      <c r="O1254" t="s">
        <v>26</v>
      </c>
      <c r="P1254" t="s">
        <v>26</v>
      </c>
      <c r="Q1254" s="3">
        <v>8</v>
      </c>
      <c r="R1254" t="s">
        <v>35</v>
      </c>
      <c r="S1254" t="s">
        <v>60</v>
      </c>
    </row>
    <row r="1255" spans="1:19" x14ac:dyDescent="0.25">
      <c r="A1255">
        <v>1254</v>
      </c>
      <c r="B1255">
        <v>39</v>
      </c>
      <c r="C1255" t="s">
        <v>19</v>
      </c>
      <c r="D1255" t="s">
        <v>42</v>
      </c>
      <c r="E1255" t="s">
        <v>43</v>
      </c>
      <c r="F1255" s="1">
        <v>23</v>
      </c>
      <c r="G1255" t="s">
        <v>57</v>
      </c>
      <c r="H1255" t="s">
        <v>92</v>
      </c>
      <c r="I1255" t="s">
        <v>108</v>
      </c>
      <c r="J1255" t="s">
        <v>25</v>
      </c>
      <c r="K1255" s="2">
        <v>4.9000000000000004</v>
      </c>
      <c r="L1255" t="s">
        <v>152</v>
      </c>
      <c r="M1255" t="s">
        <v>29</v>
      </c>
      <c r="N1255" t="s">
        <v>28</v>
      </c>
      <c r="O1255" t="s">
        <v>26</v>
      </c>
      <c r="P1255" t="s">
        <v>26</v>
      </c>
      <c r="Q1255" s="3">
        <v>49</v>
      </c>
      <c r="R1255" t="s">
        <v>46</v>
      </c>
      <c r="S1255" t="s">
        <v>50</v>
      </c>
    </row>
    <row r="1256" spans="1:19" x14ac:dyDescent="0.25">
      <c r="A1256">
        <v>1255</v>
      </c>
      <c r="B1256">
        <v>54</v>
      </c>
      <c r="C1256" t="s">
        <v>19</v>
      </c>
      <c r="D1256" t="s">
        <v>51</v>
      </c>
      <c r="E1256" t="s">
        <v>43</v>
      </c>
      <c r="F1256" s="1">
        <v>56</v>
      </c>
      <c r="G1256" t="s">
        <v>99</v>
      </c>
      <c r="H1256" t="s">
        <v>92</v>
      </c>
      <c r="I1256" t="s">
        <v>94</v>
      </c>
      <c r="J1256" t="s">
        <v>39</v>
      </c>
      <c r="K1256" s="2">
        <v>3.3</v>
      </c>
      <c r="L1256" t="s">
        <v>152</v>
      </c>
      <c r="M1256" t="s">
        <v>35</v>
      </c>
      <c r="N1256" t="s">
        <v>72</v>
      </c>
      <c r="O1256" t="s">
        <v>26</v>
      </c>
      <c r="P1256" t="s">
        <v>26</v>
      </c>
      <c r="Q1256" s="3">
        <v>2</v>
      </c>
      <c r="R1256" t="s">
        <v>27</v>
      </c>
      <c r="S1256" t="s">
        <v>77</v>
      </c>
    </row>
    <row r="1257" spans="1:19" x14ac:dyDescent="0.25">
      <c r="A1257">
        <v>1256</v>
      </c>
      <c r="B1257">
        <v>30</v>
      </c>
      <c r="C1257" t="s">
        <v>19</v>
      </c>
      <c r="D1257" t="s">
        <v>124</v>
      </c>
      <c r="E1257" t="s">
        <v>69</v>
      </c>
      <c r="F1257" s="1">
        <v>68</v>
      </c>
      <c r="G1257" t="s">
        <v>116</v>
      </c>
      <c r="H1257" t="s">
        <v>45</v>
      </c>
      <c r="I1257" t="s">
        <v>100</v>
      </c>
      <c r="J1257" t="s">
        <v>58</v>
      </c>
      <c r="K1257" s="2">
        <v>4.0999999999999996</v>
      </c>
      <c r="L1257" t="s">
        <v>152</v>
      </c>
      <c r="M1257" t="s">
        <v>27</v>
      </c>
      <c r="N1257" t="s">
        <v>55</v>
      </c>
      <c r="O1257" t="s">
        <v>26</v>
      </c>
      <c r="P1257" t="s">
        <v>26</v>
      </c>
      <c r="Q1257" s="3">
        <v>38</v>
      </c>
      <c r="R1257" t="s">
        <v>35</v>
      </c>
      <c r="S1257" t="s">
        <v>30</v>
      </c>
    </row>
    <row r="1258" spans="1:19" x14ac:dyDescent="0.25">
      <c r="A1258">
        <v>1257</v>
      </c>
      <c r="B1258">
        <v>45</v>
      </c>
      <c r="C1258" t="s">
        <v>19</v>
      </c>
      <c r="D1258" t="s">
        <v>64</v>
      </c>
      <c r="E1258" t="s">
        <v>65</v>
      </c>
      <c r="F1258" s="1">
        <v>48</v>
      </c>
      <c r="G1258" t="s">
        <v>66</v>
      </c>
      <c r="H1258" t="s">
        <v>38</v>
      </c>
      <c r="I1258" t="s">
        <v>79</v>
      </c>
      <c r="J1258" t="s">
        <v>25</v>
      </c>
      <c r="K1258" s="2">
        <v>3.6</v>
      </c>
      <c r="L1258" t="s">
        <v>152</v>
      </c>
      <c r="M1258" t="s">
        <v>35</v>
      </c>
      <c r="N1258" t="s">
        <v>28</v>
      </c>
      <c r="O1258" t="s">
        <v>26</v>
      </c>
      <c r="P1258" t="s">
        <v>26</v>
      </c>
      <c r="Q1258" s="3">
        <v>4</v>
      </c>
      <c r="R1258" t="s">
        <v>35</v>
      </c>
      <c r="S1258" t="s">
        <v>30</v>
      </c>
    </row>
    <row r="1259" spans="1:19" x14ac:dyDescent="0.25">
      <c r="A1259">
        <v>1258</v>
      </c>
      <c r="B1259">
        <v>68</v>
      </c>
      <c r="C1259" t="s">
        <v>19</v>
      </c>
      <c r="D1259" t="s">
        <v>82</v>
      </c>
      <c r="E1259" t="s">
        <v>21</v>
      </c>
      <c r="F1259" s="1">
        <v>67</v>
      </c>
      <c r="G1259" t="s">
        <v>148</v>
      </c>
      <c r="H1259" t="s">
        <v>23</v>
      </c>
      <c r="I1259" t="s">
        <v>81</v>
      </c>
      <c r="J1259" t="s">
        <v>39</v>
      </c>
      <c r="K1259" s="2">
        <v>3</v>
      </c>
      <c r="L1259" t="s">
        <v>152</v>
      </c>
      <c r="M1259" t="s">
        <v>35</v>
      </c>
      <c r="N1259" t="s">
        <v>40</v>
      </c>
      <c r="O1259" t="s">
        <v>26</v>
      </c>
      <c r="P1259" t="s">
        <v>26</v>
      </c>
      <c r="Q1259" s="3">
        <v>31</v>
      </c>
      <c r="R1259" t="s">
        <v>35</v>
      </c>
      <c r="S1259" t="s">
        <v>97</v>
      </c>
    </row>
    <row r="1260" spans="1:19" x14ac:dyDescent="0.25">
      <c r="A1260">
        <v>1259</v>
      </c>
      <c r="B1260">
        <v>47</v>
      </c>
      <c r="C1260" t="s">
        <v>19</v>
      </c>
      <c r="D1260" t="s">
        <v>137</v>
      </c>
      <c r="E1260" t="s">
        <v>43</v>
      </c>
      <c r="F1260" s="1">
        <v>87</v>
      </c>
      <c r="G1260" t="s">
        <v>123</v>
      </c>
      <c r="H1260" t="s">
        <v>92</v>
      </c>
      <c r="I1260" t="s">
        <v>81</v>
      </c>
      <c r="J1260" t="s">
        <v>39</v>
      </c>
      <c r="K1260" s="2">
        <v>4.0999999999999996</v>
      </c>
      <c r="L1260" t="s">
        <v>152</v>
      </c>
      <c r="M1260" t="s">
        <v>59</v>
      </c>
      <c r="N1260" t="s">
        <v>72</v>
      </c>
      <c r="O1260" t="s">
        <v>26</v>
      </c>
      <c r="P1260" t="s">
        <v>26</v>
      </c>
      <c r="Q1260" s="3">
        <v>34</v>
      </c>
      <c r="R1260" t="s">
        <v>59</v>
      </c>
      <c r="S1260" t="s">
        <v>97</v>
      </c>
    </row>
    <row r="1261" spans="1:19" x14ac:dyDescent="0.25">
      <c r="A1261">
        <v>1260</v>
      </c>
      <c r="B1261">
        <v>68</v>
      </c>
      <c r="C1261" t="s">
        <v>19</v>
      </c>
      <c r="D1261" t="s">
        <v>87</v>
      </c>
      <c r="E1261" t="s">
        <v>21</v>
      </c>
      <c r="F1261" s="1">
        <v>64</v>
      </c>
      <c r="G1261" t="s">
        <v>148</v>
      </c>
      <c r="H1261" t="s">
        <v>45</v>
      </c>
      <c r="I1261" t="s">
        <v>49</v>
      </c>
      <c r="J1261" t="s">
        <v>58</v>
      </c>
      <c r="K1261" s="2">
        <v>3.9</v>
      </c>
      <c r="L1261" t="s">
        <v>152</v>
      </c>
      <c r="M1261" t="s">
        <v>34</v>
      </c>
      <c r="N1261" t="s">
        <v>55</v>
      </c>
      <c r="O1261" t="s">
        <v>26</v>
      </c>
      <c r="P1261" t="s">
        <v>26</v>
      </c>
      <c r="Q1261" s="3">
        <v>45</v>
      </c>
      <c r="R1261" t="s">
        <v>27</v>
      </c>
      <c r="S1261" t="s">
        <v>88</v>
      </c>
    </row>
    <row r="1262" spans="1:19" x14ac:dyDescent="0.25">
      <c r="A1262">
        <v>1261</v>
      </c>
      <c r="B1262">
        <v>63</v>
      </c>
      <c r="C1262" t="s">
        <v>19</v>
      </c>
      <c r="D1262" t="s">
        <v>56</v>
      </c>
      <c r="E1262" t="s">
        <v>21</v>
      </c>
      <c r="F1262" s="1">
        <v>93</v>
      </c>
      <c r="G1262" t="s">
        <v>141</v>
      </c>
      <c r="H1262" t="s">
        <v>92</v>
      </c>
      <c r="I1262" t="s">
        <v>96</v>
      </c>
      <c r="J1262" t="s">
        <v>39</v>
      </c>
      <c r="K1262" s="2">
        <v>4.0999999999999996</v>
      </c>
      <c r="L1262" t="s">
        <v>152</v>
      </c>
      <c r="M1262" t="s">
        <v>29</v>
      </c>
      <c r="N1262" t="s">
        <v>76</v>
      </c>
      <c r="O1262" t="s">
        <v>26</v>
      </c>
      <c r="P1262" t="s">
        <v>26</v>
      </c>
      <c r="Q1262" s="3">
        <v>30</v>
      </c>
      <c r="R1262" t="s">
        <v>59</v>
      </c>
      <c r="S1262" t="s">
        <v>60</v>
      </c>
    </row>
    <row r="1263" spans="1:19" x14ac:dyDescent="0.25">
      <c r="A1263">
        <v>1262</v>
      </c>
      <c r="B1263">
        <v>20</v>
      </c>
      <c r="C1263" t="s">
        <v>19</v>
      </c>
      <c r="D1263" t="s">
        <v>56</v>
      </c>
      <c r="E1263" t="s">
        <v>21</v>
      </c>
      <c r="F1263" s="1">
        <v>29</v>
      </c>
      <c r="G1263" t="s">
        <v>139</v>
      </c>
      <c r="H1263" t="s">
        <v>23</v>
      </c>
      <c r="I1263" t="s">
        <v>33</v>
      </c>
      <c r="J1263" t="s">
        <v>54</v>
      </c>
      <c r="K1263" s="2">
        <v>2.8</v>
      </c>
      <c r="L1263" t="s">
        <v>152</v>
      </c>
      <c r="M1263" t="s">
        <v>29</v>
      </c>
      <c r="N1263" t="s">
        <v>47</v>
      </c>
      <c r="O1263" t="s">
        <v>26</v>
      </c>
      <c r="P1263" t="s">
        <v>26</v>
      </c>
      <c r="Q1263" s="3">
        <v>2</v>
      </c>
      <c r="R1263" t="s">
        <v>27</v>
      </c>
      <c r="S1263" t="s">
        <v>30</v>
      </c>
    </row>
    <row r="1264" spans="1:19" x14ac:dyDescent="0.25">
      <c r="A1264">
        <v>1263</v>
      </c>
      <c r="B1264">
        <v>29</v>
      </c>
      <c r="C1264" t="s">
        <v>19</v>
      </c>
      <c r="D1264" t="s">
        <v>137</v>
      </c>
      <c r="E1264" t="s">
        <v>43</v>
      </c>
      <c r="F1264" s="1">
        <v>62</v>
      </c>
      <c r="G1264" t="s">
        <v>122</v>
      </c>
      <c r="H1264" t="s">
        <v>23</v>
      </c>
      <c r="I1264" t="s">
        <v>110</v>
      </c>
      <c r="J1264" t="s">
        <v>25</v>
      </c>
      <c r="K1264" s="2">
        <v>4.8</v>
      </c>
      <c r="L1264" t="s">
        <v>152</v>
      </c>
      <c r="M1264" t="s">
        <v>59</v>
      </c>
      <c r="N1264" t="s">
        <v>76</v>
      </c>
      <c r="O1264" t="s">
        <v>26</v>
      </c>
      <c r="P1264" t="s">
        <v>26</v>
      </c>
      <c r="Q1264" s="3">
        <v>44</v>
      </c>
      <c r="R1264" t="s">
        <v>29</v>
      </c>
      <c r="S1264" t="s">
        <v>88</v>
      </c>
    </row>
    <row r="1265" spans="1:19" x14ac:dyDescent="0.25">
      <c r="A1265">
        <v>1264</v>
      </c>
      <c r="B1265">
        <v>41</v>
      </c>
      <c r="C1265" t="s">
        <v>19</v>
      </c>
      <c r="D1265" t="s">
        <v>104</v>
      </c>
      <c r="E1265" t="s">
        <v>21</v>
      </c>
      <c r="F1265" s="1">
        <v>70</v>
      </c>
      <c r="G1265" t="s">
        <v>80</v>
      </c>
      <c r="H1265" t="s">
        <v>23</v>
      </c>
      <c r="I1265" t="s">
        <v>110</v>
      </c>
      <c r="J1265" t="s">
        <v>25</v>
      </c>
      <c r="K1265" s="2">
        <v>4.5999999999999996</v>
      </c>
      <c r="L1265" t="s">
        <v>152</v>
      </c>
      <c r="M1265" t="s">
        <v>34</v>
      </c>
      <c r="N1265" t="s">
        <v>72</v>
      </c>
      <c r="O1265" t="s">
        <v>26</v>
      </c>
      <c r="P1265" t="s">
        <v>26</v>
      </c>
      <c r="Q1265" s="3">
        <v>1</v>
      </c>
      <c r="R1265" t="s">
        <v>27</v>
      </c>
      <c r="S1265" t="s">
        <v>77</v>
      </c>
    </row>
    <row r="1266" spans="1:19" x14ac:dyDescent="0.25">
      <c r="A1266">
        <v>1265</v>
      </c>
      <c r="B1266">
        <v>52</v>
      </c>
      <c r="C1266" t="s">
        <v>19</v>
      </c>
      <c r="D1266" t="s">
        <v>31</v>
      </c>
      <c r="E1266" t="s">
        <v>21</v>
      </c>
      <c r="F1266" s="1">
        <v>92</v>
      </c>
      <c r="G1266" t="s">
        <v>129</v>
      </c>
      <c r="H1266" t="s">
        <v>38</v>
      </c>
      <c r="I1266" t="s">
        <v>144</v>
      </c>
      <c r="J1266" t="s">
        <v>25</v>
      </c>
      <c r="K1266" s="2">
        <v>2.5</v>
      </c>
      <c r="L1266" t="s">
        <v>152</v>
      </c>
      <c r="M1266" t="s">
        <v>29</v>
      </c>
      <c r="N1266" t="s">
        <v>47</v>
      </c>
      <c r="O1266" t="s">
        <v>26</v>
      </c>
      <c r="P1266" t="s">
        <v>26</v>
      </c>
      <c r="Q1266" s="3">
        <v>1</v>
      </c>
      <c r="R1266" t="s">
        <v>29</v>
      </c>
      <c r="S1266" t="s">
        <v>77</v>
      </c>
    </row>
    <row r="1267" spans="1:19" x14ac:dyDescent="0.25">
      <c r="A1267">
        <v>1266</v>
      </c>
      <c r="B1267">
        <v>32</v>
      </c>
      <c r="C1267" t="s">
        <v>19</v>
      </c>
      <c r="D1267" t="s">
        <v>56</v>
      </c>
      <c r="E1267" t="s">
        <v>21</v>
      </c>
      <c r="F1267" s="1">
        <v>79</v>
      </c>
      <c r="G1267" t="s">
        <v>62</v>
      </c>
      <c r="H1267" t="s">
        <v>45</v>
      </c>
      <c r="I1267" t="s">
        <v>93</v>
      </c>
      <c r="J1267" t="s">
        <v>39</v>
      </c>
      <c r="K1267" s="2">
        <v>2.7</v>
      </c>
      <c r="L1267" t="s">
        <v>152</v>
      </c>
      <c r="M1267" t="s">
        <v>34</v>
      </c>
      <c r="N1267" t="s">
        <v>47</v>
      </c>
      <c r="O1267" t="s">
        <v>26</v>
      </c>
      <c r="P1267" t="s">
        <v>26</v>
      </c>
      <c r="Q1267" s="3">
        <v>27</v>
      </c>
      <c r="R1267" t="s">
        <v>34</v>
      </c>
      <c r="S1267" t="s">
        <v>41</v>
      </c>
    </row>
    <row r="1268" spans="1:19" x14ac:dyDescent="0.25">
      <c r="A1268">
        <v>1267</v>
      </c>
      <c r="B1268">
        <v>20</v>
      </c>
      <c r="C1268" t="s">
        <v>19</v>
      </c>
      <c r="D1268" t="s">
        <v>20</v>
      </c>
      <c r="E1268" t="s">
        <v>21</v>
      </c>
      <c r="F1268" s="1">
        <v>31</v>
      </c>
      <c r="G1268" t="s">
        <v>114</v>
      </c>
      <c r="H1268" t="s">
        <v>45</v>
      </c>
      <c r="I1268" t="s">
        <v>100</v>
      </c>
      <c r="J1268" t="s">
        <v>58</v>
      </c>
      <c r="K1268" s="2">
        <v>4</v>
      </c>
      <c r="L1268" t="s">
        <v>152</v>
      </c>
      <c r="M1268" t="s">
        <v>35</v>
      </c>
      <c r="N1268" t="s">
        <v>55</v>
      </c>
      <c r="O1268" t="s">
        <v>26</v>
      </c>
      <c r="P1268" t="s">
        <v>26</v>
      </c>
      <c r="Q1268" s="3">
        <v>14</v>
      </c>
      <c r="R1268" t="s">
        <v>59</v>
      </c>
      <c r="S1268" t="s">
        <v>97</v>
      </c>
    </row>
    <row r="1269" spans="1:19" x14ac:dyDescent="0.25">
      <c r="A1269">
        <v>1268</v>
      </c>
      <c r="B1269">
        <v>47</v>
      </c>
      <c r="C1269" t="s">
        <v>19</v>
      </c>
      <c r="D1269" t="s">
        <v>113</v>
      </c>
      <c r="E1269" t="s">
        <v>21</v>
      </c>
      <c r="F1269" s="1">
        <v>83</v>
      </c>
      <c r="G1269" t="s">
        <v>48</v>
      </c>
      <c r="H1269" t="s">
        <v>38</v>
      </c>
      <c r="I1269" t="s">
        <v>24</v>
      </c>
      <c r="J1269" t="s">
        <v>39</v>
      </c>
      <c r="K1269" s="2">
        <v>2.7</v>
      </c>
      <c r="L1269" t="s">
        <v>152</v>
      </c>
      <c r="M1269" t="s">
        <v>27</v>
      </c>
      <c r="N1269" t="s">
        <v>55</v>
      </c>
      <c r="O1269" t="s">
        <v>26</v>
      </c>
      <c r="P1269" t="s">
        <v>26</v>
      </c>
      <c r="Q1269" s="3">
        <v>41</v>
      </c>
      <c r="R1269" t="s">
        <v>35</v>
      </c>
      <c r="S1269" t="s">
        <v>41</v>
      </c>
    </row>
    <row r="1270" spans="1:19" x14ac:dyDescent="0.25">
      <c r="A1270">
        <v>1269</v>
      </c>
      <c r="B1270">
        <v>23</v>
      </c>
      <c r="C1270" t="s">
        <v>19</v>
      </c>
      <c r="D1270" t="s">
        <v>102</v>
      </c>
      <c r="E1270" t="s">
        <v>65</v>
      </c>
      <c r="F1270" s="1">
        <v>88</v>
      </c>
      <c r="G1270" t="s">
        <v>135</v>
      </c>
      <c r="H1270" t="s">
        <v>92</v>
      </c>
      <c r="I1270" t="s">
        <v>63</v>
      </c>
      <c r="J1270" t="s">
        <v>25</v>
      </c>
      <c r="K1270" s="2">
        <v>2.9</v>
      </c>
      <c r="L1270" t="s">
        <v>152</v>
      </c>
      <c r="M1270" t="s">
        <v>29</v>
      </c>
      <c r="N1270" t="s">
        <v>47</v>
      </c>
      <c r="O1270" t="s">
        <v>26</v>
      </c>
      <c r="P1270" t="s">
        <v>26</v>
      </c>
      <c r="Q1270" s="3">
        <v>25</v>
      </c>
      <c r="R1270" t="s">
        <v>59</v>
      </c>
      <c r="S1270" t="s">
        <v>77</v>
      </c>
    </row>
    <row r="1271" spans="1:19" x14ac:dyDescent="0.25">
      <c r="A1271">
        <v>1270</v>
      </c>
      <c r="B1271">
        <v>43</v>
      </c>
      <c r="C1271" t="s">
        <v>19</v>
      </c>
      <c r="D1271" t="s">
        <v>106</v>
      </c>
      <c r="E1271" t="s">
        <v>69</v>
      </c>
      <c r="F1271" s="1">
        <v>53</v>
      </c>
      <c r="G1271" t="s">
        <v>129</v>
      </c>
      <c r="H1271" t="s">
        <v>45</v>
      </c>
      <c r="I1271" t="s">
        <v>93</v>
      </c>
      <c r="J1271" t="s">
        <v>39</v>
      </c>
      <c r="K1271" s="2">
        <v>3</v>
      </c>
      <c r="L1271" t="s">
        <v>152</v>
      </c>
      <c r="M1271" t="s">
        <v>46</v>
      </c>
      <c r="N1271" t="s">
        <v>55</v>
      </c>
      <c r="O1271" t="s">
        <v>26</v>
      </c>
      <c r="P1271" t="s">
        <v>26</v>
      </c>
      <c r="Q1271" s="3">
        <v>47</v>
      </c>
      <c r="R1271" t="s">
        <v>46</v>
      </c>
      <c r="S1271" t="s">
        <v>60</v>
      </c>
    </row>
    <row r="1272" spans="1:19" x14ac:dyDescent="0.25">
      <c r="A1272">
        <v>1271</v>
      </c>
      <c r="B1272">
        <v>67</v>
      </c>
      <c r="C1272" t="s">
        <v>19</v>
      </c>
      <c r="D1272" t="s">
        <v>104</v>
      </c>
      <c r="E1272" t="s">
        <v>21</v>
      </c>
      <c r="F1272" s="1">
        <v>98</v>
      </c>
      <c r="G1272" t="s">
        <v>66</v>
      </c>
      <c r="H1272" t="s">
        <v>45</v>
      </c>
      <c r="I1272" t="s">
        <v>96</v>
      </c>
      <c r="J1272" t="s">
        <v>58</v>
      </c>
      <c r="K1272" s="2">
        <v>3.3</v>
      </c>
      <c r="L1272" t="s">
        <v>152</v>
      </c>
      <c r="M1272" t="s">
        <v>35</v>
      </c>
      <c r="N1272" t="s">
        <v>55</v>
      </c>
      <c r="O1272" t="s">
        <v>26</v>
      </c>
      <c r="P1272" t="s">
        <v>26</v>
      </c>
      <c r="Q1272" s="3">
        <v>20</v>
      </c>
      <c r="R1272" t="s">
        <v>35</v>
      </c>
      <c r="S1272" t="s">
        <v>50</v>
      </c>
    </row>
    <row r="1273" spans="1:19" x14ac:dyDescent="0.25">
      <c r="A1273">
        <v>1272</v>
      </c>
      <c r="B1273">
        <v>70</v>
      </c>
      <c r="C1273" t="s">
        <v>19</v>
      </c>
      <c r="D1273" t="s">
        <v>106</v>
      </c>
      <c r="E1273" t="s">
        <v>69</v>
      </c>
      <c r="F1273" s="1">
        <v>57</v>
      </c>
      <c r="G1273" t="s">
        <v>22</v>
      </c>
      <c r="H1273" t="s">
        <v>38</v>
      </c>
      <c r="I1273" t="s">
        <v>24</v>
      </c>
      <c r="J1273" t="s">
        <v>39</v>
      </c>
      <c r="K1273" s="2">
        <v>4.3</v>
      </c>
      <c r="L1273" t="s">
        <v>152</v>
      </c>
      <c r="M1273" t="s">
        <v>35</v>
      </c>
      <c r="N1273" t="s">
        <v>76</v>
      </c>
      <c r="O1273" t="s">
        <v>26</v>
      </c>
      <c r="P1273" t="s">
        <v>26</v>
      </c>
      <c r="Q1273" s="3">
        <v>42</v>
      </c>
      <c r="R1273" t="s">
        <v>46</v>
      </c>
      <c r="S1273" t="s">
        <v>50</v>
      </c>
    </row>
    <row r="1274" spans="1:19" x14ac:dyDescent="0.25">
      <c r="A1274">
        <v>1273</v>
      </c>
      <c r="B1274">
        <v>35</v>
      </c>
      <c r="C1274" t="s">
        <v>19</v>
      </c>
      <c r="D1274" t="s">
        <v>42</v>
      </c>
      <c r="E1274" t="s">
        <v>43</v>
      </c>
      <c r="F1274" s="1">
        <v>80</v>
      </c>
      <c r="G1274" t="s">
        <v>150</v>
      </c>
      <c r="H1274" t="s">
        <v>45</v>
      </c>
      <c r="I1274" t="s">
        <v>121</v>
      </c>
      <c r="J1274" t="s">
        <v>25</v>
      </c>
      <c r="K1274" s="2">
        <v>4.4000000000000004</v>
      </c>
      <c r="L1274" t="s">
        <v>152</v>
      </c>
      <c r="M1274" t="s">
        <v>59</v>
      </c>
      <c r="N1274" t="s">
        <v>28</v>
      </c>
      <c r="O1274" t="s">
        <v>26</v>
      </c>
      <c r="P1274" t="s">
        <v>26</v>
      </c>
      <c r="Q1274" s="3">
        <v>16</v>
      </c>
      <c r="R1274" t="s">
        <v>34</v>
      </c>
      <c r="S1274" t="s">
        <v>88</v>
      </c>
    </row>
    <row r="1275" spans="1:19" x14ac:dyDescent="0.25">
      <c r="A1275">
        <v>1274</v>
      </c>
      <c r="B1275">
        <v>41</v>
      </c>
      <c r="C1275" t="s">
        <v>19</v>
      </c>
      <c r="D1275" t="s">
        <v>36</v>
      </c>
      <c r="E1275" t="s">
        <v>21</v>
      </c>
      <c r="F1275" s="1">
        <v>29</v>
      </c>
      <c r="G1275" t="s">
        <v>91</v>
      </c>
      <c r="H1275" t="s">
        <v>23</v>
      </c>
      <c r="I1275" t="s">
        <v>67</v>
      </c>
      <c r="J1275" t="s">
        <v>39</v>
      </c>
      <c r="K1275" s="2">
        <v>4.0999999999999996</v>
      </c>
      <c r="L1275" t="s">
        <v>152</v>
      </c>
      <c r="M1275" t="s">
        <v>35</v>
      </c>
      <c r="N1275" t="s">
        <v>47</v>
      </c>
      <c r="O1275" t="s">
        <v>26</v>
      </c>
      <c r="P1275" t="s">
        <v>26</v>
      </c>
      <c r="Q1275" s="3">
        <v>32</v>
      </c>
      <c r="R1275" t="s">
        <v>27</v>
      </c>
      <c r="S1275" t="s">
        <v>97</v>
      </c>
    </row>
    <row r="1276" spans="1:19" x14ac:dyDescent="0.25">
      <c r="A1276">
        <v>1275</v>
      </c>
      <c r="B1276">
        <v>54</v>
      </c>
      <c r="C1276" t="s">
        <v>19</v>
      </c>
      <c r="D1276" t="s">
        <v>124</v>
      </c>
      <c r="E1276" t="s">
        <v>69</v>
      </c>
      <c r="F1276" s="1">
        <v>73</v>
      </c>
      <c r="G1276" t="s">
        <v>70</v>
      </c>
      <c r="H1276" t="s">
        <v>45</v>
      </c>
      <c r="I1276" t="s">
        <v>79</v>
      </c>
      <c r="J1276" t="s">
        <v>39</v>
      </c>
      <c r="K1276" s="2">
        <v>3.1</v>
      </c>
      <c r="L1276" t="s">
        <v>152</v>
      </c>
      <c r="M1276" t="s">
        <v>35</v>
      </c>
      <c r="N1276" t="s">
        <v>72</v>
      </c>
      <c r="O1276" t="s">
        <v>26</v>
      </c>
      <c r="P1276" t="s">
        <v>26</v>
      </c>
      <c r="Q1276" s="3">
        <v>37</v>
      </c>
      <c r="R1276" t="s">
        <v>46</v>
      </c>
      <c r="S1276" t="s">
        <v>60</v>
      </c>
    </row>
    <row r="1277" spans="1:19" x14ac:dyDescent="0.25">
      <c r="A1277">
        <v>1276</v>
      </c>
      <c r="B1277">
        <v>55</v>
      </c>
      <c r="C1277" t="s">
        <v>19</v>
      </c>
      <c r="D1277" t="s">
        <v>31</v>
      </c>
      <c r="E1277" t="s">
        <v>21</v>
      </c>
      <c r="F1277" s="1">
        <v>32</v>
      </c>
      <c r="G1277" t="s">
        <v>74</v>
      </c>
      <c r="H1277" t="s">
        <v>38</v>
      </c>
      <c r="I1277" t="s">
        <v>49</v>
      </c>
      <c r="J1277" t="s">
        <v>58</v>
      </c>
      <c r="K1277" s="2">
        <v>4.5</v>
      </c>
      <c r="L1277" t="s">
        <v>152</v>
      </c>
      <c r="M1277" t="s">
        <v>46</v>
      </c>
      <c r="N1277" t="s">
        <v>55</v>
      </c>
      <c r="O1277" t="s">
        <v>26</v>
      </c>
      <c r="P1277" t="s">
        <v>26</v>
      </c>
      <c r="Q1277" s="3">
        <v>1</v>
      </c>
      <c r="R1277" t="s">
        <v>46</v>
      </c>
      <c r="S1277" t="s">
        <v>88</v>
      </c>
    </row>
    <row r="1278" spans="1:19" x14ac:dyDescent="0.25">
      <c r="A1278">
        <v>1277</v>
      </c>
      <c r="B1278">
        <v>51</v>
      </c>
      <c r="C1278" t="s">
        <v>19</v>
      </c>
      <c r="D1278" t="s">
        <v>137</v>
      </c>
      <c r="E1278" t="s">
        <v>43</v>
      </c>
      <c r="F1278" s="1">
        <v>68</v>
      </c>
      <c r="G1278" t="s">
        <v>52</v>
      </c>
      <c r="H1278" t="s">
        <v>23</v>
      </c>
      <c r="I1278" t="s">
        <v>49</v>
      </c>
      <c r="J1278" t="s">
        <v>39</v>
      </c>
      <c r="K1278" s="2">
        <v>4.8</v>
      </c>
      <c r="L1278" t="s">
        <v>152</v>
      </c>
      <c r="M1278" t="s">
        <v>46</v>
      </c>
      <c r="N1278" t="s">
        <v>47</v>
      </c>
      <c r="O1278" t="s">
        <v>26</v>
      </c>
      <c r="P1278" t="s">
        <v>26</v>
      </c>
      <c r="Q1278" s="3">
        <v>37</v>
      </c>
      <c r="R1278" t="s">
        <v>34</v>
      </c>
      <c r="S1278" t="s">
        <v>41</v>
      </c>
    </row>
    <row r="1279" spans="1:19" x14ac:dyDescent="0.25">
      <c r="A1279">
        <v>1278</v>
      </c>
      <c r="B1279">
        <v>19</v>
      </c>
      <c r="C1279" t="s">
        <v>19</v>
      </c>
      <c r="D1279" t="s">
        <v>20</v>
      </c>
      <c r="E1279" t="s">
        <v>21</v>
      </c>
      <c r="F1279" s="1">
        <v>97</v>
      </c>
      <c r="G1279" t="s">
        <v>44</v>
      </c>
      <c r="H1279" t="s">
        <v>23</v>
      </c>
      <c r="I1279" t="s">
        <v>96</v>
      </c>
      <c r="J1279" t="s">
        <v>39</v>
      </c>
      <c r="K1279" s="2">
        <v>5</v>
      </c>
      <c r="L1279" t="s">
        <v>152</v>
      </c>
      <c r="M1279" t="s">
        <v>59</v>
      </c>
      <c r="N1279" t="s">
        <v>28</v>
      </c>
      <c r="O1279" t="s">
        <v>26</v>
      </c>
      <c r="P1279" t="s">
        <v>26</v>
      </c>
      <c r="Q1279" s="3">
        <v>5</v>
      </c>
      <c r="R1279" t="s">
        <v>29</v>
      </c>
      <c r="S1279" t="s">
        <v>60</v>
      </c>
    </row>
    <row r="1280" spans="1:19" x14ac:dyDescent="0.25">
      <c r="A1280">
        <v>1279</v>
      </c>
      <c r="B1280">
        <v>28</v>
      </c>
      <c r="C1280" t="s">
        <v>19</v>
      </c>
      <c r="D1280" t="s">
        <v>61</v>
      </c>
      <c r="E1280" t="s">
        <v>21</v>
      </c>
      <c r="F1280" s="1">
        <v>98</v>
      </c>
      <c r="G1280" t="s">
        <v>140</v>
      </c>
      <c r="H1280" t="s">
        <v>45</v>
      </c>
      <c r="I1280" t="s">
        <v>84</v>
      </c>
      <c r="J1280" t="s">
        <v>58</v>
      </c>
      <c r="K1280" s="2">
        <v>2.8</v>
      </c>
      <c r="L1280" t="s">
        <v>152</v>
      </c>
      <c r="M1280" t="s">
        <v>27</v>
      </c>
      <c r="N1280" t="s">
        <v>47</v>
      </c>
      <c r="O1280" t="s">
        <v>26</v>
      </c>
      <c r="P1280" t="s">
        <v>26</v>
      </c>
      <c r="Q1280" s="3">
        <v>31</v>
      </c>
      <c r="R1280" t="s">
        <v>29</v>
      </c>
      <c r="S1280" t="s">
        <v>30</v>
      </c>
    </row>
    <row r="1281" spans="1:19" x14ac:dyDescent="0.25">
      <c r="A1281">
        <v>1280</v>
      </c>
      <c r="B1281">
        <v>63</v>
      </c>
      <c r="C1281" t="s">
        <v>19</v>
      </c>
      <c r="D1281" t="s">
        <v>104</v>
      </c>
      <c r="E1281" t="s">
        <v>21</v>
      </c>
      <c r="F1281" s="1">
        <v>56</v>
      </c>
      <c r="G1281" t="s">
        <v>128</v>
      </c>
      <c r="H1281" t="s">
        <v>23</v>
      </c>
      <c r="I1281" t="s">
        <v>63</v>
      </c>
      <c r="J1281" t="s">
        <v>58</v>
      </c>
      <c r="K1281" s="2">
        <v>3.7</v>
      </c>
      <c r="L1281" t="s">
        <v>152</v>
      </c>
      <c r="M1281" t="s">
        <v>46</v>
      </c>
      <c r="N1281" t="s">
        <v>28</v>
      </c>
      <c r="O1281" t="s">
        <v>26</v>
      </c>
      <c r="P1281" t="s">
        <v>26</v>
      </c>
      <c r="Q1281" s="3">
        <v>18</v>
      </c>
      <c r="R1281" t="s">
        <v>59</v>
      </c>
      <c r="S1281" t="s">
        <v>50</v>
      </c>
    </row>
    <row r="1282" spans="1:19" x14ac:dyDescent="0.25">
      <c r="A1282">
        <v>1281</v>
      </c>
      <c r="B1282">
        <v>30</v>
      </c>
      <c r="C1282" t="s">
        <v>19</v>
      </c>
      <c r="D1282" t="s">
        <v>95</v>
      </c>
      <c r="E1282" t="s">
        <v>21</v>
      </c>
      <c r="F1282" s="1">
        <v>78</v>
      </c>
      <c r="G1282" t="s">
        <v>142</v>
      </c>
      <c r="H1282" t="s">
        <v>23</v>
      </c>
      <c r="I1282" t="s">
        <v>53</v>
      </c>
      <c r="J1282" t="s">
        <v>25</v>
      </c>
      <c r="K1282" s="2">
        <v>4.4000000000000004</v>
      </c>
      <c r="L1282" t="s">
        <v>152</v>
      </c>
      <c r="M1282" t="s">
        <v>46</v>
      </c>
      <c r="N1282" t="s">
        <v>72</v>
      </c>
      <c r="O1282" t="s">
        <v>26</v>
      </c>
      <c r="P1282" t="s">
        <v>26</v>
      </c>
      <c r="Q1282" s="3">
        <v>39</v>
      </c>
      <c r="R1282" t="s">
        <v>29</v>
      </c>
      <c r="S1282" t="s">
        <v>97</v>
      </c>
    </row>
    <row r="1283" spans="1:19" x14ac:dyDescent="0.25">
      <c r="A1283">
        <v>1282</v>
      </c>
      <c r="B1283">
        <v>29</v>
      </c>
      <c r="C1283" t="s">
        <v>19</v>
      </c>
      <c r="D1283" t="s">
        <v>133</v>
      </c>
      <c r="E1283" t="s">
        <v>69</v>
      </c>
      <c r="F1283" s="1">
        <v>81</v>
      </c>
      <c r="G1283" t="s">
        <v>127</v>
      </c>
      <c r="H1283" t="s">
        <v>45</v>
      </c>
      <c r="I1283" t="s">
        <v>79</v>
      </c>
      <c r="J1283" t="s">
        <v>39</v>
      </c>
      <c r="K1283" s="2">
        <v>4.5</v>
      </c>
      <c r="L1283" t="s">
        <v>152</v>
      </c>
      <c r="M1283" t="s">
        <v>35</v>
      </c>
      <c r="N1283" t="s">
        <v>76</v>
      </c>
      <c r="O1283" t="s">
        <v>26</v>
      </c>
      <c r="P1283" t="s">
        <v>26</v>
      </c>
      <c r="Q1283" s="3">
        <v>8</v>
      </c>
      <c r="R1283" t="s">
        <v>29</v>
      </c>
      <c r="S1283" t="s">
        <v>77</v>
      </c>
    </row>
    <row r="1284" spans="1:19" x14ac:dyDescent="0.25">
      <c r="A1284">
        <v>1283</v>
      </c>
      <c r="B1284">
        <v>24</v>
      </c>
      <c r="C1284" t="s">
        <v>19</v>
      </c>
      <c r="D1284" t="s">
        <v>56</v>
      </c>
      <c r="E1284" t="s">
        <v>21</v>
      </c>
      <c r="F1284" s="1">
        <v>68</v>
      </c>
      <c r="G1284" t="s">
        <v>83</v>
      </c>
      <c r="H1284" t="s">
        <v>23</v>
      </c>
      <c r="I1284" t="s">
        <v>84</v>
      </c>
      <c r="J1284" t="s">
        <v>25</v>
      </c>
      <c r="K1284" s="2">
        <v>3</v>
      </c>
      <c r="L1284" t="s">
        <v>152</v>
      </c>
      <c r="M1284" t="s">
        <v>59</v>
      </c>
      <c r="N1284" t="s">
        <v>40</v>
      </c>
      <c r="O1284" t="s">
        <v>26</v>
      </c>
      <c r="P1284" t="s">
        <v>26</v>
      </c>
      <c r="Q1284" s="3">
        <v>20</v>
      </c>
      <c r="R1284" t="s">
        <v>29</v>
      </c>
      <c r="S1284" t="s">
        <v>88</v>
      </c>
    </row>
    <row r="1285" spans="1:19" x14ac:dyDescent="0.25">
      <c r="A1285">
        <v>1284</v>
      </c>
      <c r="B1285">
        <v>69</v>
      </c>
      <c r="C1285" t="s">
        <v>19</v>
      </c>
      <c r="D1285" t="s">
        <v>56</v>
      </c>
      <c r="E1285" t="s">
        <v>21</v>
      </c>
      <c r="F1285" s="1">
        <v>94</v>
      </c>
      <c r="G1285" t="s">
        <v>48</v>
      </c>
      <c r="H1285" t="s">
        <v>45</v>
      </c>
      <c r="I1285" t="s">
        <v>84</v>
      </c>
      <c r="J1285" t="s">
        <v>25</v>
      </c>
      <c r="K1285" s="2">
        <v>3.9</v>
      </c>
      <c r="L1285" t="s">
        <v>152</v>
      </c>
      <c r="M1285" t="s">
        <v>27</v>
      </c>
      <c r="N1285" t="s">
        <v>72</v>
      </c>
      <c r="O1285" t="s">
        <v>26</v>
      </c>
      <c r="P1285" t="s">
        <v>26</v>
      </c>
      <c r="Q1285" s="3">
        <v>23</v>
      </c>
      <c r="R1285" t="s">
        <v>59</v>
      </c>
      <c r="S1285" t="s">
        <v>97</v>
      </c>
    </row>
    <row r="1286" spans="1:19" x14ac:dyDescent="0.25">
      <c r="A1286">
        <v>1285</v>
      </c>
      <c r="B1286">
        <v>65</v>
      </c>
      <c r="C1286" t="s">
        <v>19</v>
      </c>
      <c r="D1286" t="s">
        <v>82</v>
      </c>
      <c r="E1286" t="s">
        <v>21</v>
      </c>
      <c r="F1286" s="1">
        <v>93</v>
      </c>
      <c r="G1286" t="s">
        <v>74</v>
      </c>
      <c r="H1286" t="s">
        <v>45</v>
      </c>
      <c r="I1286" t="s">
        <v>94</v>
      </c>
      <c r="J1286" t="s">
        <v>39</v>
      </c>
      <c r="K1286" s="2">
        <v>3.9</v>
      </c>
      <c r="L1286" t="s">
        <v>152</v>
      </c>
      <c r="M1286" t="s">
        <v>34</v>
      </c>
      <c r="N1286" t="s">
        <v>28</v>
      </c>
      <c r="O1286" t="s">
        <v>26</v>
      </c>
      <c r="P1286" t="s">
        <v>26</v>
      </c>
      <c r="Q1286" s="3">
        <v>38</v>
      </c>
      <c r="R1286" t="s">
        <v>46</v>
      </c>
      <c r="S1286" t="s">
        <v>30</v>
      </c>
    </row>
    <row r="1287" spans="1:19" x14ac:dyDescent="0.25">
      <c r="A1287">
        <v>1286</v>
      </c>
      <c r="B1287">
        <v>64</v>
      </c>
      <c r="C1287" t="s">
        <v>19</v>
      </c>
      <c r="D1287" t="s">
        <v>143</v>
      </c>
      <c r="E1287" t="s">
        <v>69</v>
      </c>
      <c r="F1287" s="1">
        <v>99</v>
      </c>
      <c r="G1287" t="s">
        <v>98</v>
      </c>
      <c r="H1287" t="s">
        <v>45</v>
      </c>
      <c r="I1287" t="s">
        <v>63</v>
      </c>
      <c r="J1287" t="s">
        <v>58</v>
      </c>
      <c r="K1287" s="2">
        <v>3.5</v>
      </c>
      <c r="L1287" t="s">
        <v>152</v>
      </c>
      <c r="M1287" t="s">
        <v>29</v>
      </c>
      <c r="N1287" t="s">
        <v>47</v>
      </c>
      <c r="O1287" t="s">
        <v>26</v>
      </c>
      <c r="P1287" t="s">
        <v>26</v>
      </c>
      <c r="Q1287" s="3">
        <v>45</v>
      </c>
      <c r="R1287" t="s">
        <v>34</v>
      </c>
      <c r="S1287" t="s">
        <v>30</v>
      </c>
    </row>
    <row r="1288" spans="1:19" x14ac:dyDescent="0.25">
      <c r="A1288">
        <v>1287</v>
      </c>
      <c r="B1288">
        <v>40</v>
      </c>
      <c r="C1288" t="s">
        <v>19</v>
      </c>
      <c r="D1288" t="s">
        <v>143</v>
      </c>
      <c r="E1288" t="s">
        <v>69</v>
      </c>
      <c r="F1288" s="1">
        <v>49</v>
      </c>
      <c r="G1288" t="s">
        <v>66</v>
      </c>
      <c r="H1288" t="s">
        <v>23</v>
      </c>
      <c r="I1288" t="s">
        <v>134</v>
      </c>
      <c r="J1288" t="s">
        <v>25</v>
      </c>
      <c r="K1288" s="2">
        <v>4.9000000000000004</v>
      </c>
      <c r="L1288" t="s">
        <v>152</v>
      </c>
      <c r="M1288" t="s">
        <v>34</v>
      </c>
      <c r="N1288" t="s">
        <v>47</v>
      </c>
      <c r="O1288" t="s">
        <v>26</v>
      </c>
      <c r="P1288" t="s">
        <v>26</v>
      </c>
      <c r="Q1288" s="3">
        <v>44</v>
      </c>
      <c r="R1288" t="s">
        <v>59</v>
      </c>
      <c r="S1288" t="s">
        <v>30</v>
      </c>
    </row>
    <row r="1289" spans="1:19" x14ac:dyDescent="0.25">
      <c r="A1289">
        <v>1288</v>
      </c>
      <c r="B1289">
        <v>24</v>
      </c>
      <c r="C1289" t="s">
        <v>19</v>
      </c>
      <c r="D1289" t="s">
        <v>36</v>
      </c>
      <c r="E1289" t="s">
        <v>21</v>
      </c>
      <c r="F1289" s="1">
        <v>28</v>
      </c>
      <c r="G1289" t="s">
        <v>140</v>
      </c>
      <c r="H1289" t="s">
        <v>92</v>
      </c>
      <c r="I1289" t="s">
        <v>144</v>
      </c>
      <c r="J1289" t="s">
        <v>25</v>
      </c>
      <c r="K1289" s="2">
        <v>3.4</v>
      </c>
      <c r="L1289" t="s">
        <v>152</v>
      </c>
      <c r="M1289" t="s">
        <v>29</v>
      </c>
      <c r="N1289" t="s">
        <v>55</v>
      </c>
      <c r="O1289" t="s">
        <v>26</v>
      </c>
      <c r="P1289" t="s">
        <v>26</v>
      </c>
      <c r="Q1289" s="3">
        <v>20</v>
      </c>
      <c r="R1289" t="s">
        <v>46</v>
      </c>
      <c r="S1289" t="s">
        <v>88</v>
      </c>
    </row>
    <row r="1290" spans="1:19" x14ac:dyDescent="0.25">
      <c r="A1290">
        <v>1289</v>
      </c>
      <c r="B1290">
        <v>66</v>
      </c>
      <c r="C1290" t="s">
        <v>19</v>
      </c>
      <c r="D1290" t="s">
        <v>133</v>
      </c>
      <c r="E1290" t="s">
        <v>69</v>
      </c>
      <c r="F1290" s="1">
        <v>93</v>
      </c>
      <c r="G1290" t="s">
        <v>147</v>
      </c>
      <c r="H1290" t="s">
        <v>92</v>
      </c>
      <c r="I1290" t="s">
        <v>63</v>
      </c>
      <c r="J1290" t="s">
        <v>25</v>
      </c>
      <c r="K1290" s="2">
        <v>4.0999999999999996</v>
      </c>
      <c r="L1290" t="s">
        <v>152</v>
      </c>
      <c r="M1290" t="s">
        <v>29</v>
      </c>
      <c r="N1290" t="s">
        <v>55</v>
      </c>
      <c r="O1290" t="s">
        <v>26</v>
      </c>
      <c r="P1290" t="s">
        <v>26</v>
      </c>
      <c r="Q1290" s="3">
        <v>34</v>
      </c>
      <c r="R1290" t="s">
        <v>46</v>
      </c>
      <c r="S1290" t="s">
        <v>77</v>
      </c>
    </row>
    <row r="1291" spans="1:19" x14ac:dyDescent="0.25">
      <c r="A1291">
        <v>1290</v>
      </c>
      <c r="B1291">
        <v>35</v>
      </c>
      <c r="C1291" t="s">
        <v>19</v>
      </c>
      <c r="D1291" t="s">
        <v>102</v>
      </c>
      <c r="E1291" t="s">
        <v>65</v>
      </c>
      <c r="F1291" s="1">
        <v>24</v>
      </c>
      <c r="G1291" t="s">
        <v>83</v>
      </c>
      <c r="H1291" t="s">
        <v>45</v>
      </c>
      <c r="I1291" t="s">
        <v>108</v>
      </c>
      <c r="J1291" t="s">
        <v>58</v>
      </c>
      <c r="K1291" s="2">
        <v>2.9</v>
      </c>
      <c r="L1291" t="s">
        <v>152</v>
      </c>
      <c r="M1291" t="s">
        <v>59</v>
      </c>
      <c r="N1291" t="s">
        <v>47</v>
      </c>
      <c r="O1291" t="s">
        <v>26</v>
      </c>
      <c r="P1291" t="s">
        <v>26</v>
      </c>
      <c r="Q1291" s="3">
        <v>10</v>
      </c>
      <c r="R1291" t="s">
        <v>46</v>
      </c>
      <c r="S1291" t="s">
        <v>41</v>
      </c>
    </row>
    <row r="1292" spans="1:19" x14ac:dyDescent="0.25">
      <c r="A1292">
        <v>1291</v>
      </c>
      <c r="B1292">
        <v>67</v>
      </c>
      <c r="C1292" t="s">
        <v>19</v>
      </c>
      <c r="D1292" t="s">
        <v>87</v>
      </c>
      <c r="E1292" t="s">
        <v>21</v>
      </c>
      <c r="F1292" s="1">
        <v>35</v>
      </c>
      <c r="G1292" t="s">
        <v>128</v>
      </c>
      <c r="H1292" t="s">
        <v>45</v>
      </c>
      <c r="I1292" t="s">
        <v>126</v>
      </c>
      <c r="J1292" t="s">
        <v>39</v>
      </c>
      <c r="K1292" s="2">
        <v>3.4</v>
      </c>
      <c r="L1292" t="s">
        <v>152</v>
      </c>
      <c r="M1292" t="s">
        <v>35</v>
      </c>
      <c r="N1292" t="s">
        <v>40</v>
      </c>
      <c r="O1292" t="s">
        <v>26</v>
      </c>
      <c r="P1292" t="s">
        <v>26</v>
      </c>
      <c r="Q1292" s="3">
        <v>3</v>
      </c>
      <c r="R1292" t="s">
        <v>46</v>
      </c>
      <c r="S1292" t="s">
        <v>50</v>
      </c>
    </row>
    <row r="1293" spans="1:19" x14ac:dyDescent="0.25">
      <c r="A1293">
        <v>1292</v>
      </c>
      <c r="B1293">
        <v>69</v>
      </c>
      <c r="C1293" t="s">
        <v>19</v>
      </c>
      <c r="D1293" t="s">
        <v>42</v>
      </c>
      <c r="E1293" t="s">
        <v>43</v>
      </c>
      <c r="F1293" s="1">
        <v>68</v>
      </c>
      <c r="G1293" t="s">
        <v>147</v>
      </c>
      <c r="H1293" t="s">
        <v>38</v>
      </c>
      <c r="I1293" t="s">
        <v>118</v>
      </c>
      <c r="J1293" t="s">
        <v>39</v>
      </c>
      <c r="K1293" s="2">
        <v>3.2</v>
      </c>
      <c r="L1293" t="s">
        <v>152</v>
      </c>
      <c r="M1293" t="s">
        <v>29</v>
      </c>
      <c r="N1293" t="s">
        <v>72</v>
      </c>
      <c r="O1293" t="s">
        <v>26</v>
      </c>
      <c r="P1293" t="s">
        <v>26</v>
      </c>
      <c r="Q1293" s="3">
        <v>23</v>
      </c>
      <c r="R1293" t="s">
        <v>59</v>
      </c>
      <c r="S1293" t="s">
        <v>30</v>
      </c>
    </row>
    <row r="1294" spans="1:19" x14ac:dyDescent="0.25">
      <c r="A1294">
        <v>1293</v>
      </c>
      <c r="B1294">
        <v>26</v>
      </c>
      <c r="C1294" t="s">
        <v>19</v>
      </c>
      <c r="D1294" t="s">
        <v>133</v>
      </c>
      <c r="E1294" t="s">
        <v>69</v>
      </c>
      <c r="F1294" s="1">
        <v>61</v>
      </c>
      <c r="G1294" t="s">
        <v>22</v>
      </c>
      <c r="H1294" t="s">
        <v>45</v>
      </c>
      <c r="I1294" t="s">
        <v>33</v>
      </c>
      <c r="J1294" t="s">
        <v>54</v>
      </c>
      <c r="K1294" s="2">
        <v>3.9</v>
      </c>
      <c r="L1294" t="s">
        <v>152</v>
      </c>
      <c r="M1294" t="s">
        <v>59</v>
      </c>
      <c r="N1294" t="s">
        <v>40</v>
      </c>
      <c r="O1294" t="s">
        <v>26</v>
      </c>
      <c r="P1294" t="s">
        <v>26</v>
      </c>
      <c r="Q1294" s="3">
        <v>42</v>
      </c>
      <c r="R1294" t="s">
        <v>34</v>
      </c>
      <c r="S1294" t="s">
        <v>50</v>
      </c>
    </row>
    <row r="1295" spans="1:19" x14ac:dyDescent="0.25">
      <c r="A1295">
        <v>1294</v>
      </c>
      <c r="B1295">
        <v>23</v>
      </c>
      <c r="C1295" t="s">
        <v>19</v>
      </c>
      <c r="D1295" t="s">
        <v>31</v>
      </c>
      <c r="E1295" t="s">
        <v>21</v>
      </c>
      <c r="F1295" s="1">
        <v>74</v>
      </c>
      <c r="G1295" t="s">
        <v>103</v>
      </c>
      <c r="H1295" t="s">
        <v>92</v>
      </c>
      <c r="I1295" t="s">
        <v>134</v>
      </c>
      <c r="J1295" t="s">
        <v>58</v>
      </c>
      <c r="K1295" s="2">
        <v>4.0999999999999996</v>
      </c>
      <c r="L1295" t="s">
        <v>152</v>
      </c>
      <c r="M1295" t="s">
        <v>34</v>
      </c>
      <c r="N1295" t="s">
        <v>55</v>
      </c>
      <c r="O1295" t="s">
        <v>26</v>
      </c>
      <c r="P1295" t="s">
        <v>26</v>
      </c>
      <c r="Q1295" s="3">
        <v>30</v>
      </c>
      <c r="R1295" t="s">
        <v>59</v>
      </c>
      <c r="S1295" t="s">
        <v>50</v>
      </c>
    </row>
    <row r="1296" spans="1:19" x14ac:dyDescent="0.25">
      <c r="A1296">
        <v>1295</v>
      </c>
      <c r="B1296">
        <v>27</v>
      </c>
      <c r="C1296" t="s">
        <v>19</v>
      </c>
      <c r="D1296" t="s">
        <v>56</v>
      </c>
      <c r="E1296" t="s">
        <v>21</v>
      </c>
      <c r="F1296" s="1">
        <v>64</v>
      </c>
      <c r="G1296" t="s">
        <v>105</v>
      </c>
      <c r="H1296" t="s">
        <v>45</v>
      </c>
      <c r="I1296" t="s">
        <v>67</v>
      </c>
      <c r="J1296" t="s">
        <v>54</v>
      </c>
      <c r="K1296" s="2">
        <v>4.5</v>
      </c>
      <c r="L1296" t="s">
        <v>152</v>
      </c>
      <c r="M1296" t="s">
        <v>27</v>
      </c>
      <c r="N1296" t="s">
        <v>55</v>
      </c>
      <c r="O1296" t="s">
        <v>26</v>
      </c>
      <c r="P1296" t="s">
        <v>26</v>
      </c>
      <c r="Q1296" s="3">
        <v>21</v>
      </c>
      <c r="R1296" t="s">
        <v>35</v>
      </c>
      <c r="S1296" t="s">
        <v>97</v>
      </c>
    </row>
    <row r="1297" spans="1:19" x14ac:dyDescent="0.25">
      <c r="A1297">
        <v>1296</v>
      </c>
      <c r="B1297">
        <v>30</v>
      </c>
      <c r="C1297" t="s">
        <v>19</v>
      </c>
      <c r="D1297" t="s">
        <v>51</v>
      </c>
      <c r="E1297" t="s">
        <v>43</v>
      </c>
      <c r="F1297" s="1">
        <v>60</v>
      </c>
      <c r="G1297" t="s">
        <v>130</v>
      </c>
      <c r="H1297" t="s">
        <v>45</v>
      </c>
      <c r="I1297" t="s">
        <v>79</v>
      </c>
      <c r="J1297" t="s">
        <v>58</v>
      </c>
      <c r="K1297" s="2">
        <v>2.8</v>
      </c>
      <c r="L1297" t="s">
        <v>152</v>
      </c>
      <c r="M1297" t="s">
        <v>46</v>
      </c>
      <c r="N1297" t="s">
        <v>55</v>
      </c>
      <c r="O1297" t="s">
        <v>26</v>
      </c>
      <c r="P1297" t="s">
        <v>26</v>
      </c>
      <c r="Q1297" s="3">
        <v>50</v>
      </c>
      <c r="R1297" t="s">
        <v>46</v>
      </c>
      <c r="S1297" t="s">
        <v>41</v>
      </c>
    </row>
    <row r="1298" spans="1:19" x14ac:dyDescent="0.25">
      <c r="A1298">
        <v>1297</v>
      </c>
      <c r="B1298">
        <v>48</v>
      </c>
      <c r="C1298" t="s">
        <v>19</v>
      </c>
      <c r="D1298" t="s">
        <v>36</v>
      </c>
      <c r="E1298" t="s">
        <v>21</v>
      </c>
      <c r="F1298" s="1">
        <v>29</v>
      </c>
      <c r="G1298" t="s">
        <v>147</v>
      </c>
      <c r="H1298" t="s">
        <v>38</v>
      </c>
      <c r="I1298" t="s">
        <v>86</v>
      </c>
      <c r="J1298" t="s">
        <v>39</v>
      </c>
      <c r="K1298" s="2">
        <v>2.8</v>
      </c>
      <c r="L1298" t="s">
        <v>152</v>
      </c>
      <c r="M1298" t="s">
        <v>46</v>
      </c>
      <c r="N1298" t="s">
        <v>28</v>
      </c>
      <c r="O1298" t="s">
        <v>26</v>
      </c>
      <c r="P1298" t="s">
        <v>26</v>
      </c>
      <c r="Q1298" s="3">
        <v>16</v>
      </c>
      <c r="R1298" t="s">
        <v>35</v>
      </c>
      <c r="S1298" t="s">
        <v>77</v>
      </c>
    </row>
    <row r="1299" spans="1:19" x14ac:dyDescent="0.25">
      <c r="A1299">
        <v>1298</v>
      </c>
      <c r="B1299">
        <v>44</v>
      </c>
      <c r="C1299" t="s">
        <v>19</v>
      </c>
      <c r="D1299" t="s">
        <v>42</v>
      </c>
      <c r="E1299" t="s">
        <v>43</v>
      </c>
      <c r="F1299" s="1">
        <v>85</v>
      </c>
      <c r="G1299" t="s">
        <v>127</v>
      </c>
      <c r="H1299" t="s">
        <v>45</v>
      </c>
      <c r="I1299" t="s">
        <v>67</v>
      </c>
      <c r="J1299" t="s">
        <v>54</v>
      </c>
      <c r="K1299" s="2">
        <v>4.5999999999999996</v>
      </c>
      <c r="L1299" t="s">
        <v>152</v>
      </c>
      <c r="M1299" t="s">
        <v>59</v>
      </c>
      <c r="N1299" t="s">
        <v>55</v>
      </c>
      <c r="O1299" t="s">
        <v>26</v>
      </c>
      <c r="P1299" t="s">
        <v>26</v>
      </c>
      <c r="Q1299" s="3">
        <v>32</v>
      </c>
      <c r="R1299" t="s">
        <v>29</v>
      </c>
      <c r="S1299" t="s">
        <v>50</v>
      </c>
    </row>
    <row r="1300" spans="1:19" x14ac:dyDescent="0.25">
      <c r="A1300">
        <v>1299</v>
      </c>
      <c r="B1300">
        <v>29</v>
      </c>
      <c r="C1300" t="s">
        <v>19</v>
      </c>
      <c r="D1300" t="s">
        <v>95</v>
      </c>
      <c r="E1300" t="s">
        <v>21</v>
      </c>
      <c r="F1300" s="1">
        <v>81</v>
      </c>
      <c r="G1300" t="s">
        <v>116</v>
      </c>
      <c r="H1300" t="s">
        <v>38</v>
      </c>
      <c r="I1300" t="s">
        <v>126</v>
      </c>
      <c r="J1300" t="s">
        <v>54</v>
      </c>
      <c r="K1300" s="2">
        <v>3</v>
      </c>
      <c r="L1300" t="s">
        <v>152</v>
      </c>
      <c r="M1300" t="s">
        <v>35</v>
      </c>
      <c r="N1300" t="s">
        <v>40</v>
      </c>
      <c r="O1300" t="s">
        <v>26</v>
      </c>
      <c r="P1300" t="s">
        <v>26</v>
      </c>
      <c r="Q1300" s="3">
        <v>14</v>
      </c>
      <c r="R1300" t="s">
        <v>34</v>
      </c>
      <c r="S1300" t="s">
        <v>30</v>
      </c>
    </row>
    <row r="1301" spans="1:19" x14ac:dyDescent="0.25">
      <c r="A1301">
        <v>1300</v>
      </c>
      <c r="B1301">
        <v>29</v>
      </c>
      <c r="C1301" t="s">
        <v>19</v>
      </c>
      <c r="D1301" t="s">
        <v>133</v>
      </c>
      <c r="E1301" t="s">
        <v>69</v>
      </c>
      <c r="F1301" s="1">
        <v>23</v>
      </c>
      <c r="G1301" t="s">
        <v>62</v>
      </c>
      <c r="H1301" t="s">
        <v>23</v>
      </c>
      <c r="I1301" t="s">
        <v>86</v>
      </c>
      <c r="J1301" t="s">
        <v>58</v>
      </c>
      <c r="K1301" s="2">
        <v>3.6</v>
      </c>
      <c r="L1301" t="s">
        <v>152</v>
      </c>
      <c r="M1301" t="s">
        <v>34</v>
      </c>
      <c r="N1301" t="s">
        <v>72</v>
      </c>
      <c r="O1301" t="s">
        <v>26</v>
      </c>
      <c r="P1301" t="s">
        <v>26</v>
      </c>
      <c r="Q1301" s="3">
        <v>42</v>
      </c>
      <c r="R1301" t="s">
        <v>29</v>
      </c>
      <c r="S1301" t="s">
        <v>77</v>
      </c>
    </row>
    <row r="1302" spans="1:19" x14ac:dyDescent="0.25">
      <c r="A1302">
        <v>1301</v>
      </c>
      <c r="B1302">
        <v>67</v>
      </c>
      <c r="C1302" t="s">
        <v>19</v>
      </c>
      <c r="D1302" t="s">
        <v>113</v>
      </c>
      <c r="E1302" t="s">
        <v>21</v>
      </c>
      <c r="F1302" s="1">
        <v>100</v>
      </c>
      <c r="G1302" t="s">
        <v>66</v>
      </c>
      <c r="H1302" t="s">
        <v>45</v>
      </c>
      <c r="I1302" t="s">
        <v>63</v>
      </c>
      <c r="J1302" t="s">
        <v>39</v>
      </c>
      <c r="K1302" s="2">
        <v>4.5</v>
      </c>
      <c r="L1302" t="s">
        <v>152</v>
      </c>
      <c r="M1302" t="s">
        <v>35</v>
      </c>
      <c r="N1302" t="s">
        <v>47</v>
      </c>
      <c r="O1302" t="s">
        <v>26</v>
      </c>
      <c r="P1302" t="s">
        <v>26</v>
      </c>
      <c r="Q1302" s="3">
        <v>47</v>
      </c>
      <c r="R1302" t="s">
        <v>27</v>
      </c>
      <c r="S1302" t="s">
        <v>97</v>
      </c>
    </row>
    <row r="1303" spans="1:19" x14ac:dyDescent="0.25">
      <c r="A1303">
        <v>1302</v>
      </c>
      <c r="B1303">
        <v>42</v>
      </c>
      <c r="C1303" t="s">
        <v>19</v>
      </c>
      <c r="D1303" t="s">
        <v>56</v>
      </c>
      <c r="E1303" t="s">
        <v>21</v>
      </c>
      <c r="F1303" s="1">
        <v>54</v>
      </c>
      <c r="G1303" t="s">
        <v>32</v>
      </c>
      <c r="H1303" t="s">
        <v>45</v>
      </c>
      <c r="I1303" t="s">
        <v>121</v>
      </c>
      <c r="J1303" t="s">
        <v>58</v>
      </c>
      <c r="K1303" s="2">
        <v>5</v>
      </c>
      <c r="L1303" t="s">
        <v>152</v>
      </c>
      <c r="M1303" t="s">
        <v>29</v>
      </c>
      <c r="N1303" t="s">
        <v>28</v>
      </c>
      <c r="O1303" t="s">
        <v>26</v>
      </c>
      <c r="P1303" t="s">
        <v>26</v>
      </c>
      <c r="Q1303" s="3">
        <v>21</v>
      </c>
      <c r="R1303" t="s">
        <v>59</v>
      </c>
      <c r="S1303" t="s">
        <v>41</v>
      </c>
    </row>
    <row r="1304" spans="1:19" x14ac:dyDescent="0.25">
      <c r="A1304">
        <v>1303</v>
      </c>
      <c r="B1304">
        <v>23</v>
      </c>
      <c r="C1304" t="s">
        <v>19</v>
      </c>
      <c r="D1304" t="s">
        <v>51</v>
      </c>
      <c r="E1304" t="s">
        <v>43</v>
      </c>
      <c r="F1304" s="1">
        <v>25</v>
      </c>
      <c r="G1304" t="s">
        <v>135</v>
      </c>
      <c r="H1304" t="s">
        <v>45</v>
      </c>
      <c r="I1304" t="s">
        <v>81</v>
      </c>
      <c r="J1304" t="s">
        <v>58</v>
      </c>
      <c r="K1304" s="2">
        <v>2.9</v>
      </c>
      <c r="L1304" t="s">
        <v>152</v>
      </c>
      <c r="M1304" t="s">
        <v>34</v>
      </c>
      <c r="N1304" t="s">
        <v>47</v>
      </c>
      <c r="O1304" t="s">
        <v>26</v>
      </c>
      <c r="P1304" t="s">
        <v>26</v>
      </c>
      <c r="Q1304" s="3">
        <v>37</v>
      </c>
      <c r="R1304" t="s">
        <v>27</v>
      </c>
      <c r="S1304" t="s">
        <v>88</v>
      </c>
    </row>
    <row r="1305" spans="1:19" x14ac:dyDescent="0.25">
      <c r="A1305">
        <v>1304</v>
      </c>
      <c r="B1305">
        <v>34</v>
      </c>
      <c r="C1305" t="s">
        <v>19</v>
      </c>
      <c r="D1305" t="s">
        <v>20</v>
      </c>
      <c r="E1305" t="s">
        <v>21</v>
      </c>
      <c r="F1305" s="1">
        <v>32</v>
      </c>
      <c r="G1305" t="s">
        <v>85</v>
      </c>
      <c r="H1305" t="s">
        <v>23</v>
      </c>
      <c r="I1305" t="s">
        <v>67</v>
      </c>
      <c r="J1305" t="s">
        <v>54</v>
      </c>
      <c r="K1305" s="2">
        <v>3.1</v>
      </c>
      <c r="L1305" t="s">
        <v>152</v>
      </c>
      <c r="M1305" t="s">
        <v>29</v>
      </c>
      <c r="N1305" t="s">
        <v>47</v>
      </c>
      <c r="O1305" t="s">
        <v>26</v>
      </c>
      <c r="P1305" t="s">
        <v>26</v>
      </c>
      <c r="Q1305" s="3">
        <v>10</v>
      </c>
      <c r="R1305" t="s">
        <v>27</v>
      </c>
      <c r="S1305" t="s">
        <v>50</v>
      </c>
    </row>
    <row r="1306" spans="1:19" x14ac:dyDescent="0.25">
      <c r="A1306">
        <v>1305</v>
      </c>
      <c r="B1306">
        <v>64</v>
      </c>
      <c r="C1306" t="s">
        <v>19</v>
      </c>
      <c r="D1306" t="s">
        <v>132</v>
      </c>
      <c r="E1306" t="s">
        <v>69</v>
      </c>
      <c r="F1306" s="1">
        <v>63</v>
      </c>
      <c r="G1306" t="s">
        <v>57</v>
      </c>
      <c r="H1306" t="s">
        <v>38</v>
      </c>
      <c r="I1306" t="s">
        <v>121</v>
      </c>
      <c r="J1306" t="s">
        <v>39</v>
      </c>
      <c r="K1306" s="2">
        <v>4</v>
      </c>
      <c r="L1306" t="s">
        <v>152</v>
      </c>
      <c r="M1306" t="s">
        <v>34</v>
      </c>
      <c r="N1306" t="s">
        <v>72</v>
      </c>
      <c r="O1306" t="s">
        <v>26</v>
      </c>
      <c r="P1306" t="s">
        <v>26</v>
      </c>
      <c r="Q1306" s="3">
        <v>18</v>
      </c>
      <c r="R1306" t="s">
        <v>46</v>
      </c>
      <c r="S1306" t="s">
        <v>97</v>
      </c>
    </row>
    <row r="1307" spans="1:19" x14ac:dyDescent="0.25">
      <c r="A1307">
        <v>1306</v>
      </c>
      <c r="B1307">
        <v>31</v>
      </c>
      <c r="C1307" t="s">
        <v>19</v>
      </c>
      <c r="D1307" t="s">
        <v>95</v>
      </c>
      <c r="E1307" t="s">
        <v>21</v>
      </c>
      <c r="F1307" s="1">
        <v>56</v>
      </c>
      <c r="G1307" t="s">
        <v>91</v>
      </c>
      <c r="H1307" t="s">
        <v>92</v>
      </c>
      <c r="I1307" t="s">
        <v>100</v>
      </c>
      <c r="J1307" t="s">
        <v>39</v>
      </c>
      <c r="K1307" s="2">
        <v>4.5</v>
      </c>
      <c r="L1307" t="s">
        <v>152</v>
      </c>
      <c r="M1307" t="s">
        <v>29</v>
      </c>
      <c r="N1307" t="s">
        <v>28</v>
      </c>
      <c r="O1307" t="s">
        <v>26</v>
      </c>
      <c r="P1307" t="s">
        <v>26</v>
      </c>
      <c r="Q1307" s="3">
        <v>2</v>
      </c>
      <c r="R1307" t="s">
        <v>46</v>
      </c>
      <c r="S1307" t="s">
        <v>97</v>
      </c>
    </row>
    <row r="1308" spans="1:19" x14ac:dyDescent="0.25">
      <c r="A1308">
        <v>1307</v>
      </c>
      <c r="B1308">
        <v>54</v>
      </c>
      <c r="C1308" t="s">
        <v>19</v>
      </c>
      <c r="D1308" t="s">
        <v>31</v>
      </c>
      <c r="E1308" t="s">
        <v>21</v>
      </c>
      <c r="F1308" s="1">
        <v>33</v>
      </c>
      <c r="G1308" t="s">
        <v>120</v>
      </c>
      <c r="H1308" t="s">
        <v>23</v>
      </c>
      <c r="I1308" t="s">
        <v>110</v>
      </c>
      <c r="J1308" t="s">
        <v>25</v>
      </c>
      <c r="K1308" s="2">
        <v>4.5</v>
      </c>
      <c r="L1308" t="s">
        <v>152</v>
      </c>
      <c r="M1308" t="s">
        <v>35</v>
      </c>
      <c r="N1308" t="s">
        <v>47</v>
      </c>
      <c r="O1308" t="s">
        <v>26</v>
      </c>
      <c r="P1308" t="s">
        <v>26</v>
      </c>
      <c r="Q1308" s="3">
        <v>40</v>
      </c>
      <c r="R1308" t="s">
        <v>46</v>
      </c>
      <c r="S1308" t="s">
        <v>50</v>
      </c>
    </row>
    <row r="1309" spans="1:19" x14ac:dyDescent="0.25">
      <c r="A1309">
        <v>1308</v>
      </c>
      <c r="B1309">
        <v>23</v>
      </c>
      <c r="C1309" t="s">
        <v>19</v>
      </c>
      <c r="D1309" t="s">
        <v>64</v>
      </c>
      <c r="E1309" t="s">
        <v>65</v>
      </c>
      <c r="F1309" s="1">
        <v>32</v>
      </c>
      <c r="G1309" t="s">
        <v>70</v>
      </c>
      <c r="H1309" t="s">
        <v>23</v>
      </c>
      <c r="I1309" t="s">
        <v>94</v>
      </c>
      <c r="J1309" t="s">
        <v>54</v>
      </c>
      <c r="K1309" s="2">
        <v>3.1</v>
      </c>
      <c r="L1309" t="s">
        <v>152</v>
      </c>
      <c r="M1309" t="s">
        <v>46</v>
      </c>
      <c r="N1309" t="s">
        <v>28</v>
      </c>
      <c r="O1309" t="s">
        <v>26</v>
      </c>
      <c r="P1309" t="s">
        <v>26</v>
      </c>
      <c r="Q1309" s="3">
        <v>43</v>
      </c>
      <c r="R1309" t="s">
        <v>46</v>
      </c>
      <c r="S1309" t="s">
        <v>50</v>
      </c>
    </row>
    <row r="1310" spans="1:19" x14ac:dyDescent="0.25">
      <c r="A1310">
        <v>1309</v>
      </c>
      <c r="B1310">
        <v>59</v>
      </c>
      <c r="C1310" t="s">
        <v>19</v>
      </c>
      <c r="D1310" t="s">
        <v>82</v>
      </c>
      <c r="E1310" t="s">
        <v>21</v>
      </c>
      <c r="F1310" s="1">
        <v>38</v>
      </c>
      <c r="G1310" t="s">
        <v>44</v>
      </c>
      <c r="H1310" t="s">
        <v>23</v>
      </c>
      <c r="I1310" t="s">
        <v>108</v>
      </c>
      <c r="J1310" t="s">
        <v>54</v>
      </c>
      <c r="K1310" s="2">
        <v>4.4000000000000004</v>
      </c>
      <c r="L1310" t="s">
        <v>152</v>
      </c>
      <c r="M1310" t="s">
        <v>27</v>
      </c>
      <c r="N1310" t="s">
        <v>47</v>
      </c>
      <c r="O1310" t="s">
        <v>26</v>
      </c>
      <c r="P1310" t="s">
        <v>26</v>
      </c>
      <c r="Q1310" s="3">
        <v>14</v>
      </c>
      <c r="R1310" t="s">
        <v>27</v>
      </c>
      <c r="S1310" t="s">
        <v>97</v>
      </c>
    </row>
    <row r="1311" spans="1:19" x14ac:dyDescent="0.25">
      <c r="A1311">
        <v>1310</v>
      </c>
      <c r="B1311">
        <v>32</v>
      </c>
      <c r="C1311" t="s">
        <v>19</v>
      </c>
      <c r="D1311" t="s">
        <v>20</v>
      </c>
      <c r="E1311" t="s">
        <v>21</v>
      </c>
      <c r="F1311" s="1">
        <v>21</v>
      </c>
      <c r="G1311" t="s">
        <v>78</v>
      </c>
      <c r="H1311" t="s">
        <v>23</v>
      </c>
      <c r="I1311" t="s">
        <v>93</v>
      </c>
      <c r="J1311" t="s">
        <v>54</v>
      </c>
      <c r="K1311" s="2">
        <v>4.7</v>
      </c>
      <c r="L1311" t="s">
        <v>152</v>
      </c>
      <c r="M1311" t="s">
        <v>34</v>
      </c>
      <c r="N1311" t="s">
        <v>76</v>
      </c>
      <c r="O1311" t="s">
        <v>26</v>
      </c>
      <c r="P1311" t="s">
        <v>26</v>
      </c>
      <c r="Q1311" s="3">
        <v>41</v>
      </c>
      <c r="R1311" t="s">
        <v>35</v>
      </c>
      <c r="S1311" t="s">
        <v>60</v>
      </c>
    </row>
    <row r="1312" spans="1:19" x14ac:dyDescent="0.25">
      <c r="A1312">
        <v>1311</v>
      </c>
      <c r="B1312">
        <v>43</v>
      </c>
      <c r="C1312" t="s">
        <v>19</v>
      </c>
      <c r="D1312" t="s">
        <v>104</v>
      </c>
      <c r="E1312" t="s">
        <v>21</v>
      </c>
      <c r="F1312" s="1">
        <v>59</v>
      </c>
      <c r="G1312" t="s">
        <v>131</v>
      </c>
      <c r="H1312" t="s">
        <v>23</v>
      </c>
      <c r="I1312" t="s">
        <v>110</v>
      </c>
      <c r="J1312" t="s">
        <v>25</v>
      </c>
      <c r="K1312" s="2">
        <v>3.1</v>
      </c>
      <c r="L1312" t="s">
        <v>152</v>
      </c>
      <c r="M1312" t="s">
        <v>27</v>
      </c>
      <c r="N1312" t="s">
        <v>76</v>
      </c>
      <c r="O1312" t="s">
        <v>26</v>
      </c>
      <c r="P1312" t="s">
        <v>26</v>
      </c>
      <c r="Q1312" s="3">
        <v>38</v>
      </c>
      <c r="R1312" t="s">
        <v>27</v>
      </c>
      <c r="S1312" t="s">
        <v>97</v>
      </c>
    </row>
    <row r="1313" spans="1:19" x14ac:dyDescent="0.25">
      <c r="A1313">
        <v>1312</v>
      </c>
      <c r="B1313">
        <v>32</v>
      </c>
      <c r="C1313" t="s">
        <v>19</v>
      </c>
      <c r="D1313" t="s">
        <v>73</v>
      </c>
      <c r="E1313" t="s">
        <v>43</v>
      </c>
      <c r="F1313" s="1">
        <v>87</v>
      </c>
      <c r="G1313" t="s">
        <v>122</v>
      </c>
      <c r="H1313" t="s">
        <v>45</v>
      </c>
      <c r="I1313" t="s">
        <v>33</v>
      </c>
      <c r="J1313" t="s">
        <v>58</v>
      </c>
      <c r="K1313" s="2">
        <v>4.2</v>
      </c>
      <c r="L1313" t="s">
        <v>152</v>
      </c>
      <c r="M1313" t="s">
        <v>27</v>
      </c>
      <c r="N1313" t="s">
        <v>28</v>
      </c>
      <c r="O1313" t="s">
        <v>26</v>
      </c>
      <c r="P1313" t="s">
        <v>26</v>
      </c>
      <c r="Q1313" s="3">
        <v>12</v>
      </c>
      <c r="R1313" t="s">
        <v>29</v>
      </c>
      <c r="S1313" t="s">
        <v>50</v>
      </c>
    </row>
    <row r="1314" spans="1:19" x14ac:dyDescent="0.25">
      <c r="A1314">
        <v>1313</v>
      </c>
      <c r="B1314">
        <v>66</v>
      </c>
      <c r="C1314" t="s">
        <v>19</v>
      </c>
      <c r="D1314" t="s">
        <v>113</v>
      </c>
      <c r="E1314" t="s">
        <v>21</v>
      </c>
      <c r="F1314" s="1">
        <v>79</v>
      </c>
      <c r="G1314" t="s">
        <v>70</v>
      </c>
      <c r="H1314" t="s">
        <v>45</v>
      </c>
      <c r="I1314" t="s">
        <v>84</v>
      </c>
      <c r="J1314" t="s">
        <v>25</v>
      </c>
      <c r="K1314" s="2">
        <v>3</v>
      </c>
      <c r="L1314" t="s">
        <v>152</v>
      </c>
      <c r="M1314" t="s">
        <v>29</v>
      </c>
      <c r="N1314" t="s">
        <v>76</v>
      </c>
      <c r="O1314" t="s">
        <v>26</v>
      </c>
      <c r="P1314" t="s">
        <v>26</v>
      </c>
      <c r="Q1314" s="3">
        <v>19</v>
      </c>
      <c r="R1314" t="s">
        <v>34</v>
      </c>
      <c r="S1314" t="s">
        <v>88</v>
      </c>
    </row>
    <row r="1315" spans="1:19" x14ac:dyDescent="0.25">
      <c r="A1315">
        <v>1314</v>
      </c>
      <c r="B1315">
        <v>70</v>
      </c>
      <c r="C1315" t="s">
        <v>19</v>
      </c>
      <c r="D1315" t="s">
        <v>73</v>
      </c>
      <c r="E1315" t="s">
        <v>43</v>
      </c>
      <c r="F1315" s="1">
        <v>28</v>
      </c>
      <c r="G1315" t="s">
        <v>70</v>
      </c>
      <c r="H1315" t="s">
        <v>45</v>
      </c>
      <c r="I1315" t="s">
        <v>93</v>
      </c>
      <c r="J1315" t="s">
        <v>54</v>
      </c>
      <c r="K1315" s="2">
        <v>2.6</v>
      </c>
      <c r="L1315" t="s">
        <v>152</v>
      </c>
      <c r="M1315" t="s">
        <v>35</v>
      </c>
      <c r="N1315" t="s">
        <v>40</v>
      </c>
      <c r="O1315" t="s">
        <v>26</v>
      </c>
      <c r="P1315" t="s">
        <v>26</v>
      </c>
      <c r="Q1315" s="3">
        <v>23</v>
      </c>
      <c r="R1315" t="s">
        <v>27</v>
      </c>
      <c r="S1315" t="s">
        <v>77</v>
      </c>
    </row>
    <row r="1316" spans="1:19" x14ac:dyDescent="0.25">
      <c r="A1316">
        <v>1315</v>
      </c>
      <c r="B1316">
        <v>42</v>
      </c>
      <c r="C1316" t="s">
        <v>19</v>
      </c>
      <c r="D1316" t="s">
        <v>137</v>
      </c>
      <c r="E1316" t="s">
        <v>43</v>
      </c>
      <c r="F1316" s="1">
        <v>67</v>
      </c>
      <c r="G1316" t="s">
        <v>70</v>
      </c>
      <c r="H1316" t="s">
        <v>38</v>
      </c>
      <c r="I1316" t="s">
        <v>136</v>
      </c>
      <c r="J1316" t="s">
        <v>54</v>
      </c>
      <c r="K1316" s="2">
        <v>3.4</v>
      </c>
      <c r="L1316" t="s">
        <v>152</v>
      </c>
      <c r="M1316" t="s">
        <v>29</v>
      </c>
      <c r="N1316" t="s">
        <v>40</v>
      </c>
      <c r="O1316" t="s">
        <v>26</v>
      </c>
      <c r="P1316" t="s">
        <v>26</v>
      </c>
      <c r="Q1316" s="3">
        <v>49</v>
      </c>
      <c r="R1316" t="s">
        <v>59</v>
      </c>
      <c r="S1316" t="s">
        <v>50</v>
      </c>
    </row>
    <row r="1317" spans="1:19" x14ac:dyDescent="0.25">
      <c r="A1317">
        <v>1316</v>
      </c>
      <c r="B1317">
        <v>56</v>
      </c>
      <c r="C1317" t="s">
        <v>19</v>
      </c>
      <c r="D1317" t="s">
        <v>61</v>
      </c>
      <c r="E1317" t="s">
        <v>21</v>
      </c>
      <c r="F1317" s="1">
        <v>75</v>
      </c>
      <c r="G1317" t="s">
        <v>91</v>
      </c>
      <c r="H1317" t="s">
        <v>23</v>
      </c>
      <c r="I1317" t="s">
        <v>96</v>
      </c>
      <c r="J1317" t="s">
        <v>39</v>
      </c>
      <c r="K1317" s="2">
        <v>4.2</v>
      </c>
      <c r="L1317" t="s">
        <v>152</v>
      </c>
      <c r="M1317" t="s">
        <v>46</v>
      </c>
      <c r="N1317" t="s">
        <v>72</v>
      </c>
      <c r="O1317" t="s">
        <v>26</v>
      </c>
      <c r="P1317" t="s">
        <v>26</v>
      </c>
      <c r="Q1317" s="3">
        <v>29</v>
      </c>
      <c r="R1317" t="s">
        <v>59</v>
      </c>
      <c r="S1317" t="s">
        <v>60</v>
      </c>
    </row>
    <row r="1318" spans="1:19" x14ac:dyDescent="0.25">
      <c r="A1318">
        <v>1317</v>
      </c>
      <c r="B1318">
        <v>28</v>
      </c>
      <c r="C1318" t="s">
        <v>19</v>
      </c>
      <c r="D1318" t="s">
        <v>133</v>
      </c>
      <c r="E1318" t="s">
        <v>69</v>
      </c>
      <c r="F1318" s="1">
        <v>32</v>
      </c>
      <c r="G1318" t="s">
        <v>74</v>
      </c>
      <c r="H1318" t="s">
        <v>38</v>
      </c>
      <c r="I1318" t="s">
        <v>93</v>
      </c>
      <c r="J1318" t="s">
        <v>39</v>
      </c>
      <c r="K1318" s="2">
        <v>4.5999999999999996</v>
      </c>
      <c r="L1318" t="s">
        <v>152</v>
      </c>
      <c r="M1318" t="s">
        <v>46</v>
      </c>
      <c r="N1318" t="s">
        <v>55</v>
      </c>
      <c r="O1318" t="s">
        <v>26</v>
      </c>
      <c r="P1318" t="s">
        <v>26</v>
      </c>
      <c r="Q1318" s="3">
        <v>14</v>
      </c>
      <c r="R1318" t="s">
        <v>59</v>
      </c>
      <c r="S1318" t="s">
        <v>77</v>
      </c>
    </row>
    <row r="1319" spans="1:19" x14ac:dyDescent="0.25">
      <c r="A1319">
        <v>1318</v>
      </c>
      <c r="B1319">
        <v>28</v>
      </c>
      <c r="C1319" t="s">
        <v>19</v>
      </c>
      <c r="D1319" t="s">
        <v>95</v>
      </c>
      <c r="E1319" t="s">
        <v>21</v>
      </c>
      <c r="F1319" s="1">
        <v>43</v>
      </c>
      <c r="G1319" t="s">
        <v>22</v>
      </c>
      <c r="H1319" t="s">
        <v>45</v>
      </c>
      <c r="I1319" t="s">
        <v>96</v>
      </c>
      <c r="J1319" t="s">
        <v>39</v>
      </c>
      <c r="K1319" s="2">
        <v>2.8</v>
      </c>
      <c r="L1319" t="s">
        <v>152</v>
      </c>
      <c r="M1319" t="s">
        <v>27</v>
      </c>
      <c r="N1319" t="s">
        <v>40</v>
      </c>
      <c r="O1319" t="s">
        <v>26</v>
      </c>
      <c r="P1319" t="s">
        <v>26</v>
      </c>
      <c r="Q1319" s="3">
        <v>19</v>
      </c>
      <c r="R1319" t="s">
        <v>35</v>
      </c>
      <c r="S1319" t="s">
        <v>88</v>
      </c>
    </row>
    <row r="1320" spans="1:19" x14ac:dyDescent="0.25">
      <c r="A1320">
        <v>1319</v>
      </c>
      <c r="B1320">
        <v>52</v>
      </c>
      <c r="C1320" t="s">
        <v>19</v>
      </c>
      <c r="D1320" t="s">
        <v>61</v>
      </c>
      <c r="E1320" t="s">
        <v>21</v>
      </c>
      <c r="F1320" s="1">
        <v>93</v>
      </c>
      <c r="G1320" t="s">
        <v>139</v>
      </c>
      <c r="H1320" t="s">
        <v>45</v>
      </c>
      <c r="I1320" t="s">
        <v>33</v>
      </c>
      <c r="J1320" t="s">
        <v>39</v>
      </c>
      <c r="K1320" s="2">
        <v>2.7</v>
      </c>
      <c r="L1320" t="s">
        <v>152</v>
      </c>
      <c r="M1320" t="s">
        <v>29</v>
      </c>
      <c r="N1320" t="s">
        <v>28</v>
      </c>
      <c r="O1320" t="s">
        <v>26</v>
      </c>
      <c r="P1320" t="s">
        <v>26</v>
      </c>
      <c r="Q1320" s="3">
        <v>19</v>
      </c>
      <c r="R1320" t="s">
        <v>27</v>
      </c>
      <c r="S1320" t="s">
        <v>77</v>
      </c>
    </row>
    <row r="1321" spans="1:19" x14ac:dyDescent="0.25">
      <c r="A1321">
        <v>1320</v>
      </c>
      <c r="B1321">
        <v>65</v>
      </c>
      <c r="C1321" t="s">
        <v>19</v>
      </c>
      <c r="D1321" t="s">
        <v>89</v>
      </c>
      <c r="E1321" t="s">
        <v>69</v>
      </c>
      <c r="F1321" s="1">
        <v>24</v>
      </c>
      <c r="G1321" t="s">
        <v>101</v>
      </c>
      <c r="H1321" t="s">
        <v>45</v>
      </c>
      <c r="I1321" t="s">
        <v>136</v>
      </c>
      <c r="J1321" t="s">
        <v>39</v>
      </c>
      <c r="K1321" s="2">
        <v>4</v>
      </c>
      <c r="L1321" t="s">
        <v>152</v>
      </c>
      <c r="M1321" t="s">
        <v>27</v>
      </c>
      <c r="N1321" t="s">
        <v>55</v>
      </c>
      <c r="O1321" t="s">
        <v>26</v>
      </c>
      <c r="P1321" t="s">
        <v>26</v>
      </c>
      <c r="Q1321" s="3">
        <v>48</v>
      </c>
      <c r="R1321" t="s">
        <v>34</v>
      </c>
      <c r="S1321" t="s">
        <v>41</v>
      </c>
    </row>
    <row r="1322" spans="1:19" x14ac:dyDescent="0.25">
      <c r="A1322">
        <v>1321</v>
      </c>
      <c r="B1322">
        <v>56</v>
      </c>
      <c r="C1322" t="s">
        <v>19</v>
      </c>
      <c r="D1322" t="s">
        <v>124</v>
      </c>
      <c r="E1322" t="s">
        <v>69</v>
      </c>
      <c r="F1322" s="1">
        <v>31</v>
      </c>
      <c r="G1322" t="s">
        <v>99</v>
      </c>
      <c r="H1322" t="s">
        <v>92</v>
      </c>
      <c r="I1322" t="s">
        <v>86</v>
      </c>
      <c r="J1322" t="s">
        <v>58</v>
      </c>
      <c r="K1322" s="2">
        <v>3.1</v>
      </c>
      <c r="L1322" t="s">
        <v>152</v>
      </c>
      <c r="M1322" t="s">
        <v>46</v>
      </c>
      <c r="N1322" t="s">
        <v>40</v>
      </c>
      <c r="O1322" t="s">
        <v>26</v>
      </c>
      <c r="P1322" t="s">
        <v>26</v>
      </c>
      <c r="Q1322" s="3">
        <v>19</v>
      </c>
      <c r="R1322" t="s">
        <v>59</v>
      </c>
      <c r="S1322" t="s">
        <v>50</v>
      </c>
    </row>
    <row r="1323" spans="1:19" x14ac:dyDescent="0.25">
      <c r="A1323">
        <v>1322</v>
      </c>
      <c r="B1323">
        <v>59</v>
      </c>
      <c r="C1323" t="s">
        <v>19</v>
      </c>
      <c r="D1323" t="s">
        <v>113</v>
      </c>
      <c r="E1323" t="s">
        <v>21</v>
      </c>
      <c r="F1323" s="1">
        <v>84</v>
      </c>
      <c r="G1323" t="s">
        <v>70</v>
      </c>
      <c r="H1323" t="s">
        <v>23</v>
      </c>
      <c r="I1323" t="s">
        <v>121</v>
      </c>
      <c r="J1323" t="s">
        <v>25</v>
      </c>
      <c r="K1323" s="2">
        <v>3.7</v>
      </c>
      <c r="L1323" t="s">
        <v>152</v>
      </c>
      <c r="M1323" t="s">
        <v>27</v>
      </c>
      <c r="N1323" t="s">
        <v>28</v>
      </c>
      <c r="O1323" t="s">
        <v>26</v>
      </c>
      <c r="P1323" t="s">
        <v>26</v>
      </c>
      <c r="Q1323" s="3">
        <v>45</v>
      </c>
      <c r="R1323" t="s">
        <v>34</v>
      </c>
      <c r="S1323" t="s">
        <v>97</v>
      </c>
    </row>
    <row r="1324" spans="1:19" x14ac:dyDescent="0.25">
      <c r="A1324">
        <v>1323</v>
      </c>
      <c r="B1324">
        <v>23</v>
      </c>
      <c r="C1324" t="s">
        <v>19</v>
      </c>
      <c r="D1324" t="s">
        <v>95</v>
      </c>
      <c r="E1324" t="s">
        <v>21</v>
      </c>
      <c r="F1324" s="1">
        <v>74</v>
      </c>
      <c r="G1324" t="s">
        <v>149</v>
      </c>
      <c r="H1324" t="s">
        <v>45</v>
      </c>
      <c r="I1324" t="s">
        <v>84</v>
      </c>
      <c r="J1324" t="s">
        <v>25</v>
      </c>
      <c r="K1324" s="2">
        <v>4</v>
      </c>
      <c r="L1324" t="s">
        <v>152</v>
      </c>
      <c r="M1324" t="s">
        <v>27</v>
      </c>
      <c r="N1324" t="s">
        <v>47</v>
      </c>
      <c r="O1324" t="s">
        <v>26</v>
      </c>
      <c r="P1324" t="s">
        <v>26</v>
      </c>
      <c r="Q1324" s="3">
        <v>17</v>
      </c>
      <c r="R1324" t="s">
        <v>34</v>
      </c>
      <c r="S1324" t="s">
        <v>60</v>
      </c>
    </row>
    <row r="1325" spans="1:19" x14ac:dyDescent="0.25">
      <c r="A1325">
        <v>1324</v>
      </c>
      <c r="B1325">
        <v>58</v>
      </c>
      <c r="C1325" t="s">
        <v>19</v>
      </c>
      <c r="D1325" t="s">
        <v>61</v>
      </c>
      <c r="E1325" t="s">
        <v>21</v>
      </c>
      <c r="F1325" s="1">
        <v>62</v>
      </c>
      <c r="G1325" t="s">
        <v>85</v>
      </c>
      <c r="H1325" t="s">
        <v>45</v>
      </c>
      <c r="I1325" t="s">
        <v>134</v>
      </c>
      <c r="J1325" t="s">
        <v>39</v>
      </c>
      <c r="K1325" s="2">
        <v>4.5999999999999996</v>
      </c>
      <c r="L1325" t="s">
        <v>152</v>
      </c>
      <c r="M1325" t="s">
        <v>35</v>
      </c>
      <c r="N1325" t="s">
        <v>55</v>
      </c>
      <c r="O1325" t="s">
        <v>26</v>
      </c>
      <c r="P1325" t="s">
        <v>26</v>
      </c>
      <c r="Q1325" s="3">
        <v>15</v>
      </c>
      <c r="R1325" t="s">
        <v>59</v>
      </c>
      <c r="S1325" t="s">
        <v>97</v>
      </c>
    </row>
    <row r="1326" spans="1:19" x14ac:dyDescent="0.25">
      <c r="A1326">
        <v>1325</v>
      </c>
      <c r="B1326">
        <v>39</v>
      </c>
      <c r="C1326" t="s">
        <v>19</v>
      </c>
      <c r="D1326" t="s">
        <v>106</v>
      </c>
      <c r="E1326" t="s">
        <v>69</v>
      </c>
      <c r="F1326" s="1">
        <v>77</v>
      </c>
      <c r="G1326" t="s">
        <v>116</v>
      </c>
      <c r="H1326" t="s">
        <v>38</v>
      </c>
      <c r="I1326" t="s">
        <v>121</v>
      </c>
      <c r="J1326" t="s">
        <v>54</v>
      </c>
      <c r="K1326" s="2">
        <v>3.8</v>
      </c>
      <c r="L1326" t="s">
        <v>152</v>
      </c>
      <c r="M1326" t="s">
        <v>27</v>
      </c>
      <c r="N1326" t="s">
        <v>40</v>
      </c>
      <c r="O1326" t="s">
        <v>26</v>
      </c>
      <c r="P1326" t="s">
        <v>26</v>
      </c>
      <c r="Q1326" s="3">
        <v>11</v>
      </c>
      <c r="R1326" t="s">
        <v>27</v>
      </c>
      <c r="S1326" t="s">
        <v>30</v>
      </c>
    </row>
    <row r="1327" spans="1:19" x14ac:dyDescent="0.25">
      <c r="A1327">
        <v>1326</v>
      </c>
      <c r="B1327">
        <v>28</v>
      </c>
      <c r="C1327" t="s">
        <v>19</v>
      </c>
      <c r="D1327" t="s">
        <v>132</v>
      </c>
      <c r="E1327" t="s">
        <v>69</v>
      </c>
      <c r="F1327" s="1">
        <v>73</v>
      </c>
      <c r="G1327" t="s">
        <v>48</v>
      </c>
      <c r="H1327" t="s">
        <v>23</v>
      </c>
      <c r="I1327" t="s">
        <v>81</v>
      </c>
      <c r="J1327" t="s">
        <v>54</v>
      </c>
      <c r="K1327" s="2">
        <v>3.5</v>
      </c>
      <c r="L1327" t="s">
        <v>152</v>
      </c>
      <c r="M1327" t="s">
        <v>29</v>
      </c>
      <c r="N1327" t="s">
        <v>28</v>
      </c>
      <c r="O1327" t="s">
        <v>26</v>
      </c>
      <c r="P1327" t="s">
        <v>26</v>
      </c>
      <c r="Q1327" s="3">
        <v>1</v>
      </c>
      <c r="R1327" t="s">
        <v>35</v>
      </c>
      <c r="S1327" t="s">
        <v>88</v>
      </c>
    </row>
    <row r="1328" spans="1:19" x14ac:dyDescent="0.25">
      <c r="A1328">
        <v>1327</v>
      </c>
      <c r="B1328">
        <v>40</v>
      </c>
      <c r="C1328" t="s">
        <v>19</v>
      </c>
      <c r="D1328" t="s">
        <v>73</v>
      </c>
      <c r="E1328" t="s">
        <v>43</v>
      </c>
      <c r="F1328" s="1">
        <v>50</v>
      </c>
      <c r="G1328" t="s">
        <v>105</v>
      </c>
      <c r="H1328" t="s">
        <v>45</v>
      </c>
      <c r="I1328" t="s">
        <v>126</v>
      </c>
      <c r="J1328" t="s">
        <v>39</v>
      </c>
      <c r="K1328" s="2">
        <v>4.5999999999999996</v>
      </c>
      <c r="L1328" t="s">
        <v>152</v>
      </c>
      <c r="M1328" t="s">
        <v>34</v>
      </c>
      <c r="N1328" t="s">
        <v>40</v>
      </c>
      <c r="O1328" t="s">
        <v>26</v>
      </c>
      <c r="P1328" t="s">
        <v>26</v>
      </c>
      <c r="Q1328" s="3">
        <v>17</v>
      </c>
      <c r="R1328" t="s">
        <v>35</v>
      </c>
      <c r="S1328" t="s">
        <v>88</v>
      </c>
    </row>
    <row r="1329" spans="1:19" x14ac:dyDescent="0.25">
      <c r="A1329">
        <v>1328</v>
      </c>
      <c r="B1329">
        <v>52</v>
      </c>
      <c r="C1329" t="s">
        <v>19</v>
      </c>
      <c r="D1329" t="s">
        <v>64</v>
      </c>
      <c r="E1329" t="s">
        <v>65</v>
      </c>
      <c r="F1329" s="1">
        <v>40</v>
      </c>
      <c r="G1329" t="s">
        <v>103</v>
      </c>
      <c r="H1329" t="s">
        <v>45</v>
      </c>
      <c r="I1329" t="s">
        <v>49</v>
      </c>
      <c r="J1329" t="s">
        <v>25</v>
      </c>
      <c r="K1329" s="2">
        <v>2.8</v>
      </c>
      <c r="L1329" t="s">
        <v>152</v>
      </c>
      <c r="M1329" t="s">
        <v>27</v>
      </c>
      <c r="N1329" t="s">
        <v>55</v>
      </c>
      <c r="O1329" t="s">
        <v>26</v>
      </c>
      <c r="P1329" t="s">
        <v>26</v>
      </c>
      <c r="Q1329" s="3">
        <v>37</v>
      </c>
      <c r="R1329" t="s">
        <v>35</v>
      </c>
      <c r="S1329" t="s">
        <v>41</v>
      </c>
    </row>
    <row r="1330" spans="1:19" x14ac:dyDescent="0.25">
      <c r="A1330">
        <v>1329</v>
      </c>
      <c r="B1330">
        <v>37</v>
      </c>
      <c r="C1330" t="s">
        <v>19</v>
      </c>
      <c r="D1330" t="s">
        <v>31</v>
      </c>
      <c r="E1330" t="s">
        <v>21</v>
      </c>
      <c r="F1330" s="1">
        <v>97</v>
      </c>
      <c r="G1330" t="s">
        <v>44</v>
      </c>
      <c r="H1330" t="s">
        <v>45</v>
      </c>
      <c r="I1330" t="s">
        <v>121</v>
      </c>
      <c r="J1330" t="s">
        <v>25</v>
      </c>
      <c r="K1330" s="2">
        <v>3.7</v>
      </c>
      <c r="L1330" t="s">
        <v>152</v>
      </c>
      <c r="M1330" t="s">
        <v>59</v>
      </c>
      <c r="N1330" t="s">
        <v>55</v>
      </c>
      <c r="O1330" t="s">
        <v>26</v>
      </c>
      <c r="P1330" t="s">
        <v>26</v>
      </c>
      <c r="Q1330" s="3">
        <v>40</v>
      </c>
      <c r="R1330" t="s">
        <v>34</v>
      </c>
      <c r="S1330" t="s">
        <v>41</v>
      </c>
    </row>
    <row r="1331" spans="1:19" x14ac:dyDescent="0.25">
      <c r="A1331">
        <v>1330</v>
      </c>
      <c r="B1331">
        <v>70</v>
      </c>
      <c r="C1331" t="s">
        <v>19</v>
      </c>
      <c r="D1331" t="s">
        <v>143</v>
      </c>
      <c r="E1331" t="s">
        <v>69</v>
      </c>
      <c r="F1331" s="1">
        <v>63</v>
      </c>
      <c r="G1331" t="s">
        <v>105</v>
      </c>
      <c r="H1331" t="s">
        <v>45</v>
      </c>
      <c r="I1331" t="s">
        <v>126</v>
      </c>
      <c r="J1331" t="s">
        <v>58</v>
      </c>
      <c r="K1331" s="2">
        <v>3.3</v>
      </c>
      <c r="L1331" t="s">
        <v>152</v>
      </c>
      <c r="M1331" t="s">
        <v>46</v>
      </c>
      <c r="N1331" t="s">
        <v>28</v>
      </c>
      <c r="O1331" t="s">
        <v>26</v>
      </c>
      <c r="P1331" t="s">
        <v>26</v>
      </c>
      <c r="Q1331" s="3">
        <v>50</v>
      </c>
      <c r="R1331" t="s">
        <v>46</v>
      </c>
      <c r="S1331" t="s">
        <v>97</v>
      </c>
    </row>
    <row r="1332" spans="1:19" x14ac:dyDescent="0.25">
      <c r="A1332">
        <v>1331</v>
      </c>
      <c r="B1332">
        <v>30</v>
      </c>
      <c r="C1332" t="s">
        <v>19</v>
      </c>
      <c r="D1332" t="s">
        <v>68</v>
      </c>
      <c r="E1332" t="s">
        <v>69</v>
      </c>
      <c r="F1332" s="1">
        <v>65</v>
      </c>
      <c r="G1332" t="s">
        <v>129</v>
      </c>
      <c r="H1332" t="s">
        <v>45</v>
      </c>
      <c r="I1332" t="s">
        <v>63</v>
      </c>
      <c r="J1332" t="s">
        <v>58</v>
      </c>
      <c r="K1332" s="2">
        <v>2.9</v>
      </c>
      <c r="L1332" t="s">
        <v>152</v>
      </c>
      <c r="M1332" t="s">
        <v>27</v>
      </c>
      <c r="N1332" t="s">
        <v>55</v>
      </c>
      <c r="O1332" t="s">
        <v>26</v>
      </c>
      <c r="P1332" t="s">
        <v>26</v>
      </c>
      <c r="Q1332" s="3">
        <v>20</v>
      </c>
      <c r="R1332" t="s">
        <v>46</v>
      </c>
      <c r="S1332" t="s">
        <v>77</v>
      </c>
    </row>
    <row r="1333" spans="1:19" x14ac:dyDescent="0.25">
      <c r="A1333">
        <v>1332</v>
      </c>
      <c r="B1333">
        <v>38</v>
      </c>
      <c r="C1333" t="s">
        <v>19</v>
      </c>
      <c r="D1333" t="s">
        <v>125</v>
      </c>
      <c r="E1333" t="s">
        <v>21</v>
      </c>
      <c r="F1333" s="1">
        <v>91</v>
      </c>
      <c r="G1333" t="s">
        <v>128</v>
      </c>
      <c r="H1333" t="s">
        <v>45</v>
      </c>
      <c r="I1333" t="s">
        <v>93</v>
      </c>
      <c r="J1333" t="s">
        <v>39</v>
      </c>
      <c r="K1333" s="2">
        <v>3.2</v>
      </c>
      <c r="L1333" t="s">
        <v>152</v>
      </c>
      <c r="M1333" t="s">
        <v>27</v>
      </c>
      <c r="N1333" t="s">
        <v>55</v>
      </c>
      <c r="O1333" t="s">
        <v>26</v>
      </c>
      <c r="P1333" t="s">
        <v>26</v>
      </c>
      <c r="Q1333" s="3">
        <v>8</v>
      </c>
      <c r="R1333" t="s">
        <v>46</v>
      </c>
      <c r="S1333" t="s">
        <v>77</v>
      </c>
    </row>
    <row r="1334" spans="1:19" x14ac:dyDescent="0.25">
      <c r="A1334">
        <v>1333</v>
      </c>
      <c r="B1334">
        <v>66</v>
      </c>
      <c r="C1334" t="s">
        <v>19</v>
      </c>
      <c r="D1334" t="s">
        <v>104</v>
      </c>
      <c r="E1334" t="s">
        <v>21</v>
      </c>
      <c r="F1334" s="1">
        <v>60</v>
      </c>
      <c r="G1334" t="s">
        <v>120</v>
      </c>
      <c r="H1334" t="s">
        <v>38</v>
      </c>
      <c r="I1334" t="s">
        <v>81</v>
      </c>
      <c r="J1334" t="s">
        <v>39</v>
      </c>
      <c r="K1334" s="2">
        <v>4.3</v>
      </c>
      <c r="L1334" t="s">
        <v>152</v>
      </c>
      <c r="M1334" t="s">
        <v>34</v>
      </c>
      <c r="N1334" t="s">
        <v>76</v>
      </c>
      <c r="O1334" t="s">
        <v>26</v>
      </c>
      <c r="P1334" t="s">
        <v>26</v>
      </c>
      <c r="Q1334" s="3">
        <v>16</v>
      </c>
      <c r="R1334" t="s">
        <v>34</v>
      </c>
      <c r="S1334" t="s">
        <v>60</v>
      </c>
    </row>
    <row r="1335" spans="1:19" x14ac:dyDescent="0.25">
      <c r="A1335">
        <v>1334</v>
      </c>
      <c r="B1335">
        <v>29</v>
      </c>
      <c r="C1335" t="s">
        <v>19</v>
      </c>
      <c r="D1335" t="s">
        <v>95</v>
      </c>
      <c r="E1335" t="s">
        <v>21</v>
      </c>
      <c r="F1335" s="1">
        <v>69</v>
      </c>
      <c r="G1335" t="s">
        <v>135</v>
      </c>
      <c r="H1335" t="s">
        <v>45</v>
      </c>
      <c r="I1335" t="s">
        <v>93</v>
      </c>
      <c r="J1335" t="s">
        <v>25</v>
      </c>
      <c r="K1335" s="2">
        <v>2.7</v>
      </c>
      <c r="L1335" t="s">
        <v>152</v>
      </c>
      <c r="M1335" t="s">
        <v>35</v>
      </c>
      <c r="N1335" t="s">
        <v>47</v>
      </c>
      <c r="O1335" t="s">
        <v>26</v>
      </c>
      <c r="P1335" t="s">
        <v>26</v>
      </c>
      <c r="Q1335" s="3">
        <v>9</v>
      </c>
      <c r="R1335" t="s">
        <v>34</v>
      </c>
      <c r="S1335" t="s">
        <v>60</v>
      </c>
    </row>
    <row r="1336" spans="1:19" x14ac:dyDescent="0.25">
      <c r="A1336">
        <v>1335</v>
      </c>
      <c r="B1336">
        <v>46</v>
      </c>
      <c r="C1336" t="s">
        <v>19</v>
      </c>
      <c r="D1336" t="s">
        <v>64</v>
      </c>
      <c r="E1336" t="s">
        <v>65</v>
      </c>
      <c r="F1336" s="1">
        <v>52</v>
      </c>
      <c r="G1336" t="s">
        <v>66</v>
      </c>
      <c r="H1336" t="s">
        <v>38</v>
      </c>
      <c r="I1336" t="s">
        <v>53</v>
      </c>
      <c r="J1336" t="s">
        <v>39</v>
      </c>
      <c r="K1336" s="2">
        <v>4.2</v>
      </c>
      <c r="L1336" t="s">
        <v>152</v>
      </c>
      <c r="M1336" t="s">
        <v>59</v>
      </c>
      <c r="N1336" t="s">
        <v>76</v>
      </c>
      <c r="O1336" t="s">
        <v>26</v>
      </c>
      <c r="P1336" t="s">
        <v>26</v>
      </c>
      <c r="Q1336" s="3">
        <v>12</v>
      </c>
      <c r="R1336" t="s">
        <v>29</v>
      </c>
      <c r="S1336" t="s">
        <v>88</v>
      </c>
    </row>
    <row r="1337" spans="1:19" x14ac:dyDescent="0.25">
      <c r="A1337">
        <v>1336</v>
      </c>
      <c r="B1337">
        <v>56</v>
      </c>
      <c r="C1337" t="s">
        <v>19</v>
      </c>
      <c r="D1337" t="s">
        <v>137</v>
      </c>
      <c r="E1337" t="s">
        <v>43</v>
      </c>
      <c r="F1337" s="1">
        <v>49</v>
      </c>
      <c r="G1337" t="s">
        <v>107</v>
      </c>
      <c r="H1337" t="s">
        <v>45</v>
      </c>
      <c r="I1337" t="s">
        <v>93</v>
      </c>
      <c r="J1337" t="s">
        <v>58</v>
      </c>
      <c r="K1337" s="2">
        <v>4.8</v>
      </c>
      <c r="L1337" t="s">
        <v>152</v>
      </c>
      <c r="M1337" t="s">
        <v>27</v>
      </c>
      <c r="N1337" t="s">
        <v>72</v>
      </c>
      <c r="O1337" t="s">
        <v>26</v>
      </c>
      <c r="P1337" t="s">
        <v>26</v>
      </c>
      <c r="Q1337" s="3">
        <v>26</v>
      </c>
      <c r="R1337" t="s">
        <v>27</v>
      </c>
      <c r="S1337" t="s">
        <v>41</v>
      </c>
    </row>
    <row r="1338" spans="1:19" x14ac:dyDescent="0.25">
      <c r="A1338">
        <v>1337</v>
      </c>
      <c r="B1338">
        <v>23</v>
      </c>
      <c r="C1338" t="s">
        <v>19</v>
      </c>
      <c r="D1338" t="s">
        <v>51</v>
      </c>
      <c r="E1338" t="s">
        <v>43</v>
      </c>
      <c r="F1338" s="1">
        <v>85</v>
      </c>
      <c r="G1338" t="s">
        <v>48</v>
      </c>
      <c r="H1338" t="s">
        <v>45</v>
      </c>
      <c r="I1338" t="s">
        <v>63</v>
      </c>
      <c r="J1338" t="s">
        <v>39</v>
      </c>
      <c r="K1338" s="2">
        <v>4.8</v>
      </c>
      <c r="L1338" t="s">
        <v>152</v>
      </c>
      <c r="M1338" t="s">
        <v>46</v>
      </c>
      <c r="N1338" t="s">
        <v>76</v>
      </c>
      <c r="O1338" t="s">
        <v>26</v>
      </c>
      <c r="P1338" t="s">
        <v>26</v>
      </c>
      <c r="Q1338" s="3">
        <v>44</v>
      </c>
      <c r="R1338" t="s">
        <v>59</v>
      </c>
      <c r="S1338" t="s">
        <v>30</v>
      </c>
    </row>
    <row r="1339" spans="1:19" x14ac:dyDescent="0.25">
      <c r="A1339">
        <v>1338</v>
      </c>
      <c r="B1339">
        <v>37</v>
      </c>
      <c r="C1339" t="s">
        <v>19</v>
      </c>
      <c r="D1339" t="s">
        <v>31</v>
      </c>
      <c r="E1339" t="s">
        <v>21</v>
      </c>
      <c r="F1339" s="1">
        <v>86</v>
      </c>
      <c r="G1339" t="s">
        <v>122</v>
      </c>
      <c r="H1339" t="s">
        <v>23</v>
      </c>
      <c r="I1339" t="s">
        <v>67</v>
      </c>
      <c r="J1339" t="s">
        <v>39</v>
      </c>
      <c r="K1339" s="2">
        <v>3.4</v>
      </c>
      <c r="L1339" t="s">
        <v>152</v>
      </c>
      <c r="M1339" t="s">
        <v>29</v>
      </c>
      <c r="N1339" t="s">
        <v>28</v>
      </c>
      <c r="O1339" t="s">
        <v>26</v>
      </c>
      <c r="P1339" t="s">
        <v>26</v>
      </c>
      <c r="Q1339" s="3">
        <v>19</v>
      </c>
      <c r="R1339" t="s">
        <v>27</v>
      </c>
      <c r="S1339" t="s">
        <v>77</v>
      </c>
    </row>
    <row r="1340" spans="1:19" x14ac:dyDescent="0.25">
      <c r="A1340">
        <v>1339</v>
      </c>
      <c r="B1340">
        <v>56</v>
      </c>
      <c r="C1340" t="s">
        <v>19</v>
      </c>
      <c r="D1340" t="s">
        <v>68</v>
      </c>
      <c r="E1340" t="s">
        <v>69</v>
      </c>
      <c r="F1340" s="1">
        <v>51</v>
      </c>
      <c r="G1340" t="s">
        <v>90</v>
      </c>
      <c r="H1340" t="s">
        <v>38</v>
      </c>
      <c r="I1340" t="s">
        <v>134</v>
      </c>
      <c r="J1340" t="s">
        <v>25</v>
      </c>
      <c r="K1340" s="2">
        <v>2.6</v>
      </c>
      <c r="L1340" t="s">
        <v>152</v>
      </c>
      <c r="M1340" t="s">
        <v>34</v>
      </c>
      <c r="N1340" t="s">
        <v>55</v>
      </c>
      <c r="O1340" t="s">
        <v>26</v>
      </c>
      <c r="P1340" t="s">
        <v>26</v>
      </c>
      <c r="Q1340" s="3">
        <v>43</v>
      </c>
      <c r="R1340" t="s">
        <v>46</v>
      </c>
      <c r="S1340" t="s">
        <v>30</v>
      </c>
    </row>
    <row r="1341" spans="1:19" x14ac:dyDescent="0.25">
      <c r="A1341">
        <v>1340</v>
      </c>
      <c r="B1341">
        <v>36</v>
      </c>
      <c r="C1341" t="s">
        <v>19</v>
      </c>
      <c r="D1341" t="s">
        <v>133</v>
      </c>
      <c r="E1341" t="s">
        <v>69</v>
      </c>
      <c r="F1341" s="1">
        <v>56</v>
      </c>
      <c r="G1341" t="s">
        <v>116</v>
      </c>
      <c r="H1341" t="s">
        <v>23</v>
      </c>
      <c r="I1341" t="s">
        <v>79</v>
      </c>
      <c r="J1341" t="s">
        <v>25</v>
      </c>
      <c r="K1341" s="2">
        <v>5</v>
      </c>
      <c r="L1341" t="s">
        <v>152</v>
      </c>
      <c r="M1341" t="s">
        <v>46</v>
      </c>
      <c r="N1341" t="s">
        <v>47</v>
      </c>
      <c r="O1341" t="s">
        <v>26</v>
      </c>
      <c r="P1341" t="s">
        <v>26</v>
      </c>
      <c r="Q1341" s="3">
        <v>5</v>
      </c>
      <c r="R1341" t="s">
        <v>34</v>
      </c>
      <c r="S1341" t="s">
        <v>97</v>
      </c>
    </row>
    <row r="1342" spans="1:19" x14ac:dyDescent="0.25">
      <c r="A1342">
        <v>1341</v>
      </c>
      <c r="B1342">
        <v>40</v>
      </c>
      <c r="C1342" t="s">
        <v>19</v>
      </c>
      <c r="D1342" t="s">
        <v>133</v>
      </c>
      <c r="E1342" t="s">
        <v>69</v>
      </c>
      <c r="F1342" s="1">
        <v>72</v>
      </c>
      <c r="G1342" t="s">
        <v>135</v>
      </c>
      <c r="H1342" t="s">
        <v>45</v>
      </c>
      <c r="I1342" t="s">
        <v>100</v>
      </c>
      <c r="J1342" t="s">
        <v>58</v>
      </c>
      <c r="K1342" s="2">
        <v>4.4000000000000004</v>
      </c>
      <c r="L1342" t="s">
        <v>152</v>
      </c>
      <c r="M1342" t="s">
        <v>27</v>
      </c>
      <c r="N1342" t="s">
        <v>47</v>
      </c>
      <c r="O1342" t="s">
        <v>26</v>
      </c>
      <c r="P1342" t="s">
        <v>26</v>
      </c>
      <c r="Q1342" s="3">
        <v>5</v>
      </c>
      <c r="R1342" t="s">
        <v>59</v>
      </c>
      <c r="S1342" t="s">
        <v>97</v>
      </c>
    </row>
    <row r="1343" spans="1:19" x14ac:dyDescent="0.25">
      <c r="A1343">
        <v>1342</v>
      </c>
      <c r="B1343">
        <v>26</v>
      </c>
      <c r="C1343" t="s">
        <v>19</v>
      </c>
      <c r="D1343" t="s">
        <v>104</v>
      </c>
      <c r="E1343" t="s">
        <v>21</v>
      </c>
      <c r="F1343" s="1">
        <v>27</v>
      </c>
      <c r="G1343" t="s">
        <v>44</v>
      </c>
      <c r="H1343" t="s">
        <v>92</v>
      </c>
      <c r="I1343" t="s">
        <v>134</v>
      </c>
      <c r="J1343" t="s">
        <v>58</v>
      </c>
      <c r="K1343" s="2">
        <v>2.9</v>
      </c>
      <c r="L1343" t="s">
        <v>152</v>
      </c>
      <c r="M1343" t="s">
        <v>59</v>
      </c>
      <c r="N1343" t="s">
        <v>55</v>
      </c>
      <c r="O1343" t="s">
        <v>26</v>
      </c>
      <c r="P1343" t="s">
        <v>26</v>
      </c>
      <c r="Q1343" s="3">
        <v>31</v>
      </c>
      <c r="R1343" t="s">
        <v>34</v>
      </c>
      <c r="S1343" t="s">
        <v>60</v>
      </c>
    </row>
    <row r="1344" spans="1:19" x14ac:dyDescent="0.25">
      <c r="A1344">
        <v>1343</v>
      </c>
      <c r="B1344">
        <v>57</v>
      </c>
      <c r="C1344" t="s">
        <v>19</v>
      </c>
      <c r="D1344" t="s">
        <v>89</v>
      </c>
      <c r="E1344" t="s">
        <v>69</v>
      </c>
      <c r="F1344" s="1">
        <v>43</v>
      </c>
      <c r="G1344" t="s">
        <v>117</v>
      </c>
      <c r="H1344" t="s">
        <v>92</v>
      </c>
      <c r="I1344" t="s">
        <v>134</v>
      </c>
      <c r="J1344" t="s">
        <v>54</v>
      </c>
      <c r="K1344" s="2">
        <v>3.4</v>
      </c>
      <c r="L1344" t="s">
        <v>152</v>
      </c>
      <c r="M1344" t="s">
        <v>35</v>
      </c>
      <c r="N1344" t="s">
        <v>72</v>
      </c>
      <c r="O1344" t="s">
        <v>26</v>
      </c>
      <c r="P1344" t="s">
        <v>26</v>
      </c>
      <c r="Q1344" s="3">
        <v>11</v>
      </c>
      <c r="R1344" t="s">
        <v>34</v>
      </c>
      <c r="S1344" t="s">
        <v>88</v>
      </c>
    </row>
    <row r="1345" spans="1:19" x14ac:dyDescent="0.25">
      <c r="A1345">
        <v>1344</v>
      </c>
      <c r="B1345">
        <v>68</v>
      </c>
      <c r="C1345" t="s">
        <v>19</v>
      </c>
      <c r="D1345" t="s">
        <v>51</v>
      </c>
      <c r="E1345" t="s">
        <v>43</v>
      </c>
      <c r="F1345" s="1">
        <v>56</v>
      </c>
      <c r="G1345" t="s">
        <v>103</v>
      </c>
      <c r="H1345" t="s">
        <v>45</v>
      </c>
      <c r="I1345" t="s">
        <v>126</v>
      </c>
      <c r="J1345" t="s">
        <v>39</v>
      </c>
      <c r="K1345" s="2">
        <v>3.4</v>
      </c>
      <c r="L1345" t="s">
        <v>152</v>
      </c>
      <c r="M1345" t="s">
        <v>29</v>
      </c>
      <c r="N1345" t="s">
        <v>55</v>
      </c>
      <c r="O1345" t="s">
        <v>26</v>
      </c>
      <c r="P1345" t="s">
        <v>26</v>
      </c>
      <c r="Q1345" s="3">
        <v>34</v>
      </c>
      <c r="R1345" t="s">
        <v>34</v>
      </c>
      <c r="S1345" t="s">
        <v>88</v>
      </c>
    </row>
    <row r="1346" spans="1:19" x14ac:dyDescent="0.25">
      <c r="A1346">
        <v>1345</v>
      </c>
      <c r="B1346">
        <v>56</v>
      </c>
      <c r="C1346" t="s">
        <v>19</v>
      </c>
      <c r="D1346" t="s">
        <v>113</v>
      </c>
      <c r="E1346" t="s">
        <v>21</v>
      </c>
      <c r="F1346" s="1">
        <v>37</v>
      </c>
      <c r="G1346" t="s">
        <v>85</v>
      </c>
      <c r="H1346" t="s">
        <v>38</v>
      </c>
      <c r="I1346" t="s">
        <v>84</v>
      </c>
      <c r="J1346" t="s">
        <v>58</v>
      </c>
      <c r="K1346" s="2">
        <v>4.9000000000000004</v>
      </c>
      <c r="L1346" t="s">
        <v>152</v>
      </c>
      <c r="M1346" t="s">
        <v>27</v>
      </c>
      <c r="N1346" t="s">
        <v>47</v>
      </c>
      <c r="O1346" t="s">
        <v>26</v>
      </c>
      <c r="P1346" t="s">
        <v>26</v>
      </c>
      <c r="Q1346" s="3">
        <v>14</v>
      </c>
      <c r="R1346" t="s">
        <v>35</v>
      </c>
      <c r="S1346" t="s">
        <v>50</v>
      </c>
    </row>
    <row r="1347" spans="1:19" x14ac:dyDescent="0.25">
      <c r="A1347">
        <v>1346</v>
      </c>
      <c r="B1347">
        <v>40</v>
      </c>
      <c r="C1347" t="s">
        <v>19</v>
      </c>
      <c r="D1347" t="s">
        <v>82</v>
      </c>
      <c r="E1347" t="s">
        <v>21</v>
      </c>
      <c r="F1347" s="1">
        <v>21</v>
      </c>
      <c r="G1347" t="s">
        <v>145</v>
      </c>
      <c r="H1347" t="s">
        <v>45</v>
      </c>
      <c r="I1347" t="s">
        <v>53</v>
      </c>
      <c r="J1347" t="s">
        <v>58</v>
      </c>
      <c r="K1347" s="2">
        <v>3.6</v>
      </c>
      <c r="L1347" t="s">
        <v>152</v>
      </c>
      <c r="M1347" t="s">
        <v>27</v>
      </c>
      <c r="N1347" t="s">
        <v>55</v>
      </c>
      <c r="O1347" t="s">
        <v>26</v>
      </c>
      <c r="P1347" t="s">
        <v>26</v>
      </c>
      <c r="Q1347" s="3">
        <v>42</v>
      </c>
      <c r="R1347" t="s">
        <v>29</v>
      </c>
      <c r="S1347" t="s">
        <v>41</v>
      </c>
    </row>
    <row r="1348" spans="1:19" x14ac:dyDescent="0.25">
      <c r="A1348">
        <v>1347</v>
      </c>
      <c r="B1348">
        <v>44</v>
      </c>
      <c r="C1348" t="s">
        <v>19</v>
      </c>
      <c r="D1348" t="s">
        <v>104</v>
      </c>
      <c r="E1348" t="s">
        <v>21</v>
      </c>
      <c r="F1348" s="1">
        <v>91</v>
      </c>
      <c r="G1348" t="s">
        <v>91</v>
      </c>
      <c r="H1348" t="s">
        <v>23</v>
      </c>
      <c r="I1348" t="s">
        <v>53</v>
      </c>
      <c r="J1348" t="s">
        <v>25</v>
      </c>
      <c r="K1348" s="2">
        <v>3</v>
      </c>
      <c r="L1348" t="s">
        <v>152</v>
      </c>
      <c r="M1348" t="s">
        <v>27</v>
      </c>
      <c r="N1348" t="s">
        <v>40</v>
      </c>
      <c r="O1348" t="s">
        <v>26</v>
      </c>
      <c r="P1348" t="s">
        <v>26</v>
      </c>
      <c r="Q1348" s="3">
        <v>15</v>
      </c>
      <c r="R1348" t="s">
        <v>29</v>
      </c>
      <c r="S1348" t="s">
        <v>77</v>
      </c>
    </row>
    <row r="1349" spans="1:19" x14ac:dyDescent="0.25">
      <c r="A1349">
        <v>1348</v>
      </c>
      <c r="B1349">
        <v>44</v>
      </c>
      <c r="C1349" t="s">
        <v>19</v>
      </c>
      <c r="D1349" t="s">
        <v>31</v>
      </c>
      <c r="E1349" t="s">
        <v>21</v>
      </c>
      <c r="F1349" s="1">
        <v>95</v>
      </c>
      <c r="G1349" t="s">
        <v>129</v>
      </c>
      <c r="H1349" t="s">
        <v>45</v>
      </c>
      <c r="I1349" t="s">
        <v>109</v>
      </c>
      <c r="J1349" t="s">
        <v>54</v>
      </c>
      <c r="K1349" s="2">
        <v>3.9</v>
      </c>
      <c r="L1349" t="s">
        <v>152</v>
      </c>
      <c r="M1349" t="s">
        <v>29</v>
      </c>
      <c r="N1349" t="s">
        <v>72</v>
      </c>
      <c r="O1349" t="s">
        <v>26</v>
      </c>
      <c r="P1349" t="s">
        <v>26</v>
      </c>
      <c r="Q1349" s="3">
        <v>47</v>
      </c>
      <c r="R1349" t="s">
        <v>34</v>
      </c>
      <c r="S1349" t="s">
        <v>88</v>
      </c>
    </row>
    <row r="1350" spans="1:19" x14ac:dyDescent="0.25">
      <c r="A1350">
        <v>1349</v>
      </c>
      <c r="B1350">
        <v>19</v>
      </c>
      <c r="C1350" t="s">
        <v>19</v>
      </c>
      <c r="D1350" t="s">
        <v>133</v>
      </c>
      <c r="E1350" t="s">
        <v>69</v>
      </c>
      <c r="F1350" s="1">
        <v>54</v>
      </c>
      <c r="G1350" t="s">
        <v>145</v>
      </c>
      <c r="H1350" t="s">
        <v>92</v>
      </c>
      <c r="I1350" t="s">
        <v>75</v>
      </c>
      <c r="J1350" t="s">
        <v>39</v>
      </c>
      <c r="K1350" s="2">
        <v>3.2</v>
      </c>
      <c r="L1350" t="s">
        <v>152</v>
      </c>
      <c r="M1350" t="s">
        <v>46</v>
      </c>
      <c r="N1350" t="s">
        <v>55</v>
      </c>
      <c r="O1350" t="s">
        <v>26</v>
      </c>
      <c r="P1350" t="s">
        <v>26</v>
      </c>
      <c r="Q1350" s="3">
        <v>23</v>
      </c>
      <c r="R1350" t="s">
        <v>27</v>
      </c>
      <c r="S1350" t="s">
        <v>30</v>
      </c>
    </row>
    <row r="1351" spans="1:19" x14ac:dyDescent="0.25">
      <c r="A1351">
        <v>1350</v>
      </c>
      <c r="B1351">
        <v>21</v>
      </c>
      <c r="C1351" t="s">
        <v>19</v>
      </c>
      <c r="D1351" t="s">
        <v>125</v>
      </c>
      <c r="E1351" t="s">
        <v>21</v>
      </c>
      <c r="F1351" s="1">
        <v>36</v>
      </c>
      <c r="G1351" t="s">
        <v>131</v>
      </c>
      <c r="H1351" t="s">
        <v>92</v>
      </c>
      <c r="I1351" t="s">
        <v>94</v>
      </c>
      <c r="J1351" t="s">
        <v>39</v>
      </c>
      <c r="K1351" s="2">
        <v>3.2</v>
      </c>
      <c r="L1351" t="s">
        <v>152</v>
      </c>
      <c r="M1351" t="s">
        <v>34</v>
      </c>
      <c r="N1351" t="s">
        <v>47</v>
      </c>
      <c r="O1351" t="s">
        <v>26</v>
      </c>
      <c r="P1351" t="s">
        <v>26</v>
      </c>
      <c r="Q1351" s="3">
        <v>23</v>
      </c>
      <c r="R1351" t="s">
        <v>35</v>
      </c>
      <c r="S1351" t="s">
        <v>77</v>
      </c>
    </row>
    <row r="1352" spans="1:19" x14ac:dyDescent="0.25">
      <c r="A1352">
        <v>1351</v>
      </c>
      <c r="B1352">
        <v>31</v>
      </c>
      <c r="C1352" t="s">
        <v>19</v>
      </c>
      <c r="D1352" t="s">
        <v>89</v>
      </c>
      <c r="E1352" t="s">
        <v>69</v>
      </c>
      <c r="F1352" s="1">
        <v>71</v>
      </c>
      <c r="G1352" t="s">
        <v>80</v>
      </c>
      <c r="H1352" t="s">
        <v>45</v>
      </c>
      <c r="I1352" t="s">
        <v>121</v>
      </c>
      <c r="J1352" t="s">
        <v>58</v>
      </c>
      <c r="K1352" s="2">
        <v>4.3</v>
      </c>
      <c r="L1352" t="s">
        <v>152</v>
      </c>
      <c r="M1352" t="s">
        <v>35</v>
      </c>
      <c r="N1352" t="s">
        <v>47</v>
      </c>
      <c r="O1352" t="s">
        <v>26</v>
      </c>
      <c r="P1352" t="s">
        <v>26</v>
      </c>
      <c r="Q1352" s="3">
        <v>1</v>
      </c>
      <c r="R1352" t="s">
        <v>35</v>
      </c>
      <c r="S1352" t="s">
        <v>97</v>
      </c>
    </row>
    <row r="1353" spans="1:19" x14ac:dyDescent="0.25">
      <c r="A1353">
        <v>1352</v>
      </c>
      <c r="B1353">
        <v>30</v>
      </c>
      <c r="C1353" t="s">
        <v>19</v>
      </c>
      <c r="D1353" t="s">
        <v>64</v>
      </c>
      <c r="E1353" t="s">
        <v>65</v>
      </c>
      <c r="F1353" s="1">
        <v>31</v>
      </c>
      <c r="G1353" t="s">
        <v>129</v>
      </c>
      <c r="H1353" t="s">
        <v>23</v>
      </c>
      <c r="I1353" t="s">
        <v>33</v>
      </c>
      <c r="J1353" t="s">
        <v>54</v>
      </c>
      <c r="K1353" s="2">
        <v>2.8</v>
      </c>
      <c r="L1353" t="s">
        <v>152</v>
      </c>
      <c r="M1353" t="s">
        <v>27</v>
      </c>
      <c r="N1353" t="s">
        <v>72</v>
      </c>
      <c r="O1353" t="s">
        <v>26</v>
      </c>
      <c r="P1353" t="s">
        <v>26</v>
      </c>
      <c r="Q1353" s="3">
        <v>28</v>
      </c>
      <c r="R1353" t="s">
        <v>34</v>
      </c>
      <c r="S1353" t="s">
        <v>60</v>
      </c>
    </row>
    <row r="1354" spans="1:19" x14ac:dyDescent="0.25">
      <c r="A1354">
        <v>1353</v>
      </c>
      <c r="B1354">
        <v>65</v>
      </c>
      <c r="C1354" t="s">
        <v>19</v>
      </c>
      <c r="D1354" t="s">
        <v>124</v>
      </c>
      <c r="E1354" t="s">
        <v>69</v>
      </c>
      <c r="F1354" s="1">
        <v>89</v>
      </c>
      <c r="G1354" t="s">
        <v>116</v>
      </c>
      <c r="H1354" t="s">
        <v>92</v>
      </c>
      <c r="I1354" t="s">
        <v>121</v>
      </c>
      <c r="J1354" t="s">
        <v>39</v>
      </c>
      <c r="K1354" s="2">
        <v>4.5</v>
      </c>
      <c r="L1354" t="s">
        <v>152</v>
      </c>
      <c r="M1354" t="s">
        <v>34</v>
      </c>
      <c r="N1354" t="s">
        <v>47</v>
      </c>
      <c r="O1354" t="s">
        <v>26</v>
      </c>
      <c r="P1354" t="s">
        <v>26</v>
      </c>
      <c r="Q1354" s="3">
        <v>37</v>
      </c>
      <c r="R1354" t="s">
        <v>27</v>
      </c>
      <c r="S1354" t="s">
        <v>77</v>
      </c>
    </row>
    <row r="1355" spans="1:19" x14ac:dyDescent="0.25">
      <c r="A1355">
        <v>1354</v>
      </c>
      <c r="B1355">
        <v>39</v>
      </c>
      <c r="C1355" t="s">
        <v>19</v>
      </c>
      <c r="D1355" t="s">
        <v>95</v>
      </c>
      <c r="E1355" t="s">
        <v>21</v>
      </c>
      <c r="F1355" s="1">
        <v>83</v>
      </c>
      <c r="G1355" t="s">
        <v>48</v>
      </c>
      <c r="H1355" t="s">
        <v>45</v>
      </c>
      <c r="I1355" t="s">
        <v>86</v>
      </c>
      <c r="J1355" t="s">
        <v>25</v>
      </c>
      <c r="K1355" s="2">
        <v>4.0999999999999996</v>
      </c>
      <c r="L1355" t="s">
        <v>152</v>
      </c>
      <c r="M1355" t="s">
        <v>34</v>
      </c>
      <c r="N1355" t="s">
        <v>47</v>
      </c>
      <c r="O1355" t="s">
        <v>26</v>
      </c>
      <c r="P1355" t="s">
        <v>26</v>
      </c>
      <c r="Q1355" s="3">
        <v>4</v>
      </c>
      <c r="R1355" t="s">
        <v>35</v>
      </c>
      <c r="S1355" t="s">
        <v>97</v>
      </c>
    </row>
    <row r="1356" spans="1:19" x14ac:dyDescent="0.25">
      <c r="A1356">
        <v>1355</v>
      </c>
      <c r="B1356">
        <v>64</v>
      </c>
      <c r="C1356" t="s">
        <v>19</v>
      </c>
      <c r="D1356" t="s">
        <v>132</v>
      </c>
      <c r="E1356" t="s">
        <v>69</v>
      </c>
      <c r="F1356" s="1">
        <v>42</v>
      </c>
      <c r="G1356" t="s">
        <v>128</v>
      </c>
      <c r="H1356" t="s">
        <v>45</v>
      </c>
      <c r="I1356" t="s">
        <v>24</v>
      </c>
      <c r="J1356" t="s">
        <v>39</v>
      </c>
      <c r="K1356" s="2">
        <v>3.6</v>
      </c>
      <c r="L1356" t="s">
        <v>152</v>
      </c>
      <c r="M1356" t="s">
        <v>59</v>
      </c>
      <c r="N1356" t="s">
        <v>72</v>
      </c>
      <c r="O1356" t="s">
        <v>26</v>
      </c>
      <c r="P1356" t="s">
        <v>26</v>
      </c>
      <c r="Q1356" s="3">
        <v>21</v>
      </c>
      <c r="R1356" t="s">
        <v>34</v>
      </c>
      <c r="S1356" t="s">
        <v>60</v>
      </c>
    </row>
    <row r="1357" spans="1:19" x14ac:dyDescent="0.25">
      <c r="A1357">
        <v>1356</v>
      </c>
      <c r="B1357">
        <v>59</v>
      </c>
      <c r="C1357" t="s">
        <v>19</v>
      </c>
      <c r="D1357" t="s">
        <v>61</v>
      </c>
      <c r="E1357" t="s">
        <v>21</v>
      </c>
      <c r="F1357" s="1">
        <v>91</v>
      </c>
      <c r="G1357" t="s">
        <v>103</v>
      </c>
      <c r="H1357" t="s">
        <v>45</v>
      </c>
      <c r="I1357" t="s">
        <v>144</v>
      </c>
      <c r="J1357" t="s">
        <v>54</v>
      </c>
      <c r="K1357" s="2">
        <v>3</v>
      </c>
      <c r="L1357" t="s">
        <v>152</v>
      </c>
      <c r="M1357" t="s">
        <v>29</v>
      </c>
      <c r="N1357" t="s">
        <v>72</v>
      </c>
      <c r="O1357" t="s">
        <v>26</v>
      </c>
      <c r="P1357" t="s">
        <v>26</v>
      </c>
      <c r="Q1357" s="3">
        <v>50</v>
      </c>
      <c r="R1357" t="s">
        <v>46</v>
      </c>
      <c r="S1357" t="s">
        <v>77</v>
      </c>
    </row>
    <row r="1358" spans="1:19" x14ac:dyDescent="0.25">
      <c r="A1358">
        <v>1357</v>
      </c>
      <c r="B1358">
        <v>49</v>
      </c>
      <c r="C1358" t="s">
        <v>19</v>
      </c>
      <c r="D1358" t="s">
        <v>102</v>
      </c>
      <c r="E1358" t="s">
        <v>65</v>
      </c>
      <c r="F1358" s="1">
        <v>61</v>
      </c>
      <c r="G1358" t="s">
        <v>116</v>
      </c>
      <c r="H1358" t="s">
        <v>45</v>
      </c>
      <c r="I1358" t="s">
        <v>109</v>
      </c>
      <c r="J1358" t="s">
        <v>39</v>
      </c>
      <c r="K1358" s="2">
        <v>4</v>
      </c>
      <c r="L1358" t="s">
        <v>152</v>
      </c>
      <c r="M1358" t="s">
        <v>59</v>
      </c>
      <c r="N1358" t="s">
        <v>40</v>
      </c>
      <c r="O1358" t="s">
        <v>26</v>
      </c>
      <c r="P1358" t="s">
        <v>26</v>
      </c>
      <c r="Q1358" s="3">
        <v>34</v>
      </c>
      <c r="R1358" t="s">
        <v>34</v>
      </c>
      <c r="S1358" t="s">
        <v>50</v>
      </c>
    </row>
    <row r="1359" spans="1:19" x14ac:dyDescent="0.25">
      <c r="A1359">
        <v>1358</v>
      </c>
      <c r="B1359">
        <v>24</v>
      </c>
      <c r="C1359" t="s">
        <v>19</v>
      </c>
      <c r="D1359" t="s">
        <v>132</v>
      </c>
      <c r="E1359" t="s">
        <v>69</v>
      </c>
      <c r="F1359" s="1">
        <v>66</v>
      </c>
      <c r="G1359" t="s">
        <v>105</v>
      </c>
      <c r="H1359" t="s">
        <v>38</v>
      </c>
      <c r="I1359" t="s">
        <v>108</v>
      </c>
      <c r="J1359" t="s">
        <v>54</v>
      </c>
      <c r="K1359" s="2">
        <v>3.5</v>
      </c>
      <c r="L1359" t="s">
        <v>152</v>
      </c>
      <c r="M1359" t="s">
        <v>29</v>
      </c>
      <c r="N1359" t="s">
        <v>47</v>
      </c>
      <c r="O1359" t="s">
        <v>26</v>
      </c>
      <c r="P1359" t="s">
        <v>26</v>
      </c>
      <c r="Q1359" s="3">
        <v>20</v>
      </c>
      <c r="R1359" t="s">
        <v>35</v>
      </c>
      <c r="S1359" t="s">
        <v>60</v>
      </c>
    </row>
    <row r="1360" spans="1:19" x14ac:dyDescent="0.25">
      <c r="A1360">
        <v>1359</v>
      </c>
      <c r="B1360">
        <v>19</v>
      </c>
      <c r="C1360" t="s">
        <v>19</v>
      </c>
      <c r="D1360" t="s">
        <v>119</v>
      </c>
      <c r="E1360" t="s">
        <v>69</v>
      </c>
      <c r="F1360" s="1">
        <v>22</v>
      </c>
      <c r="G1360" t="s">
        <v>145</v>
      </c>
      <c r="H1360" t="s">
        <v>92</v>
      </c>
      <c r="I1360" t="s">
        <v>71</v>
      </c>
      <c r="J1360" t="s">
        <v>39</v>
      </c>
      <c r="K1360" s="2">
        <v>2.5</v>
      </c>
      <c r="L1360" t="s">
        <v>152</v>
      </c>
      <c r="M1360" t="s">
        <v>59</v>
      </c>
      <c r="N1360" t="s">
        <v>76</v>
      </c>
      <c r="O1360" t="s">
        <v>26</v>
      </c>
      <c r="P1360" t="s">
        <v>26</v>
      </c>
      <c r="Q1360" s="3">
        <v>25</v>
      </c>
      <c r="R1360" t="s">
        <v>29</v>
      </c>
      <c r="S1360" t="s">
        <v>97</v>
      </c>
    </row>
    <row r="1361" spans="1:19" x14ac:dyDescent="0.25">
      <c r="A1361">
        <v>1360</v>
      </c>
      <c r="B1361">
        <v>27</v>
      </c>
      <c r="C1361" t="s">
        <v>19</v>
      </c>
      <c r="D1361" t="s">
        <v>104</v>
      </c>
      <c r="E1361" t="s">
        <v>21</v>
      </c>
      <c r="F1361" s="1">
        <v>68</v>
      </c>
      <c r="G1361" t="s">
        <v>98</v>
      </c>
      <c r="H1361" t="s">
        <v>38</v>
      </c>
      <c r="I1361" t="s">
        <v>109</v>
      </c>
      <c r="J1361" t="s">
        <v>25</v>
      </c>
      <c r="K1361" s="2">
        <v>4.3</v>
      </c>
      <c r="L1361" t="s">
        <v>152</v>
      </c>
      <c r="M1361" t="s">
        <v>59</v>
      </c>
      <c r="N1361" t="s">
        <v>76</v>
      </c>
      <c r="O1361" t="s">
        <v>26</v>
      </c>
      <c r="P1361" t="s">
        <v>26</v>
      </c>
      <c r="Q1361" s="3">
        <v>26</v>
      </c>
      <c r="R1361" t="s">
        <v>34</v>
      </c>
      <c r="S1361" t="s">
        <v>30</v>
      </c>
    </row>
    <row r="1362" spans="1:19" x14ac:dyDescent="0.25">
      <c r="A1362">
        <v>1361</v>
      </c>
      <c r="B1362">
        <v>56</v>
      </c>
      <c r="C1362" t="s">
        <v>19</v>
      </c>
      <c r="D1362" t="s">
        <v>87</v>
      </c>
      <c r="E1362" t="s">
        <v>21</v>
      </c>
      <c r="F1362" s="1">
        <v>43</v>
      </c>
      <c r="G1362" t="s">
        <v>90</v>
      </c>
      <c r="H1362" t="s">
        <v>23</v>
      </c>
      <c r="I1362" t="s">
        <v>94</v>
      </c>
      <c r="J1362" t="s">
        <v>58</v>
      </c>
      <c r="K1362" s="2">
        <v>2.8</v>
      </c>
      <c r="L1362" t="s">
        <v>152</v>
      </c>
      <c r="M1362" t="s">
        <v>34</v>
      </c>
      <c r="N1362" t="s">
        <v>28</v>
      </c>
      <c r="O1362" t="s">
        <v>26</v>
      </c>
      <c r="P1362" t="s">
        <v>26</v>
      </c>
      <c r="Q1362" s="3">
        <v>4</v>
      </c>
      <c r="R1362" t="s">
        <v>34</v>
      </c>
      <c r="S1362" t="s">
        <v>50</v>
      </c>
    </row>
    <row r="1363" spans="1:19" x14ac:dyDescent="0.25">
      <c r="A1363">
        <v>1362</v>
      </c>
      <c r="B1363">
        <v>49</v>
      </c>
      <c r="C1363" t="s">
        <v>19</v>
      </c>
      <c r="D1363" t="s">
        <v>82</v>
      </c>
      <c r="E1363" t="s">
        <v>21</v>
      </c>
      <c r="F1363" s="1">
        <v>32</v>
      </c>
      <c r="G1363" t="s">
        <v>90</v>
      </c>
      <c r="H1363" t="s">
        <v>45</v>
      </c>
      <c r="I1363" t="s">
        <v>118</v>
      </c>
      <c r="J1363" t="s">
        <v>58</v>
      </c>
      <c r="K1363" s="2">
        <v>3.7</v>
      </c>
      <c r="L1363" t="s">
        <v>152</v>
      </c>
      <c r="M1363" t="s">
        <v>35</v>
      </c>
      <c r="N1363" t="s">
        <v>47</v>
      </c>
      <c r="O1363" t="s">
        <v>26</v>
      </c>
      <c r="P1363" t="s">
        <v>26</v>
      </c>
      <c r="Q1363" s="3">
        <v>39</v>
      </c>
      <c r="R1363" t="s">
        <v>59</v>
      </c>
      <c r="S1363" t="s">
        <v>88</v>
      </c>
    </row>
    <row r="1364" spans="1:19" x14ac:dyDescent="0.25">
      <c r="A1364">
        <v>1363</v>
      </c>
      <c r="B1364">
        <v>41</v>
      </c>
      <c r="C1364" t="s">
        <v>19</v>
      </c>
      <c r="D1364" t="s">
        <v>64</v>
      </c>
      <c r="E1364" t="s">
        <v>65</v>
      </c>
      <c r="F1364" s="1">
        <v>46</v>
      </c>
      <c r="G1364" t="s">
        <v>112</v>
      </c>
      <c r="H1364" t="s">
        <v>45</v>
      </c>
      <c r="I1364" t="s">
        <v>24</v>
      </c>
      <c r="J1364" t="s">
        <v>58</v>
      </c>
      <c r="K1364" s="2">
        <v>4.3</v>
      </c>
      <c r="L1364" t="s">
        <v>152</v>
      </c>
      <c r="M1364" t="s">
        <v>35</v>
      </c>
      <c r="N1364" t="s">
        <v>28</v>
      </c>
      <c r="O1364" t="s">
        <v>26</v>
      </c>
      <c r="P1364" t="s">
        <v>26</v>
      </c>
      <c r="Q1364" s="3">
        <v>29</v>
      </c>
      <c r="R1364" t="s">
        <v>35</v>
      </c>
      <c r="S1364" t="s">
        <v>41</v>
      </c>
    </row>
    <row r="1365" spans="1:19" x14ac:dyDescent="0.25">
      <c r="A1365">
        <v>1364</v>
      </c>
      <c r="B1365">
        <v>36</v>
      </c>
      <c r="C1365" t="s">
        <v>19</v>
      </c>
      <c r="D1365" t="s">
        <v>20</v>
      </c>
      <c r="E1365" t="s">
        <v>21</v>
      </c>
      <c r="F1365" s="1">
        <v>90</v>
      </c>
      <c r="G1365" t="s">
        <v>150</v>
      </c>
      <c r="H1365" t="s">
        <v>23</v>
      </c>
      <c r="I1365" t="s">
        <v>108</v>
      </c>
      <c r="J1365" t="s">
        <v>54</v>
      </c>
      <c r="K1365" s="2">
        <v>4</v>
      </c>
      <c r="L1365" t="s">
        <v>152</v>
      </c>
      <c r="M1365" t="s">
        <v>34</v>
      </c>
      <c r="N1365" t="s">
        <v>28</v>
      </c>
      <c r="O1365" t="s">
        <v>26</v>
      </c>
      <c r="P1365" t="s">
        <v>26</v>
      </c>
      <c r="Q1365" s="3">
        <v>47</v>
      </c>
      <c r="R1365" t="s">
        <v>46</v>
      </c>
      <c r="S1365" t="s">
        <v>60</v>
      </c>
    </row>
    <row r="1366" spans="1:19" x14ac:dyDescent="0.25">
      <c r="A1366">
        <v>1365</v>
      </c>
      <c r="B1366">
        <v>68</v>
      </c>
      <c r="C1366" t="s">
        <v>19</v>
      </c>
      <c r="D1366" t="s">
        <v>124</v>
      </c>
      <c r="E1366" t="s">
        <v>69</v>
      </c>
      <c r="F1366" s="1">
        <v>75</v>
      </c>
      <c r="G1366" t="s">
        <v>80</v>
      </c>
      <c r="H1366" t="s">
        <v>23</v>
      </c>
      <c r="I1366" t="s">
        <v>134</v>
      </c>
      <c r="J1366" t="s">
        <v>58</v>
      </c>
      <c r="K1366" s="2">
        <v>4.7</v>
      </c>
      <c r="L1366" t="s">
        <v>152</v>
      </c>
      <c r="M1366" t="s">
        <v>35</v>
      </c>
      <c r="N1366" t="s">
        <v>28</v>
      </c>
      <c r="O1366" t="s">
        <v>26</v>
      </c>
      <c r="P1366" t="s">
        <v>26</v>
      </c>
      <c r="Q1366" s="3">
        <v>5</v>
      </c>
      <c r="R1366" t="s">
        <v>35</v>
      </c>
      <c r="S1366" t="s">
        <v>97</v>
      </c>
    </row>
    <row r="1367" spans="1:19" x14ac:dyDescent="0.25">
      <c r="A1367">
        <v>1366</v>
      </c>
      <c r="B1367">
        <v>28</v>
      </c>
      <c r="C1367" t="s">
        <v>19</v>
      </c>
      <c r="D1367" t="s">
        <v>68</v>
      </c>
      <c r="E1367" t="s">
        <v>69</v>
      </c>
      <c r="F1367" s="1">
        <v>69</v>
      </c>
      <c r="G1367" t="s">
        <v>116</v>
      </c>
      <c r="H1367" t="s">
        <v>45</v>
      </c>
      <c r="I1367" t="s">
        <v>136</v>
      </c>
      <c r="J1367" t="s">
        <v>25</v>
      </c>
      <c r="K1367" s="2">
        <v>4.5</v>
      </c>
      <c r="L1367" t="s">
        <v>152</v>
      </c>
      <c r="M1367" t="s">
        <v>46</v>
      </c>
      <c r="N1367" t="s">
        <v>76</v>
      </c>
      <c r="O1367" t="s">
        <v>26</v>
      </c>
      <c r="P1367" t="s">
        <v>26</v>
      </c>
      <c r="Q1367" s="3">
        <v>18</v>
      </c>
      <c r="R1367" t="s">
        <v>34</v>
      </c>
      <c r="S1367" t="s">
        <v>30</v>
      </c>
    </row>
    <row r="1368" spans="1:19" x14ac:dyDescent="0.25">
      <c r="A1368">
        <v>1367</v>
      </c>
      <c r="B1368">
        <v>45</v>
      </c>
      <c r="C1368" t="s">
        <v>19</v>
      </c>
      <c r="D1368" t="s">
        <v>133</v>
      </c>
      <c r="E1368" t="s">
        <v>69</v>
      </c>
      <c r="F1368" s="1">
        <v>40</v>
      </c>
      <c r="G1368" t="s">
        <v>146</v>
      </c>
      <c r="H1368" t="s">
        <v>45</v>
      </c>
      <c r="I1368" t="s">
        <v>136</v>
      </c>
      <c r="J1368" t="s">
        <v>58</v>
      </c>
      <c r="K1368" s="2">
        <v>3.1</v>
      </c>
      <c r="L1368" t="s">
        <v>152</v>
      </c>
      <c r="M1368" t="s">
        <v>59</v>
      </c>
      <c r="N1368" t="s">
        <v>40</v>
      </c>
      <c r="O1368" t="s">
        <v>26</v>
      </c>
      <c r="P1368" t="s">
        <v>26</v>
      </c>
      <c r="Q1368" s="3">
        <v>10</v>
      </c>
      <c r="R1368" t="s">
        <v>27</v>
      </c>
      <c r="S1368" t="s">
        <v>30</v>
      </c>
    </row>
    <row r="1369" spans="1:19" x14ac:dyDescent="0.25">
      <c r="A1369">
        <v>1368</v>
      </c>
      <c r="B1369">
        <v>60</v>
      </c>
      <c r="C1369" t="s">
        <v>19</v>
      </c>
      <c r="D1369" t="s">
        <v>133</v>
      </c>
      <c r="E1369" t="s">
        <v>69</v>
      </c>
      <c r="F1369" s="1">
        <v>63</v>
      </c>
      <c r="G1369" t="s">
        <v>146</v>
      </c>
      <c r="H1369" t="s">
        <v>38</v>
      </c>
      <c r="I1369" t="s">
        <v>94</v>
      </c>
      <c r="J1369" t="s">
        <v>58</v>
      </c>
      <c r="K1369" s="2">
        <v>3.8</v>
      </c>
      <c r="L1369" t="s">
        <v>152</v>
      </c>
      <c r="M1369" t="s">
        <v>29</v>
      </c>
      <c r="N1369" t="s">
        <v>28</v>
      </c>
      <c r="O1369" t="s">
        <v>26</v>
      </c>
      <c r="P1369" t="s">
        <v>26</v>
      </c>
      <c r="Q1369" s="3">
        <v>25</v>
      </c>
      <c r="R1369" t="s">
        <v>35</v>
      </c>
      <c r="S1369" t="s">
        <v>60</v>
      </c>
    </row>
    <row r="1370" spans="1:19" x14ac:dyDescent="0.25">
      <c r="A1370">
        <v>1369</v>
      </c>
      <c r="B1370">
        <v>21</v>
      </c>
      <c r="C1370" t="s">
        <v>19</v>
      </c>
      <c r="D1370" t="s">
        <v>56</v>
      </c>
      <c r="E1370" t="s">
        <v>21</v>
      </c>
      <c r="F1370" s="1">
        <v>36</v>
      </c>
      <c r="G1370" t="s">
        <v>150</v>
      </c>
      <c r="H1370" t="s">
        <v>23</v>
      </c>
      <c r="I1370" t="s">
        <v>121</v>
      </c>
      <c r="J1370" t="s">
        <v>54</v>
      </c>
      <c r="K1370" s="2">
        <v>4.9000000000000004</v>
      </c>
      <c r="L1370" t="s">
        <v>152</v>
      </c>
      <c r="M1370" t="s">
        <v>29</v>
      </c>
      <c r="N1370" t="s">
        <v>28</v>
      </c>
      <c r="O1370" t="s">
        <v>26</v>
      </c>
      <c r="P1370" t="s">
        <v>26</v>
      </c>
      <c r="Q1370" s="3">
        <v>2</v>
      </c>
      <c r="R1370" t="s">
        <v>35</v>
      </c>
      <c r="S1370" t="s">
        <v>41</v>
      </c>
    </row>
    <row r="1371" spans="1:19" x14ac:dyDescent="0.25">
      <c r="A1371">
        <v>1370</v>
      </c>
      <c r="B1371">
        <v>32</v>
      </c>
      <c r="C1371" t="s">
        <v>19</v>
      </c>
      <c r="D1371" t="s">
        <v>73</v>
      </c>
      <c r="E1371" t="s">
        <v>43</v>
      </c>
      <c r="F1371" s="1">
        <v>75</v>
      </c>
      <c r="G1371" t="s">
        <v>146</v>
      </c>
      <c r="H1371" t="s">
        <v>45</v>
      </c>
      <c r="I1371" t="s">
        <v>96</v>
      </c>
      <c r="J1371" t="s">
        <v>25</v>
      </c>
      <c r="K1371" s="2">
        <v>3.2</v>
      </c>
      <c r="L1371" t="s">
        <v>152</v>
      </c>
      <c r="M1371" t="s">
        <v>35</v>
      </c>
      <c r="N1371" t="s">
        <v>55</v>
      </c>
      <c r="O1371" t="s">
        <v>26</v>
      </c>
      <c r="P1371" t="s">
        <v>26</v>
      </c>
      <c r="Q1371" s="3">
        <v>48</v>
      </c>
      <c r="R1371" t="s">
        <v>29</v>
      </c>
      <c r="S1371" t="s">
        <v>30</v>
      </c>
    </row>
    <row r="1372" spans="1:19" x14ac:dyDescent="0.25">
      <c r="A1372">
        <v>1371</v>
      </c>
      <c r="B1372">
        <v>27</v>
      </c>
      <c r="C1372" t="s">
        <v>19</v>
      </c>
      <c r="D1372" t="s">
        <v>119</v>
      </c>
      <c r="E1372" t="s">
        <v>69</v>
      </c>
      <c r="F1372" s="1">
        <v>67</v>
      </c>
      <c r="G1372" t="s">
        <v>57</v>
      </c>
      <c r="H1372" t="s">
        <v>23</v>
      </c>
      <c r="I1372" t="s">
        <v>100</v>
      </c>
      <c r="J1372" t="s">
        <v>54</v>
      </c>
      <c r="K1372" s="2">
        <v>2.9</v>
      </c>
      <c r="L1372" t="s">
        <v>152</v>
      </c>
      <c r="M1372" t="s">
        <v>46</v>
      </c>
      <c r="N1372" t="s">
        <v>72</v>
      </c>
      <c r="O1372" t="s">
        <v>26</v>
      </c>
      <c r="P1372" t="s">
        <v>26</v>
      </c>
      <c r="Q1372" s="3">
        <v>41</v>
      </c>
      <c r="R1372" t="s">
        <v>34</v>
      </c>
      <c r="S1372" t="s">
        <v>97</v>
      </c>
    </row>
    <row r="1373" spans="1:19" x14ac:dyDescent="0.25">
      <c r="A1373">
        <v>1372</v>
      </c>
      <c r="B1373">
        <v>40</v>
      </c>
      <c r="C1373" t="s">
        <v>19</v>
      </c>
      <c r="D1373" t="s">
        <v>95</v>
      </c>
      <c r="E1373" t="s">
        <v>21</v>
      </c>
      <c r="F1373" s="1">
        <v>64</v>
      </c>
      <c r="G1373" t="s">
        <v>91</v>
      </c>
      <c r="H1373" t="s">
        <v>45</v>
      </c>
      <c r="I1373" t="s">
        <v>63</v>
      </c>
      <c r="J1373" t="s">
        <v>39</v>
      </c>
      <c r="K1373" s="2">
        <v>2.8</v>
      </c>
      <c r="L1373" t="s">
        <v>152</v>
      </c>
      <c r="M1373" t="s">
        <v>46</v>
      </c>
      <c r="N1373" t="s">
        <v>76</v>
      </c>
      <c r="O1373" t="s">
        <v>26</v>
      </c>
      <c r="P1373" t="s">
        <v>26</v>
      </c>
      <c r="Q1373" s="3">
        <v>42</v>
      </c>
      <c r="R1373" t="s">
        <v>27</v>
      </c>
      <c r="S1373" t="s">
        <v>88</v>
      </c>
    </row>
    <row r="1374" spans="1:19" x14ac:dyDescent="0.25">
      <c r="A1374">
        <v>1373</v>
      </c>
      <c r="B1374">
        <v>64</v>
      </c>
      <c r="C1374" t="s">
        <v>19</v>
      </c>
      <c r="D1374" t="s">
        <v>20</v>
      </c>
      <c r="E1374" t="s">
        <v>21</v>
      </c>
      <c r="F1374" s="1">
        <v>61</v>
      </c>
      <c r="G1374" t="s">
        <v>151</v>
      </c>
      <c r="H1374" t="s">
        <v>45</v>
      </c>
      <c r="I1374" t="s">
        <v>24</v>
      </c>
      <c r="J1374" t="s">
        <v>58</v>
      </c>
      <c r="K1374" s="2">
        <v>4</v>
      </c>
      <c r="L1374" t="s">
        <v>152</v>
      </c>
      <c r="M1374" t="s">
        <v>27</v>
      </c>
      <c r="N1374" t="s">
        <v>72</v>
      </c>
      <c r="O1374" t="s">
        <v>26</v>
      </c>
      <c r="P1374" t="s">
        <v>26</v>
      </c>
      <c r="Q1374" s="3">
        <v>44</v>
      </c>
      <c r="R1374" t="s">
        <v>46</v>
      </c>
      <c r="S1374" t="s">
        <v>77</v>
      </c>
    </row>
    <row r="1375" spans="1:19" x14ac:dyDescent="0.25">
      <c r="A1375">
        <v>1374</v>
      </c>
      <c r="B1375">
        <v>18</v>
      </c>
      <c r="C1375" t="s">
        <v>19</v>
      </c>
      <c r="D1375" t="s">
        <v>143</v>
      </c>
      <c r="E1375" t="s">
        <v>69</v>
      </c>
      <c r="F1375" s="1">
        <v>40</v>
      </c>
      <c r="G1375" t="s">
        <v>141</v>
      </c>
      <c r="H1375" t="s">
        <v>23</v>
      </c>
      <c r="I1375" t="s">
        <v>49</v>
      </c>
      <c r="J1375" t="s">
        <v>25</v>
      </c>
      <c r="K1375" s="2">
        <v>2.6</v>
      </c>
      <c r="L1375" t="s">
        <v>152</v>
      </c>
      <c r="M1375" t="s">
        <v>27</v>
      </c>
      <c r="N1375" t="s">
        <v>76</v>
      </c>
      <c r="O1375" t="s">
        <v>26</v>
      </c>
      <c r="P1375" t="s">
        <v>26</v>
      </c>
      <c r="Q1375" s="3">
        <v>6</v>
      </c>
      <c r="R1375" t="s">
        <v>35</v>
      </c>
      <c r="S1375" t="s">
        <v>60</v>
      </c>
    </row>
    <row r="1376" spans="1:19" x14ac:dyDescent="0.25">
      <c r="A1376">
        <v>1375</v>
      </c>
      <c r="B1376">
        <v>22</v>
      </c>
      <c r="C1376" t="s">
        <v>19</v>
      </c>
      <c r="D1376" t="s">
        <v>68</v>
      </c>
      <c r="E1376" t="s">
        <v>69</v>
      </c>
      <c r="F1376" s="1">
        <v>97</v>
      </c>
      <c r="G1376" t="s">
        <v>85</v>
      </c>
      <c r="H1376" t="s">
        <v>45</v>
      </c>
      <c r="I1376" t="s">
        <v>108</v>
      </c>
      <c r="J1376" t="s">
        <v>58</v>
      </c>
      <c r="K1376" s="2">
        <v>2.7</v>
      </c>
      <c r="L1376" t="s">
        <v>152</v>
      </c>
      <c r="M1376" t="s">
        <v>59</v>
      </c>
      <c r="N1376" t="s">
        <v>40</v>
      </c>
      <c r="O1376" t="s">
        <v>26</v>
      </c>
      <c r="P1376" t="s">
        <v>26</v>
      </c>
      <c r="Q1376" s="3">
        <v>5</v>
      </c>
      <c r="R1376" t="s">
        <v>34</v>
      </c>
      <c r="S1376" t="s">
        <v>60</v>
      </c>
    </row>
    <row r="1377" spans="1:19" x14ac:dyDescent="0.25">
      <c r="A1377">
        <v>1376</v>
      </c>
      <c r="B1377">
        <v>42</v>
      </c>
      <c r="C1377" t="s">
        <v>19</v>
      </c>
      <c r="D1377" t="s">
        <v>51</v>
      </c>
      <c r="E1377" t="s">
        <v>43</v>
      </c>
      <c r="F1377" s="1">
        <v>31</v>
      </c>
      <c r="G1377" t="s">
        <v>32</v>
      </c>
      <c r="H1377" t="s">
        <v>23</v>
      </c>
      <c r="I1377" t="s">
        <v>110</v>
      </c>
      <c r="J1377" t="s">
        <v>39</v>
      </c>
      <c r="K1377" s="2">
        <v>4.0999999999999996</v>
      </c>
      <c r="L1377" t="s">
        <v>152</v>
      </c>
      <c r="M1377" t="s">
        <v>29</v>
      </c>
      <c r="N1377" t="s">
        <v>72</v>
      </c>
      <c r="O1377" t="s">
        <v>26</v>
      </c>
      <c r="P1377" t="s">
        <v>26</v>
      </c>
      <c r="Q1377" s="3">
        <v>8</v>
      </c>
      <c r="R1377" t="s">
        <v>27</v>
      </c>
      <c r="S1377" t="s">
        <v>50</v>
      </c>
    </row>
    <row r="1378" spans="1:19" x14ac:dyDescent="0.25">
      <c r="A1378">
        <v>1377</v>
      </c>
      <c r="B1378">
        <v>57</v>
      </c>
      <c r="C1378" t="s">
        <v>19</v>
      </c>
      <c r="D1378" t="s">
        <v>42</v>
      </c>
      <c r="E1378" t="s">
        <v>43</v>
      </c>
      <c r="F1378" s="1">
        <v>65</v>
      </c>
      <c r="G1378" t="s">
        <v>127</v>
      </c>
      <c r="H1378" t="s">
        <v>23</v>
      </c>
      <c r="I1378" t="s">
        <v>71</v>
      </c>
      <c r="J1378" t="s">
        <v>39</v>
      </c>
      <c r="K1378" s="2">
        <v>5</v>
      </c>
      <c r="L1378" t="s">
        <v>152</v>
      </c>
      <c r="M1378" t="s">
        <v>35</v>
      </c>
      <c r="N1378" t="s">
        <v>40</v>
      </c>
      <c r="O1378" t="s">
        <v>26</v>
      </c>
      <c r="P1378" t="s">
        <v>26</v>
      </c>
      <c r="Q1378" s="3">
        <v>24</v>
      </c>
      <c r="R1378" t="s">
        <v>46</v>
      </c>
      <c r="S1378" t="s">
        <v>50</v>
      </c>
    </row>
    <row r="1379" spans="1:19" x14ac:dyDescent="0.25">
      <c r="A1379">
        <v>1378</v>
      </c>
      <c r="B1379">
        <v>33</v>
      </c>
      <c r="C1379" t="s">
        <v>19</v>
      </c>
      <c r="D1379" t="s">
        <v>89</v>
      </c>
      <c r="E1379" t="s">
        <v>69</v>
      </c>
      <c r="F1379" s="1">
        <v>54</v>
      </c>
      <c r="G1379" t="s">
        <v>128</v>
      </c>
      <c r="H1379" t="s">
        <v>23</v>
      </c>
      <c r="I1379" t="s">
        <v>79</v>
      </c>
      <c r="J1379" t="s">
        <v>39</v>
      </c>
      <c r="K1379" s="2">
        <v>3</v>
      </c>
      <c r="L1379" t="s">
        <v>152</v>
      </c>
      <c r="M1379" t="s">
        <v>27</v>
      </c>
      <c r="N1379" t="s">
        <v>47</v>
      </c>
      <c r="O1379" t="s">
        <v>26</v>
      </c>
      <c r="P1379" t="s">
        <v>26</v>
      </c>
      <c r="Q1379" s="3">
        <v>42</v>
      </c>
      <c r="R1379" t="s">
        <v>29</v>
      </c>
      <c r="S1379" t="s">
        <v>88</v>
      </c>
    </row>
    <row r="1380" spans="1:19" x14ac:dyDescent="0.25">
      <c r="A1380">
        <v>1379</v>
      </c>
      <c r="B1380">
        <v>37</v>
      </c>
      <c r="C1380" t="s">
        <v>19</v>
      </c>
      <c r="D1380" t="s">
        <v>102</v>
      </c>
      <c r="E1380" t="s">
        <v>65</v>
      </c>
      <c r="F1380" s="1">
        <v>49</v>
      </c>
      <c r="G1380" t="s">
        <v>22</v>
      </c>
      <c r="H1380" t="s">
        <v>92</v>
      </c>
      <c r="I1380" t="s">
        <v>93</v>
      </c>
      <c r="J1380" t="s">
        <v>58</v>
      </c>
      <c r="K1380" s="2">
        <v>3.6</v>
      </c>
      <c r="L1380" t="s">
        <v>152</v>
      </c>
      <c r="M1380" t="s">
        <v>46</v>
      </c>
      <c r="N1380" t="s">
        <v>40</v>
      </c>
      <c r="O1380" t="s">
        <v>26</v>
      </c>
      <c r="P1380" t="s">
        <v>26</v>
      </c>
      <c r="Q1380" s="3">
        <v>24</v>
      </c>
      <c r="R1380" t="s">
        <v>29</v>
      </c>
      <c r="S1380" t="s">
        <v>41</v>
      </c>
    </row>
    <row r="1381" spans="1:19" x14ac:dyDescent="0.25">
      <c r="A1381">
        <v>1380</v>
      </c>
      <c r="B1381">
        <v>21</v>
      </c>
      <c r="C1381" t="s">
        <v>19</v>
      </c>
      <c r="D1381" t="s">
        <v>113</v>
      </c>
      <c r="E1381" t="s">
        <v>21</v>
      </c>
      <c r="F1381" s="1">
        <v>64</v>
      </c>
      <c r="G1381" t="s">
        <v>148</v>
      </c>
      <c r="H1381" t="s">
        <v>23</v>
      </c>
      <c r="I1381" t="s">
        <v>75</v>
      </c>
      <c r="J1381" t="s">
        <v>58</v>
      </c>
      <c r="K1381" s="2">
        <v>2.8</v>
      </c>
      <c r="L1381" t="s">
        <v>152</v>
      </c>
      <c r="M1381" t="s">
        <v>29</v>
      </c>
      <c r="N1381" t="s">
        <v>72</v>
      </c>
      <c r="O1381" t="s">
        <v>26</v>
      </c>
      <c r="P1381" t="s">
        <v>26</v>
      </c>
      <c r="Q1381" s="3">
        <v>38</v>
      </c>
      <c r="R1381" t="s">
        <v>29</v>
      </c>
      <c r="S1381" t="s">
        <v>77</v>
      </c>
    </row>
    <row r="1382" spans="1:19" x14ac:dyDescent="0.25">
      <c r="A1382">
        <v>1381</v>
      </c>
      <c r="B1382">
        <v>51</v>
      </c>
      <c r="C1382" t="s">
        <v>19</v>
      </c>
      <c r="D1382" t="s">
        <v>51</v>
      </c>
      <c r="E1382" t="s">
        <v>43</v>
      </c>
      <c r="F1382" s="1">
        <v>35</v>
      </c>
      <c r="G1382" t="s">
        <v>37</v>
      </c>
      <c r="H1382" t="s">
        <v>38</v>
      </c>
      <c r="I1382" t="s">
        <v>118</v>
      </c>
      <c r="J1382" t="s">
        <v>25</v>
      </c>
      <c r="K1382" s="2">
        <v>4.5999999999999996</v>
      </c>
      <c r="L1382" t="s">
        <v>152</v>
      </c>
      <c r="M1382" t="s">
        <v>34</v>
      </c>
      <c r="N1382" t="s">
        <v>55</v>
      </c>
      <c r="O1382" t="s">
        <v>26</v>
      </c>
      <c r="P1382" t="s">
        <v>26</v>
      </c>
      <c r="Q1382" s="3">
        <v>41</v>
      </c>
      <c r="R1382" t="s">
        <v>35</v>
      </c>
      <c r="S1382" t="s">
        <v>30</v>
      </c>
    </row>
    <row r="1383" spans="1:19" x14ac:dyDescent="0.25">
      <c r="A1383">
        <v>1382</v>
      </c>
      <c r="B1383">
        <v>30</v>
      </c>
      <c r="C1383" t="s">
        <v>19</v>
      </c>
      <c r="D1383" t="s">
        <v>73</v>
      </c>
      <c r="E1383" t="s">
        <v>43</v>
      </c>
      <c r="F1383" s="1">
        <v>86</v>
      </c>
      <c r="G1383" t="s">
        <v>115</v>
      </c>
      <c r="H1383" t="s">
        <v>23</v>
      </c>
      <c r="I1383" t="s">
        <v>96</v>
      </c>
      <c r="J1383" t="s">
        <v>25</v>
      </c>
      <c r="K1383" s="2">
        <v>2.9</v>
      </c>
      <c r="L1383" t="s">
        <v>152</v>
      </c>
      <c r="M1383" t="s">
        <v>35</v>
      </c>
      <c r="N1383" t="s">
        <v>55</v>
      </c>
      <c r="O1383" t="s">
        <v>26</v>
      </c>
      <c r="P1383" t="s">
        <v>26</v>
      </c>
      <c r="Q1383" s="3">
        <v>48</v>
      </c>
      <c r="R1383" t="s">
        <v>29</v>
      </c>
      <c r="S1383" t="s">
        <v>60</v>
      </c>
    </row>
    <row r="1384" spans="1:19" x14ac:dyDescent="0.25">
      <c r="A1384">
        <v>1383</v>
      </c>
      <c r="B1384">
        <v>68</v>
      </c>
      <c r="C1384" t="s">
        <v>19</v>
      </c>
      <c r="D1384" t="s">
        <v>102</v>
      </c>
      <c r="E1384" t="s">
        <v>65</v>
      </c>
      <c r="F1384" s="1">
        <v>55</v>
      </c>
      <c r="G1384" t="s">
        <v>151</v>
      </c>
      <c r="H1384" t="s">
        <v>23</v>
      </c>
      <c r="I1384" t="s">
        <v>110</v>
      </c>
      <c r="J1384" t="s">
        <v>25</v>
      </c>
      <c r="K1384" s="2">
        <v>4.8</v>
      </c>
      <c r="L1384" t="s">
        <v>152</v>
      </c>
      <c r="M1384" t="s">
        <v>29</v>
      </c>
      <c r="N1384" t="s">
        <v>28</v>
      </c>
      <c r="O1384" t="s">
        <v>26</v>
      </c>
      <c r="P1384" t="s">
        <v>26</v>
      </c>
      <c r="Q1384" s="3">
        <v>16</v>
      </c>
      <c r="R1384" t="s">
        <v>34</v>
      </c>
      <c r="S1384" t="s">
        <v>60</v>
      </c>
    </row>
    <row r="1385" spans="1:19" x14ac:dyDescent="0.25">
      <c r="A1385">
        <v>1384</v>
      </c>
      <c r="B1385">
        <v>36</v>
      </c>
      <c r="C1385" t="s">
        <v>19</v>
      </c>
      <c r="D1385" t="s">
        <v>119</v>
      </c>
      <c r="E1385" t="s">
        <v>69</v>
      </c>
      <c r="F1385" s="1">
        <v>58</v>
      </c>
      <c r="G1385" t="s">
        <v>150</v>
      </c>
      <c r="H1385" t="s">
        <v>45</v>
      </c>
      <c r="I1385" t="s">
        <v>118</v>
      </c>
      <c r="J1385" t="s">
        <v>39</v>
      </c>
      <c r="K1385" s="2">
        <v>3.3</v>
      </c>
      <c r="L1385" t="s">
        <v>152</v>
      </c>
      <c r="M1385" t="s">
        <v>34</v>
      </c>
      <c r="N1385" t="s">
        <v>28</v>
      </c>
      <c r="O1385" t="s">
        <v>26</v>
      </c>
      <c r="P1385" t="s">
        <v>26</v>
      </c>
      <c r="Q1385" s="3">
        <v>4</v>
      </c>
      <c r="R1385" t="s">
        <v>29</v>
      </c>
      <c r="S1385" t="s">
        <v>88</v>
      </c>
    </row>
    <row r="1386" spans="1:19" x14ac:dyDescent="0.25">
      <c r="A1386">
        <v>1385</v>
      </c>
      <c r="B1386">
        <v>46</v>
      </c>
      <c r="C1386" t="s">
        <v>19</v>
      </c>
      <c r="D1386" t="s">
        <v>51</v>
      </c>
      <c r="E1386" t="s">
        <v>43</v>
      </c>
      <c r="F1386" s="1">
        <v>96</v>
      </c>
      <c r="G1386" t="s">
        <v>120</v>
      </c>
      <c r="H1386" t="s">
        <v>45</v>
      </c>
      <c r="I1386" t="s">
        <v>118</v>
      </c>
      <c r="J1386" t="s">
        <v>58</v>
      </c>
      <c r="K1386" s="2">
        <v>4.5999999999999996</v>
      </c>
      <c r="L1386" t="s">
        <v>152</v>
      </c>
      <c r="M1386" t="s">
        <v>35</v>
      </c>
      <c r="N1386" t="s">
        <v>55</v>
      </c>
      <c r="O1386" t="s">
        <v>26</v>
      </c>
      <c r="P1386" t="s">
        <v>26</v>
      </c>
      <c r="Q1386" s="3">
        <v>8</v>
      </c>
      <c r="R1386" t="s">
        <v>34</v>
      </c>
      <c r="S1386" t="s">
        <v>41</v>
      </c>
    </row>
    <row r="1387" spans="1:19" x14ac:dyDescent="0.25">
      <c r="A1387">
        <v>1386</v>
      </c>
      <c r="B1387">
        <v>41</v>
      </c>
      <c r="C1387" t="s">
        <v>19</v>
      </c>
      <c r="D1387" t="s">
        <v>106</v>
      </c>
      <c r="E1387" t="s">
        <v>69</v>
      </c>
      <c r="F1387" s="1">
        <v>64</v>
      </c>
      <c r="G1387" t="s">
        <v>91</v>
      </c>
      <c r="H1387" t="s">
        <v>45</v>
      </c>
      <c r="I1387" t="s">
        <v>126</v>
      </c>
      <c r="J1387" t="s">
        <v>58</v>
      </c>
      <c r="K1387" s="2">
        <v>2.6</v>
      </c>
      <c r="L1387" t="s">
        <v>152</v>
      </c>
      <c r="M1387" t="s">
        <v>59</v>
      </c>
      <c r="N1387" t="s">
        <v>76</v>
      </c>
      <c r="O1387" t="s">
        <v>26</v>
      </c>
      <c r="P1387" t="s">
        <v>26</v>
      </c>
      <c r="Q1387" s="3">
        <v>1</v>
      </c>
      <c r="R1387" t="s">
        <v>34</v>
      </c>
      <c r="S1387" t="s">
        <v>77</v>
      </c>
    </row>
    <row r="1388" spans="1:19" x14ac:dyDescent="0.25">
      <c r="A1388">
        <v>1387</v>
      </c>
      <c r="B1388">
        <v>68</v>
      </c>
      <c r="C1388" t="s">
        <v>19</v>
      </c>
      <c r="D1388" t="s">
        <v>102</v>
      </c>
      <c r="E1388" t="s">
        <v>65</v>
      </c>
      <c r="F1388" s="1">
        <v>56</v>
      </c>
      <c r="G1388" t="s">
        <v>48</v>
      </c>
      <c r="H1388" t="s">
        <v>45</v>
      </c>
      <c r="I1388" t="s">
        <v>67</v>
      </c>
      <c r="J1388" t="s">
        <v>58</v>
      </c>
      <c r="K1388" s="2">
        <v>4</v>
      </c>
      <c r="L1388" t="s">
        <v>152</v>
      </c>
      <c r="M1388" t="s">
        <v>34</v>
      </c>
      <c r="N1388" t="s">
        <v>47</v>
      </c>
      <c r="O1388" t="s">
        <v>26</v>
      </c>
      <c r="P1388" t="s">
        <v>26</v>
      </c>
      <c r="Q1388" s="3">
        <v>4</v>
      </c>
      <c r="R1388" t="s">
        <v>59</v>
      </c>
      <c r="S1388" t="s">
        <v>60</v>
      </c>
    </row>
    <row r="1389" spans="1:19" x14ac:dyDescent="0.25">
      <c r="A1389">
        <v>1388</v>
      </c>
      <c r="B1389">
        <v>21</v>
      </c>
      <c r="C1389" t="s">
        <v>19</v>
      </c>
      <c r="D1389" t="s">
        <v>20</v>
      </c>
      <c r="E1389" t="s">
        <v>21</v>
      </c>
      <c r="F1389" s="1">
        <v>85</v>
      </c>
      <c r="G1389" t="s">
        <v>128</v>
      </c>
      <c r="H1389" t="s">
        <v>45</v>
      </c>
      <c r="I1389" t="s">
        <v>81</v>
      </c>
      <c r="J1389" t="s">
        <v>25</v>
      </c>
      <c r="K1389" s="2">
        <v>3.8</v>
      </c>
      <c r="L1389" t="s">
        <v>152</v>
      </c>
      <c r="M1389" t="s">
        <v>27</v>
      </c>
      <c r="N1389" t="s">
        <v>55</v>
      </c>
      <c r="O1389" t="s">
        <v>26</v>
      </c>
      <c r="P1389" t="s">
        <v>26</v>
      </c>
      <c r="Q1389" s="3">
        <v>20</v>
      </c>
      <c r="R1389" t="s">
        <v>27</v>
      </c>
      <c r="S1389" t="s">
        <v>88</v>
      </c>
    </row>
    <row r="1390" spans="1:19" x14ac:dyDescent="0.25">
      <c r="A1390">
        <v>1389</v>
      </c>
      <c r="B1390">
        <v>62</v>
      </c>
      <c r="C1390" t="s">
        <v>19</v>
      </c>
      <c r="D1390" t="s">
        <v>82</v>
      </c>
      <c r="E1390" t="s">
        <v>21</v>
      </c>
      <c r="F1390" s="1">
        <v>23</v>
      </c>
      <c r="G1390" t="s">
        <v>74</v>
      </c>
      <c r="H1390" t="s">
        <v>45</v>
      </c>
      <c r="I1390" t="s">
        <v>93</v>
      </c>
      <c r="J1390" t="s">
        <v>39</v>
      </c>
      <c r="K1390" s="2">
        <v>3.9</v>
      </c>
      <c r="L1390" t="s">
        <v>152</v>
      </c>
      <c r="M1390" t="s">
        <v>35</v>
      </c>
      <c r="N1390" t="s">
        <v>28</v>
      </c>
      <c r="O1390" t="s">
        <v>26</v>
      </c>
      <c r="P1390" t="s">
        <v>26</v>
      </c>
      <c r="Q1390" s="3">
        <v>40</v>
      </c>
      <c r="R1390" t="s">
        <v>35</v>
      </c>
      <c r="S1390" t="s">
        <v>60</v>
      </c>
    </row>
    <row r="1391" spans="1:19" x14ac:dyDescent="0.25">
      <c r="A1391">
        <v>1390</v>
      </c>
      <c r="B1391">
        <v>59</v>
      </c>
      <c r="C1391" t="s">
        <v>19</v>
      </c>
      <c r="D1391" t="s">
        <v>119</v>
      </c>
      <c r="E1391" t="s">
        <v>69</v>
      </c>
      <c r="F1391" s="1">
        <v>72</v>
      </c>
      <c r="G1391" t="s">
        <v>115</v>
      </c>
      <c r="H1391" t="s">
        <v>23</v>
      </c>
      <c r="I1391" t="s">
        <v>121</v>
      </c>
      <c r="J1391" t="s">
        <v>58</v>
      </c>
      <c r="K1391" s="2">
        <v>2.6</v>
      </c>
      <c r="L1391" t="s">
        <v>152</v>
      </c>
      <c r="M1391" t="s">
        <v>59</v>
      </c>
      <c r="N1391" t="s">
        <v>76</v>
      </c>
      <c r="O1391" t="s">
        <v>26</v>
      </c>
      <c r="P1391" t="s">
        <v>26</v>
      </c>
      <c r="Q1391" s="3">
        <v>8</v>
      </c>
      <c r="R1391" t="s">
        <v>59</v>
      </c>
      <c r="S1391" t="s">
        <v>30</v>
      </c>
    </row>
    <row r="1392" spans="1:19" x14ac:dyDescent="0.25">
      <c r="A1392">
        <v>1391</v>
      </c>
      <c r="B1392">
        <v>25</v>
      </c>
      <c r="C1392" t="s">
        <v>19</v>
      </c>
      <c r="D1392" t="s">
        <v>124</v>
      </c>
      <c r="E1392" t="s">
        <v>69</v>
      </c>
      <c r="F1392" s="1">
        <v>38</v>
      </c>
      <c r="G1392" t="s">
        <v>74</v>
      </c>
      <c r="H1392" t="s">
        <v>45</v>
      </c>
      <c r="I1392" t="s">
        <v>33</v>
      </c>
      <c r="J1392" t="s">
        <v>54</v>
      </c>
      <c r="K1392" s="2">
        <v>4.3</v>
      </c>
      <c r="L1392" t="s">
        <v>152</v>
      </c>
      <c r="M1392" t="s">
        <v>29</v>
      </c>
      <c r="N1392" t="s">
        <v>55</v>
      </c>
      <c r="O1392" t="s">
        <v>26</v>
      </c>
      <c r="P1392" t="s">
        <v>26</v>
      </c>
      <c r="Q1392" s="3">
        <v>42</v>
      </c>
      <c r="R1392" t="s">
        <v>59</v>
      </c>
      <c r="S1392" t="s">
        <v>41</v>
      </c>
    </row>
    <row r="1393" spans="1:19" x14ac:dyDescent="0.25">
      <c r="A1393">
        <v>1392</v>
      </c>
      <c r="B1393">
        <v>53</v>
      </c>
      <c r="C1393" t="s">
        <v>19</v>
      </c>
      <c r="D1393" t="s">
        <v>20</v>
      </c>
      <c r="E1393" t="s">
        <v>21</v>
      </c>
      <c r="F1393" s="1">
        <v>29</v>
      </c>
      <c r="G1393" t="s">
        <v>91</v>
      </c>
      <c r="H1393" t="s">
        <v>38</v>
      </c>
      <c r="I1393" t="s">
        <v>53</v>
      </c>
      <c r="J1393" t="s">
        <v>25</v>
      </c>
      <c r="K1393" s="2">
        <v>3.6</v>
      </c>
      <c r="L1393" t="s">
        <v>152</v>
      </c>
      <c r="M1393" t="s">
        <v>34</v>
      </c>
      <c r="N1393" t="s">
        <v>28</v>
      </c>
      <c r="O1393" t="s">
        <v>26</v>
      </c>
      <c r="P1393" t="s">
        <v>26</v>
      </c>
      <c r="Q1393" s="3">
        <v>38</v>
      </c>
      <c r="R1393" t="s">
        <v>27</v>
      </c>
      <c r="S1393" t="s">
        <v>50</v>
      </c>
    </row>
    <row r="1394" spans="1:19" x14ac:dyDescent="0.25">
      <c r="A1394">
        <v>1393</v>
      </c>
      <c r="B1394">
        <v>31</v>
      </c>
      <c r="C1394" t="s">
        <v>19</v>
      </c>
      <c r="D1394" t="s">
        <v>143</v>
      </c>
      <c r="E1394" t="s">
        <v>69</v>
      </c>
      <c r="F1394" s="1">
        <v>46</v>
      </c>
      <c r="G1394" t="s">
        <v>74</v>
      </c>
      <c r="H1394" t="s">
        <v>45</v>
      </c>
      <c r="I1394" t="s">
        <v>134</v>
      </c>
      <c r="J1394" t="s">
        <v>39</v>
      </c>
      <c r="K1394" s="2">
        <v>4.2</v>
      </c>
      <c r="L1394" t="s">
        <v>152</v>
      </c>
      <c r="M1394" t="s">
        <v>59</v>
      </c>
      <c r="N1394" t="s">
        <v>28</v>
      </c>
      <c r="O1394" t="s">
        <v>26</v>
      </c>
      <c r="P1394" t="s">
        <v>26</v>
      </c>
      <c r="Q1394" s="3">
        <v>34</v>
      </c>
      <c r="R1394" t="s">
        <v>29</v>
      </c>
      <c r="S1394" t="s">
        <v>97</v>
      </c>
    </row>
    <row r="1395" spans="1:19" x14ac:dyDescent="0.25">
      <c r="A1395">
        <v>1394</v>
      </c>
      <c r="B1395">
        <v>46</v>
      </c>
      <c r="C1395" t="s">
        <v>19</v>
      </c>
      <c r="D1395" t="s">
        <v>143</v>
      </c>
      <c r="E1395" t="s">
        <v>69</v>
      </c>
      <c r="F1395" s="1">
        <v>58</v>
      </c>
      <c r="G1395" t="s">
        <v>135</v>
      </c>
      <c r="H1395" t="s">
        <v>23</v>
      </c>
      <c r="I1395" t="s">
        <v>134</v>
      </c>
      <c r="J1395" t="s">
        <v>39</v>
      </c>
      <c r="K1395" s="2">
        <v>3.9</v>
      </c>
      <c r="L1395" t="s">
        <v>152</v>
      </c>
      <c r="M1395" t="s">
        <v>34</v>
      </c>
      <c r="N1395" t="s">
        <v>28</v>
      </c>
      <c r="O1395" t="s">
        <v>26</v>
      </c>
      <c r="P1395" t="s">
        <v>26</v>
      </c>
      <c r="Q1395" s="3">
        <v>14</v>
      </c>
      <c r="R1395" t="s">
        <v>46</v>
      </c>
      <c r="S1395" t="s">
        <v>30</v>
      </c>
    </row>
    <row r="1396" spans="1:19" x14ac:dyDescent="0.25">
      <c r="A1396">
        <v>1395</v>
      </c>
      <c r="B1396">
        <v>26</v>
      </c>
      <c r="C1396" t="s">
        <v>19</v>
      </c>
      <c r="D1396" t="s">
        <v>64</v>
      </c>
      <c r="E1396" t="s">
        <v>65</v>
      </c>
      <c r="F1396" s="1">
        <v>43</v>
      </c>
      <c r="G1396" t="s">
        <v>146</v>
      </c>
      <c r="H1396" t="s">
        <v>23</v>
      </c>
      <c r="I1396" t="s">
        <v>136</v>
      </c>
      <c r="J1396" t="s">
        <v>58</v>
      </c>
      <c r="K1396" s="2">
        <v>4.7</v>
      </c>
      <c r="L1396" t="s">
        <v>152</v>
      </c>
      <c r="M1396" t="s">
        <v>46</v>
      </c>
      <c r="N1396" t="s">
        <v>47</v>
      </c>
      <c r="O1396" t="s">
        <v>26</v>
      </c>
      <c r="P1396" t="s">
        <v>26</v>
      </c>
      <c r="Q1396" s="3">
        <v>39</v>
      </c>
      <c r="R1396" t="s">
        <v>35</v>
      </c>
      <c r="S1396" t="s">
        <v>41</v>
      </c>
    </row>
    <row r="1397" spans="1:19" x14ac:dyDescent="0.25">
      <c r="A1397">
        <v>1396</v>
      </c>
      <c r="B1397">
        <v>47</v>
      </c>
      <c r="C1397" t="s">
        <v>19</v>
      </c>
      <c r="D1397" t="s">
        <v>119</v>
      </c>
      <c r="E1397" t="s">
        <v>69</v>
      </c>
      <c r="F1397" s="1">
        <v>32</v>
      </c>
      <c r="G1397" t="s">
        <v>66</v>
      </c>
      <c r="H1397" t="s">
        <v>23</v>
      </c>
      <c r="I1397" t="s">
        <v>49</v>
      </c>
      <c r="J1397" t="s">
        <v>39</v>
      </c>
      <c r="K1397" s="2">
        <v>2.8</v>
      </c>
      <c r="L1397" t="s">
        <v>152</v>
      </c>
      <c r="M1397" t="s">
        <v>35</v>
      </c>
      <c r="N1397" t="s">
        <v>47</v>
      </c>
      <c r="O1397" t="s">
        <v>26</v>
      </c>
      <c r="P1397" t="s">
        <v>26</v>
      </c>
      <c r="Q1397" s="3">
        <v>40</v>
      </c>
      <c r="R1397" t="s">
        <v>46</v>
      </c>
      <c r="S1397" t="s">
        <v>77</v>
      </c>
    </row>
    <row r="1398" spans="1:19" x14ac:dyDescent="0.25">
      <c r="A1398">
        <v>1397</v>
      </c>
      <c r="B1398">
        <v>37</v>
      </c>
      <c r="C1398" t="s">
        <v>19</v>
      </c>
      <c r="D1398" t="s">
        <v>95</v>
      </c>
      <c r="E1398" t="s">
        <v>21</v>
      </c>
      <c r="F1398" s="1">
        <v>30</v>
      </c>
      <c r="G1398" t="s">
        <v>150</v>
      </c>
      <c r="H1398" t="s">
        <v>92</v>
      </c>
      <c r="I1398" t="s">
        <v>93</v>
      </c>
      <c r="J1398" t="s">
        <v>25</v>
      </c>
      <c r="K1398" s="2">
        <v>3</v>
      </c>
      <c r="L1398" t="s">
        <v>152</v>
      </c>
      <c r="M1398" t="s">
        <v>35</v>
      </c>
      <c r="N1398" t="s">
        <v>47</v>
      </c>
      <c r="O1398" t="s">
        <v>26</v>
      </c>
      <c r="P1398" t="s">
        <v>26</v>
      </c>
      <c r="Q1398" s="3">
        <v>49</v>
      </c>
      <c r="R1398" t="s">
        <v>59</v>
      </c>
      <c r="S1398" t="s">
        <v>88</v>
      </c>
    </row>
    <row r="1399" spans="1:19" x14ac:dyDescent="0.25">
      <c r="A1399">
        <v>1398</v>
      </c>
      <c r="B1399">
        <v>55</v>
      </c>
      <c r="C1399" t="s">
        <v>19</v>
      </c>
      <c r="D1399" t="s">
        <v>89</v>
      </c>
      <c r="E1399" t="s">
        <v>69</v>
      </c>
      <c r="F1399" s="1">
        <v>67</v>
      </c>
      <c r="G1399" t="s">
        <v>37</v>
      </c>
      <c r="H1399" t="s">
        <v>38</v>
      </c>
      <c r="I1399" t="s">
        <v>136</v>
      </c>
      <c r="J1399" t="s">
        <v>54</v>
      </c>
      <c r="K1399" s="2">
        <v>4.7</v>
      </c>
      <c r="L1399" t="s">
        <v>152</v>
      </c>
      <c r="M1399" t="s">
        <v>35</v>
      </c>
      <c r="N1399" t="s">
        <v>76</v>
      </c>
      <c r="O1399" t="s">
        <v>26</v>
      </c>
      <c r="P1399" t="s">
        <v>26</v>
      </c>
      <c r="Q1399" s="3">
        <v>33</v>
      </c>
      <c r="R1399" t="s">
        <v>46</v>
      </c>
      <c r="S1399" t="s">
        <v>50</v>
      </c>
    </row>
    <row r="1400" spans="1:19" x14ac:dyDescent="0.25">
      <c r="A1400">
        <v>1399</v>
      </c>
      <c r="B1400">
        <v>30</v>
      </c>
      <c r="C1400" t="s">
        <v>19</v>
      </c>
      <c r="D1400" t="s">
        <v>82</v>
      </c>
      <c r="E1400" t="s">
        <v>21</v>
      </c>
      <c r="F1400" s="1">
        <v>45</v>
      </c>
      <c r="G1400" t="s">
        <v>105</v>
      </c>
      <c r="H1400" t="s">
        <v>45</v>
      </c>
      <c r="I1400" t="s">
        <v>109</v>
      </c>
      <c r="J1400" t="s">
        <v>54</v>
      </c>
      <c r="K1400" s="2">
        <v>2.5</v>
      </c>
      <c r="L1400" t="s">
        <v>152</v>
      </c>
      <c r="M1400" t="s">
        <v>34</v>
      </c>
      <c r="N1400" t="s">
        <v>40</v>
      </c>
      <c r="O1400" t="s">
        <v>26</v>
      </c>
      <c r="P1400" t="s">
        <v>26</v>
      </c>
      <c r="Q1400" s="3">
        <v>25</v>
      </c>
      <c r="R1400" t="s">
        <v>27</v>
      </c>
      <c r="S1400" t="s">
        <v>41</v>
      </c>
    </row>
    <row r="1401" spans="1:19" x14ac:dyDescent="0.25">
      <c r="A1401">
        <v>1400</v>
      </c>
      <c r="B1401">
        <v>19</v>
      </c>
      <c r="C1401" t="s">
        <v>19</v>
      </c>
      <c r="D1401" t="s">
        <v>124</v>
      </c>
      <c r="E1401" t="s">
        <v>69</v>
      </c>
      <c r="F1401" s="1">
        <v>81</v>
      </c>
      <c r="G1401" t="s">
        <v>145</v>
      </c>
      <c r="H1401" t="s">
        <v>45</v>
      </c>
      <c r="I1401" t="s">
        <v>79</v>
      </c>
      <c r="J1401" t="s">
        <v>25</v>
      </c>
      <c r="K1401" s="2">
        <v>3.1</v>
      </c>
      <c r="L1401" t="s">
        <v>152</v>
      </c>
      <c r="M1401" t="s">
        <v>34</v>
      </c>
      <c r="N1401" t="s">
        <v>76</v>
      </c>
      <c r="O1401" t="s">
        <v>26</v>
      </c>
      <c r="P1401" t="s">
        <v>26</v>
      </c>
      <c r="Q1401" s="3">
        <v>48</v>
      </c>
      <c r="R1401" t="s">
        <v>29</v>
      </c>
      <c r="S1401" t="s">
        <v>50</v>
      </c>
    </row>
    <row r="1402" spans="1:19" x14ac:dyDescent="0.25">
      <c r="A1402">
        <v>1401</v>
      </c>
      <c r="B1402">
        <v>36</v>
      </c>
      <c r="C1402" t="s">
        <v>19</v>
      </c>
      <c r="D1402" t="s">
        <v>132</v>
      </c>
      <c r="E1402" t="s">
        <v>69</v>
      </c>
      <c r="F1402" s="1">
        <v>23</v>
      </c>
      <c r="G1402" t="s">
        <v>107</v>
      </c>
      <c r="H1402" t="s">
        <v>45</v>
      </c>
      <c r="I1402" t="s">
        <v>108</v>
      </c>
      <c r="J1402" t="s">
        <v>58</v>
      </c>
      <c r="K1402" s="2">
        <v>3.6</v>
      </c>
      <c r="L1402" t="s">
        <v>152</v>
      </c>
      <c r="M1402" t="s">
        <v>29</v>
      </c>
      <c r="N1402" t="s">
        <v>47</v>
      </c>
      <c r="O1402" t="s">
        <v>26</v>
      </c>
      <c r="P1402" t="s">
        <v>26</v>
      </c>
      <c r="Q1402" s="3">
        <v>22</v>
      </c>
      <c r="R1402" t="s">
        <v>27</v>
      </c>
      <c r="S1402" t="s">
        <v>97</v>
      </c>
    </row>
    <row r="1403" spans="1:19" x14ac:dyDescent="0.25">
      <c r="A1403">
        <v>1402</v>
      </c>
      <c r="B1403">
        <v>23</v>
      </c>
      <c r="C1403" t="s">
        <v>19</v>
      </c>
      <c r="D1403" t="s">
        <v>42</v>
      </c>
      <c r="E1403" t="s">
        <v>43</v>
      </c>
      <c r="F1403" s="1">
        <v>59</v>
      </c>
      <c r="G1403" t="s">
        <v>116</v>
      </c>
      <c r="H1403" t="s">
        <v>45</v>
      </c>
      <c r="I1403" t="s">
        <v>144</v>
      </c>
      <c r="J1403" t="s">
        <v>58</v>
      </c>
      <c r="K1403" s="2">
        <v>3.5</v>
      </c>
      <c r="L1403" t="s">
        <v>152</v>
      </c>
      <c r="M1403" t="s">
        <v>35</v>
      </c>
      <c r="N1403" t="s">
        <v>72</v>
      </c>
      <c r="O1403" t="s">
        <v>26</v>
      </c>
      <c r="P1403" t="s">
        <v>26</v>
      </c>
      <c r="Q1403" s="3">
        <v>1</v>
      </c>
      <c r="R1403" t="s">
        <v>46</v>
      </c>
      <c r="S1403" t="s">
        <v>41</v>
      </c>
    </row>
    <row r="1404" spans="1:19" x14ac:dyDescent="0.25">
      <c r="A1404">
        <v>1403</v>
      </c>
      <c r="B1404">
        <v>62</v>
      </c>
      <c r="C1404" t="s">
        <v>19</v>
      </c>
      <c r="D1404" t="s">
        <v>89</v>
      </c>
      <c r="E1404" t="s">
        <v>69</v>
      </c>
      <c r="F1404" s="1">
        <v>21</v>
      </c>
      <c r="G1404" t="s">
        <v>114</v>
      </c>
      <c r="H1404" t="s">
        <v>23</v>
      </c>
      <c r="I1404" t="s">
        <v>53</v>
      </c>
      <c r="J1404" t="s">
        <v>54</v>
      </c>
      <c r="K1404" s="2">
        <v>3.1</v>
      </c>
      <c r="L1404" t="s">
        <v>152</v>
      </c>
      <c r="M1404" t="s">
        <v>34</v>
      </c>
      <c r="N1404" t="s">
        <v>28</v>
      </c>
      <c r="O1404" t="s">
        <v>26</v>
      </c>
      <c r="P1404" t="s">
        <v>26</v>
      </c>
      <c r="Q1404" s="3">
        <v>47</v>
      </c>
      <c r="R1404" t="s">
        <v>46</v>
      </c>
      <c r="S1404" t="s">
        <v>88</v>
      </c>
    </row>
    <row r="1405" spans="1:19" x14ac:dyDescent="0.25">
      <c r="A1405">
        <v>1404</v>
      </c>
      <c r="B1405">
        <v>26</v>
      </c>
      <c r="C1405" t="s">
        <v>19</v>
      </c>
      <c r="D1405" t="s">
        <v>132</v>
      </c>
      <c r="E1405" t="s">
        <v>69</v>
      </c>
      <c r="F1405" s="1">
        <v>20</v>
      </c>
      <c r="G1405" t="s">
        <v>142</v>
      </c>
      <c r="H1405" t="s">
        <v>45</v>
      </c>
      <c r="I1405" t="s">
        <v>100</v>
      </c>
      <c r="J1405" t="s">
        <v>39</v>
      </c>
      <c r="K1405" s="2">
        <v>3.6</v>
      </c>
      <c r="L1405" t="s">
        <v>152</v>
      </c>
      <c r="M1405" t="s">
        <v>34</v>
      </c>
      <c r="N1405" t="s">
        <v>76</v>
      </c>
      <c r="O1405" t="s">
        <v>26</v>
      </c>
      <c r="P1405" t="s">
        <v>26</v>
      </c>
      <c r="Q1405" s="3">
        <v>20</v>
      </c>
      <c r="R1405" t="s">
        <v>27</v>
      </c>
      <c r="S1405" t="s">
        <v>77</v>
      </c>
    </row>
    <row r="1406" spans="1:19" x14ac:dyDescent="0.25">
      <c r="A1406">
        <v>1405</v>
      </c>
      <c r="B1406">
        <v>36</v>
      </c>
      <c r="C1406" t="s">
        <v>19</v>
      </c>
      <c r="D1406" t="s">
        <v>106</v>
      </c>
      <c r="E1406" t="s">
        <v>69</v>
      </c>
      <c r="F1406" s="1">
        <v>28</v>
      </c>
      <c r="G1406" t="s">
        <v>130</v>
      </c>
      <c r="H1406" t="s">
        <v>45</v>
      </c>
      <c r="I1406" t="s">
        <v>63</v>
      </c>
      <c r="J1406" t="s">
        <v>25</v>
      </c>
      <c r="K1406" s="2">
        <v>3.5</v>
      </c>
      <c r="L1406" t="s">
        <v>152</v>
      </c>
      <c r="M1406" t="s">
        <v>29</v>
      </c>
      <c r="N1406" t="s">
        <v>47</v>
      </c>
      <c r="O1406" t="s">
        <v>26</v>
      </c>
      <c r="P1406" t="s">
        <v>26</v>
      </c>
      <c r="Q1406" s="3">
        <v>10</v>
      </c>
      <c r="R1406" t="s">
        <v>59</v>
      </c>
      <c r="S1406" t="s">
        <v>41</v>
      </c>
    </row>
    <row r="1407" spans="1:19" x14ac:dyDescent="0.25">
      <c r="A1407">
        <v>1406</v>
      </c>
      <c r="B1407">
        <v>33</v>
      </c>
      <c r="C1407" t="s">
        <v>19</v>
      </c>
      <c r="D1407" t="s">
        <v>125</v>
      </c>
      <c r="E1407" t="s">
        <v>21</v>
      </c>
      <c r="F1407" s="1">
        <v>100</v>
      </c>
      <c r="G1407" t="s">
        <v>83</v>
      </c>
      <c r="H1407" t="s">
        <v>45</v>
      </c>
      <c r="I1407" t="s">
        <v>100</v>
      </c>
      <c r="J1407" t="s">
        <v>25</v>
      </c>
      <c r="K1407" s="2">
        <v>2.7</v>
      </c>
      <c r="L1407" t="s">
        <v>152</v>
      </c>
      <c r="M1407" t="s">
        <v>35</v>
      </c>
      <c r="N1407" t="s">
        <v>76</v>
      </c>
      <c r="O1407" t="s">
        <v>26</v>
      </c>
      <c r="P1407" t="s">
        <v>26</v>
      </c>
      <c r="Q1407" s="3">
        <v>39</v>
      </c>
      <c r="R1407" t="s">
        <v>27</v>
      </c>
      <c r="S1407" t="s">
        <v>88</v>
      </c>
    </row>
    <row r="1408" spans="1:19" x14ac:dyDescent="0.25">
      <c r="A1408">
        <v>1407</v>
      </c>
      <c r="B1408">
        <v>32</v>
      </c>
      <c r="C1408" t="s">
        <v>19</v>
      </c>
      <c r="D1408" t="s">
        <v>56</v>
      </c>
      <c r="E1408" t="s">
        <v>21</v>
      </c>
      <c r="F1408" s="1">
        <v>46</v>
      </c>
      <c r="G1408" t="s">
        <v>149</v>
      </c>
      <c r="H1408" t="s">
        <v>23</v>
      </c>
      <c r="I1408" t="s">
        <v>49</v>
      </c>
      <c r="J1408" t="s">
        <v>39</v>
      </c>
      <c r="K1408" s="2">
        <v>3.6</v>
      </c>
      <c r="L1408" t="s">
        <v>152</v>
      </c>
      <c r="M1408" t="s">
        <v>29</v>
      </c>
      <c r="N1408" t="s">
        <v>28</v>
      </c>
      <c r="O1408" t="s">
        <v>26</v>
      </c>
      <c r="P1408" t="s">
        <v>26</v>
      </c>
      <c r="Q1408" s="3">
        <v>15</v>
      </c>
      <c r="R1408" t="s">
        <v>59</v>
      </c>
      <c r="S1408" t="s">
        <v>88</v>
      </c>
    </row>
    <row r="1409" spans="1:19" x14ac:dyDescent="0.25">
      <c r="A1409">
        <v>1408</v>
      </c>
      <c r="B1409">
        <v>56</v>
      </c>
      <c r="C1409" t="s">
        <v>19</v>
      </c>
      <c r="D1409" t="s">
        <v>68</v>
      </c>
      <c r="E1409" t="s">
        <v>69</v>
      </c>
      <c r="F1409" s="1">
        <v>61</v>
      </c>
      <c r="G1409" t="s">
        <v>107</v>
      </c>
      <c r="H1409" t="s">
        <v>92</v>
      </c>
      <c r="I1409" t="s">
        <v>63</v>
      </c>
      <c r="J1409" t="s">
        <v>39</v>
      </c>
      <c r="K1409" s="2">
        <v>4.5</v>
      </c>
      <c r="L1409" t="s">
        <v>152</v>
      </c>
      <c r="M1409" t="s">
        <v>35</v>
      </c>
      <c r="N1409" t="s">
        <v>28</v>
      </c>
      <c r="O1409" t="s">
        <v>26</v>
      </c>
      <c r="P1409" t="s">
        <v>26</v>
      </c>
      <c r="Q1409" s="3">
        <v>11</v>
      </c>
      <c r="R1409" t="s">
        <v>27</v>
      </c>
      <c r="S1409" t="s">
        <v>50</v>
      </c>
    </row>
    <row r="1410" spans="1:19" x14ac:dyDescent="0.25">
      <c r="A1410">
        <v>1409</v>
      </c>
      <c r="B1410">
        <v>58</v>
      </c>
      <c r="C1410" t="s">
        <v>19</v>
      </c>
      <c r="D1410" t="s">
        <v>20</v>
      </c>
      <c r="E1410" t="s">
        <v>21</v>
      </c>
      <c r="F1410" s="1">
        <v>58</v>
      </c>
      <c r="G1410" t="s">
        <v>32</v>
      </c>
      <c r="H1410" t="s">
        <v>45</v>
      </c>
      <c r="I1410" t="s">
        <v>134</v>
      </c>
      <c r="J1410" t="s">
        <v>25</v>
      </c>
      <c r="K1410" s="2">
        <v>4.0999999999999996</v>
      </c>
      <c r="L1410" t="s">
        <v>152</v>
      </c>
      <c r="M1410" t="s">
        <v>59</v>
      </c>
      <c r="N1410" t="s">
        <v>40</v>
      </c>
      <c r="O1410" t="s">
        <v>26</v>
      </c>
      <c r="P1410" t="s">
        <v>26</v>
      </c>
      <c r="Q1410" s="3">
        <v>38</v>
      </c>
      <c r="R1410" t="s">
        <v>29</v>
      </c>
      <c r="S1410" t="s">
        <v>41</v>
      </c>
    </row>
    <row r="1411" spans="1:19" x14ac:dyDescent="0.25">
      <c r="A1411">
        <v>1410</v>
      </c>
      <c r="B1411">
        <v>34</v>
      </c>
      <c r="C1411" t="s">
        <v>19</v>
      </c>
      <c r="D1411" t="s">
        <v>132</v>
      </c>
      <c r="E1411" t="s">
        <v>69</v>
      </c>
      <c r="F1411" s="1">
        <v>50</v>
      </c>
      <c r="G1411" t="s">
        <v>135</v>
      </c>
      <c r="H1411" t="s">
        <v>45</v>
      </c>
      <c r="I1411" t="s">
        <v>144</v>
      </c>
      <c r="J1411" t="s">
        <v>39</v>
      </c>
      <c r="K1411" s="2">
        <v>4.2</v>
      </c>
      <c r="L1411" t="s">
        <v>152</v>
      </c>
      <c r="M1411" t="s">
        <v>27</v>
      </c>
      <c r="N1411" t="s">
        <v>55</v>
      </c>
      <c r="O1411" t="s">
        <v>26</v>
      </c>
      <c r="P1411" t="s">
        <v>26</v>
      </c>
      <c r="Q1411" s="3">
        <v>41</v>
      </c>
      <c r="R1411" t="s">
        <v>35</v>
      </c>
      <c r="S1411" t="s">
        <v>30</v>
      </c>
    </row>
    <row r="1412" spans="1:19" x14ac:dyDescent="0.25">
      <c r="A1412">
        <v>1411</v>
      </c>
      <c r="B1412">
        <v>61</v>
      </c>
      <c r="C1412" t="s">
        <v>19</v>
      </c>
      <c r="D1412" t="s">
        <v>124</v>
      </c>
      <c r="E1412" t="s">
        <v>69</v>
      </c>
      <c r="F1412" s="1">
        <v>93</v>
      </c>
      <c r="G1412" t="s">
        <v>122</v>
      </c>
      <c r="H1412" t="s">
        <v>45</v>
      </c>
      <c r="I1412" t="s">
        <v>75</v>
      </c>
      <c r="J1412" t="s">
        <v>54</v>
      </c>
      <c r="K1412" s="2">
        <v>4</v>
      </c>
      <c r="L1412" t="s">
        <v>152</v>
      </c>
      <c r="M1412" t="s">
        <v>29</v>
      </c>
      <c r="N1412" t="s">
        <v>76</v>
      </c>
      <c r="O1412" t="s">
        <v>26</v>
      </c>
      <c r="P1412" t="s">
        <v>26</v>
      </c>
      <c r="Q1412" s="3">
        <v>18</v>
      </c>
      <c r="R1412" t="s">
        <v>59</v>
      </c>
      <c r="S1412" t="s">
        <v>50</v>
      </c>
    </row>
    <row r="1413" spans="1:19" x14ac:dyDescent="0.25">
      <c r="A1413">
        <v>1412</v>
      </c>
      <c r="B1413">
        <v>48</v>
      </c>
      <c r="C1413" t="s">
        <v>19</v>
      </c>
      <c r="D1413" t="s">
        <v>87</v>
      </c>
      <c r="E1413" t="s">
        <v>21</v>
      </c>
      <c r="F1413" s="1">
        <v>24</v>
      </c>
      <c r="G1413" t="s">
        <v>62</v>
      </c>
      <c r="H1413" t="s">
        <v>23</v>
      </c>
      <c r="I1413" t="s">
        <v>96</v>
      </c>
      <c r="J1413" t="s">
        <v>54</v>
      </c>
      <c r="K1413" s="2">
        <v>2.8</v>
      </c>
      <c r="L1413" t="s">
        <v>152</v>
      </c>
      <c r="M1413" t="s">
        <v>46</v>
      </c>
      <c r="N1413" t="s">
        <v>76</v>
      </c>
      <c r="O1413" t="s">
        <v>26</v>
      </c>
      <c r="P1413" t="s">
        <v>26</v>
      </c>
      <c r="Q1413" s="3">
        <v>13</v>
      </c>
      <c r="R1413" t="s">
        <v>29</v>
      </c>
      <c r="S1413" t="s">
        <v>60</v>
      </c>
    </row>
    <row r="1414" spans="1:19" x14ac:dyDescent="0.25">
      <c r="A1414">
        <v>1413</v>
      </c>
      <c r="B1414">
        <v>25</v>
      </c>
      <c r="C1414" t="s">
        <v>19</v>
      </c>
      <c r="D1414" t="s">
        <v>61</v>
      </c>
      <c r="E1414" t="s">
        <v>21</v>
      </c>
      <c r="F1414" s="1">
        <v>100</v>
      </c>
      <c r="G1414" t="s">
        <v>151</v>
      </c>
      <c r="H1414" t="s">
        <v>45</v>
      </c>
      <c r="I1414" t="s">
        <v>63</v>
      </c>
      <c r="J1414" t="s">
        <v>54</v>
      </c>
      <c r="K1414" s="2">
        <v>2.6</v>
      </c>
      <c r="L1414" t="s">
        <v>152</v>
      </c>
      <c r="M1414" t="s">
        <v>59</v>
      </c>
      <c r="N1414" t="s">
        <v>72</v>
      </c>
      <c r="O1414" t="s">
        <v>26</v>
      </c>
      <c r="P1414" t="s">
        <v>26</v>
      </c>
      <c r="Q1414" s="3">
        <v>43</v>
      </c>
      <c r="R1414" t="s">
        <v>29</v>
      </c>
      <c r="S1414" t="s">
        <v>50</v>
      </c>
    </row>
    <row r="1415" spans="1:19" x14ac:dyDescent="0.25">
      <c r="A1415">
        <v>1414</v>
      </c>
      <c r="B1415">
        <v>51</v>
      </c>
      <c r="C1415" t="s">
        <v>19</v>
      </c>
      <c r="D1415" t="s">
        <v>20</v>
      </c>
      <c r="E1415" t="s">
        <v>21</v>
      </c>
      <c r="F1415" s="1">
        <v>79</v>
      </c>
      <c r="G1415" t="s">
        <v>83</v>
      </c>
      <c r="H1415" t="s">
        <v>38</v>
      </c>
      <c r="I1415" t="s">
        <v>126</v>
      </c>
      <c r="J1415" t="s">
        <v>58</v>
      </c>
      <c r="K1415" s="2">
        <v>2.7</v>
      </c>
      <c r="L1415" t="s">
        <v>152</v>
      </c>
      <c r="M1415" t="s">
        <v>29</v>
      </c>
      <c r="N1415" t="s">
        <v>76</v>
      </c>
      <c r="O1415" t="s">
        <v>26</v>
      </c>
      <c r="P1415" t="s">
        <v>26</v>
      </c>
      <c r="Q1415" s="3">
        <v>12</v>
      </c>
      <c r="R1415" t="s">
        <v>34</v>
      </c>
      <c r="S1415" t="s">
        <v>60</v>
      </c>
    </row>
    <row r="1416" spans="1:19" x14ac:dyDescent="0.25">
      <c r="A1416">
        <v>1415</v>
      </c>
      <c r="B1416">
        <v>29</v>
      </c>
      <c r="C1416" t="s">
        <v>19</v>
      </c>
      <c r="D1416" t="s">
        <v>125</v>
      </c>
      <c r="E1416" t="s">
        <v>21</v>
      </c>
      <c r="F1416" s="1">
        <v>51</v>
      </c>
      <c r="G1416" t="s">
        <v>148</v>
      </c>
      <c r="H1416" t="s">
        <v>45</v>
      </c>
      <c r="I1416" t="s">
        <v>94</v>
      </c>
      <c r="J1416" t="s">
        <v>54</v>
      </c>
      <c r="K1416" s="2">
        <v>4.5</v>
      </c>
      <c r="L1416" t="s">
        <v>152</v>
      </c>
      <c r="M1416" t="s">
        <v>59</v>
      </c>
      <c r="N1416" t="s">
        <v>76</v>
      </c>
      <c r="O1416" t="s">
        <v>26</v>
      </c>
      <c r="P1416" t="s">
        <v>26</v>
      </c>
      <c r="Q1416" s="3">
        <v>3</v>
      </c>
      <c r="R1416" t="s">
        <v>27</v>
      </c>
      <c r="S1416" t="s">
        <v>77</v>
      </c>
    </row>
    <row r="1417" spans="1:19" x14ac:dyDescent="0.25">
      <c r="A1417">
        <v>1416</v>
      </c>
      <c r="B1417">
        <v>54</v>
      </c>
      <c r="C1417" t="s">
        <v>19</v>
      </c>
      <c r="D1417" t="s">
        <v>133</v>
      </c>
      <c r="E1417" t="s">
        <v>69</v>
      </c>
      <c r="F1417" s="1">
        <v>90</v>
      </c>
      <c r="G1417" t="s">
        <v>115</v>
      </c>
      <c r="H1417" t="s">
        <v>45</v>
      </c>
      <c r="I1417" t="s">
        <v>144</v>
      </c>
      <c r="J1417" t="s">
        <v>25</v>
      </c>
      <c r="K1417" s="2">
        <v>3.7</v>
      </c>
      <c r="L1417" t="s">
        <v>152</v>
      </c>
      <c r="M1417" t="s">
        <v>34</v>
      </c>
      <c r="N1417" t="s">
        <v>40</v>
      </c>
      <c r="O1417" t="s">
        <v>26</v>
      </c>
      <c r="P1417" t="s">
        <v>26</v>
      </c>
      <c r="Q1417" s="3">
        <v>12</v>
      </c>
      <c r="R1417" t="s">
        <v>27</v>
      </c>
      <c r="S1417" t="s">
        <v>97</v>
      </c>
    </row>
    <row r="1418" spans="1:19" x14ac:dyDescent="0.25">
      <c r="A1418">
        <v>1417</v>
      </c>
      <c r="B1418">
        <v>48</v>
      </c>
      <c r="C1418" t="s">
        <v>19</v>
      </c>
      <c r="D1418" t="s">
        <v>137</v>
      </c>
      <c r="E1418" t="s">
        <v>43</v>
      </c>
      <c r="F1418" s="1">
        <v>56</v>
      </c>
      <c r="G1418" t="s">
        <v>135</v>
      </c>
      <c r="H1418" t="s">
        <v>23</v>
      </c>
      <c r="I1418" t="s">
        <v>67</v>
      </c>
      <c r="J1418" t="s">
        <v>54</v>
      </c>
      <c r="K1418" s="2">
        <v>3.4</v>
      </c>
      <c r="L1418" t="s">
        <v>152</v>
      </c>
      <c r="M1418" t="s">
        <v>46</v>
      </c>
      <c r="N1418" t="s">
        <v>40</v>
      </c>
      <c r="O1418" t="s">
        <v>26</v>
      </c>
      <c r="P1418" t="s">
        <v>26</v>
      </c>
      <c r="Q1418" s="3">
        <v>46</v>
      </c>
      <c r="R1418" t="s">
        <v>35</v>
      </c>
      <c r="S1418" t="s">
        <v>60</v>
      </c>
    </row>
    <row r="1419" spans="1:19" x14ac:dyDescent="0.25">
      <c r="A1419">
        <v>1418</v>
      </c>
      <c r="B1419">
        <v>62</v>
      </c>
      <c r="C1419" t="s">
        <v>19</v>
      </c>
      <c r="D1419" t="s">
        <v>61</v>
      </c>
      <c r="E1419" t="s">
        <v>21</v>
      </c>
      <c r="F1419" s="1">
        <v>25</v>
      </c>
      <c r="G1419" t="s">
        <v>57</v>
      </c>
      <c r="H1419" t="s">
        <v>38</v>
      </c>
      <c r="I1419" t="s">
        <v>110</v>
      </c>
      <c r="J1419" t="s">
        <v>39</v>
      </c>
      <c r="K1419" s="2">
        <v>4.5999999999999996</v>
      </c>
      <c r="L1419" t="s">
        <v>152</v>
      </c>
      <c r="M1419" t="s">
        <v>35</v>
      </c>
      <c r="N1419" t="s">
        <v>55</v>
      </c>
      <c r="O1419" t="s">
        <v>26</v>
      </c>
      <c r="P1419" t="s">
        <v>26</v>
      </c>
      <c r="Q1419" s="3">
        <v>21</v>
      </c>
      <c r="R1419" t="s">
        <v>59</v>
      </c>
      <c r="S1419" t="s">
        <v>30</v>
      </c>
    </row>
    <row r="1420" spans="1:19" x14ac:dyDescent="0.25">
      <c r="A1420">
        <v>1419</v>
      </c>
      <c r="B1420">
        <v>18</v>
      </c>
      <c r="C1420" t="s">
        <v>19</v>
      </c>
      <c r="D1420" t="s">
        <v>56</v>
      </c>
      <c r="E1420" t="s">
        <v>21</v>
      </c>
      <c r="F1420" s="1">
        <v>75</v>
      </c>
      <c r="G1420" t="s">
        <v>90</v>
      </c>
      <c r="H1420" t="s">
        <v>45</v>
      </c>
      <c r="I1420" t="s">
        <v>84</v>
      </c>
      <c r="J1420" t="s">
        <v>54</v>
      </c>
      <c r="K1420" s="2">
        <v>4.0999999999999996</v>
      </c>
      <c r="L1420" t="s">
        <v>152</v>
      </c>
      <c r="M1420" t="s">
        <v>34</v>
      </c>
      <c r="N1420" t="s">
        <v>72</v>
      </c>
      <c r="O1420" t="s">
        <v>26</v>
      </c>
      <c r="P1420" t="s">
        <v>26</v>
      </c>
      <c r="Q1420" s="3">
        <v>23</v>
      </c>
      <c r="R1420" t="s">
        <v>29</v>
      </c>
      <c r="S1420" t="s">
        <v>97</v>
      </c>
    </row>
    <row r="1421" spans="1:19" x14ac:dyDescent="0.25">
      <c r="A1421">
        <v>1420</v>
      </c>
      <c r="B1421">
        <v>43</v>
      </c>
      <c r="C1421" t="s">
        <v>19</v>
      </c>
      <c r="D1421" t="s">
        <v>68</v>
      </c>
      <c r="E1421" t="s">
        <v>69</v>
      </c>
      <c r="F1421" s="1">
        <v>75</v>
      </c>
      <c r="G1421" t="s">
        <v>57</v>
      </c>
      <c r="H1421" t="s">
        <v>45</v>
      </c>
      <c r="I1421" t="s">
        <v>121</v>
      </c>
      <c r="J1421" t="s">
        <v>54</v>
      </c>
      <c r="K1421" s="2">
        <v>2.6</v>
      </c>
      <c r="L1421" t="s">
        <v>152</v>
      </c>
      <c r="M1421" t="s">
        <v>59</v>
      </c>
      <c r="N1421" t="s">
        <v>40</v>
      </c>
      <c r="O1421" t="s">
        <v>26</v>
      </c>
      <c r="P1421" t="s">
        <v>26</v>
      </c>
      <c r="Q1421" s="3">
        <v>4</v>
      </c>
      <c r="R1421" t="s">
        <v>59</v>
      </c>
      <c r="S1421" t="s">
        <v>60</v>
      </c>
    </row>
    <row r="1422" spans="1:19" x14ac:dyDescent="0.25">
      <c r="A1422">
        <v>1421</v>
      </c>
      <c r="B1422">
        <v>22</v>
      </c>
      <c r="C1422" t="s">
        <v>19</v>
      </c>
      <c r="D1422" t="s">
        <v>36</v>
      </c>
      <c r="E1422" t="s">
        <v>21</v>
      </c>
      <c r="F1422" s="1">
        <v>53</v>
      </c>
      <c r="G1422" t="s">
        <v>99</v>
      </c>
      <c r="H1422" t="s">
        <v>92</v>
      </c>
      <c r="I1422" t="s">
        <v>24</v>
      </c>
      <c r="J1422" t="s">
        <v>54</v>
      </c>
      <c r="K1422" s="2">
        <v>4.5999999999999996</v>
      </c>
      <c r="L1422" t="s">
        <v>152</v>
      </c>
      <c r="M1422" t="s">
        <v>35</v>
      </c>
      <c r="N1422" t="s">
        <v>76</v>
      </c>
      <c r="O1422" t="s">
        <v>26</v>
      </c>
      <c r="P1422" t="s">
        <v>26</v>
      </c>
      <c r="Q1422" s="3">
        <v>45</v>
      </c>
      <c r="R1422" t="s">
        <v>46</v>
      </c>
      <c r="S1422" t="s">
        <v>97</v>
      </c>
    </row>
    <row r="1423" spans="1:19" x14ac:dyDescent="0.25">
      <c r="A1423">
        <v>1422</v>
      </c>
      <c r="B1423">
        <v>68</v>
      </c>
      <c r="C1423" t="s">
        <v>19</v>
      </c>
      <c r="D1423" t="s">
        <v>82</v>
      </c>
      <c r="E1423" t="s">
        <v>21</v>
      </c>
      <c r="F1423" s="1">
        <v>100</v>
      </c>
      <c r="G1423" t="s">
        <v>138</v>
      </c>
      <c r="H1423" t="s">
        <v>38</v>
      </c>
      <c r="I1423" t="s">
        <v>81</v>
      </c>
      <c r="J1423" t="s">
        <v>39</v>
      </c>
      <c r="K1423" s="2">
        <v>3</v>
      </c>
      <c r="L1423" t="s">
        <v>152</v>
      </c>
      <c r="M1423" t="s">
        <v>27</v>
      </c>
      <c r="N1423" t="s">
        <v>55</v>
      </c>
      <c r="O1423" t="s">
        <v>26</v>
      </c>
      <c r="P1423" t="s">
        <v>26</v>
      </c>
      <c r="Q1423" s="3">
        <v>24</v>
      </c>
      <c r="R1423" t="s">
        <v>34</v>
      </c>
      <c r="S1423" t="s">
        <v>30</v>
      </c>
    </row>
    <row r="1424" spans="1:19" x14ac:dyDescent="0.25">
      <c r="A1424">
        <v>1423</v>
      </c>
      <c r="B1424">
        <v>44</v>
      </c>
      <c r="C1424" t="s">
        <v>19</v>
      </c>
      <c r="D1424" t="s">
        <v>82</v>
      </c>
      <c r="E1424" t="s">
        <v>21</v>
      </c>
      <c r="F1424" s="1">
        <v>27</v>
      </c>
      <c r="G1424" t="s">
        <v>105</v>
      </c>
      <c r="H1424" t="s">
        <v>23</v>
      </c>
      <c r="I1424" t="s">
        <v>63</v>
      </c>
      <c r="J1424" t="s">
        <v>58</v>
      </c>
      <c r="K1424" s="2">
        <v>3.4</v>
      </c>
      <c r="L1424" t="s">
        <v>152</v>
      </c>
      <c r="M1424" t="s">
        <v>46</v>
      </c>
      <c r="N1424" t="s">
        <v>40</v>
      </c>
      <c r="O1424" t="s">
        <v>26</v>
      </c>
      <c r="P1424" t="s">
        <v>26</v>
      </c>
      <c r="Q1424" s="3">
        <v>3</v>
      </c>
      <c r="R1424" t="s">
        <v>46</v>
      </c>
      <c r="S1424" t="s">
        <v>77</v>
      </c>
    </row>
    <row r="1425" spans="1:19" x14ac:dyDescent="0.25">
      <c r="A1425">
        <v>1424</v>
      </c>
      <c r="B1425">
        <v>51</v>
      </c>
      <c r="C1425" t="s">
        <v>19</v>
      </c>
      <c r="D1425" t="s">
        <v>42</v>
      </c>
      <c r="E1425" t="s">
        <v>43</v>
      </c>
      <c r="F1425" s="1">
        <v>60</v>
      </c>
      <c r="G1425" t="s">
        <v>151</v>
      </c>
      <c r="H1425" t="s">
        <v>38</v>
      </c>
      <c r="I1425" t="s">
        <v>94</v>
      </c>
      <c r="J1425" t="s">
        <v>58</v>
      </c>
      <c r="K1425" s="2">
        <v>3.5</v>
      </c>
      <c r="L1425" t="s">
        <v>152</v>
      </c>
      <c r="M1425" t="s">
        <v>46</v>
      </c>
      <c r="N1425" t="s">
        <v>40</v>
      </c>
      <c r="O1425" t="s">
        <v>26</v>
      </c>
      <c r="P1425" t="s">
        <v>26</v>
      </c>
      <c r="Q1425" s="3">
        <v>12</v>
      </c>
      <c r="R1425" t="s">
        <v>29</v>
      </c>
      <c r="S1425" t="s">
        <v>97</v>
      </c>
    </row>
    <row r="1426" spans="1:19" x14ac:dyDescent="0.25">
      <c r="A1426">
        <v>1425</v>
      </c>
      <c r="B1426">
        <v>66</v>
      </c>
      <c r="C1426" t="s">
        <v>19</v>
      </c>
      <c r="D1426" t="s">
        <v>102</v>
      </c>
      <c r="E1426" t="s">
        <v>65</v>
      </c>
      <c r="F1426" s="1">
        <v>23</v>
      </c>
      <c r="G1426" t="s">
        <v>139</v>
      </c>
      <c r="H1426" t="s">
        <v>38</v>
      </c>
      <c r="I1426" t="s">
        <v>126</v>
      </c>
      <c r="J1426" t="s">
        <v>58</v>
      </c>
      <c r="K1426" s="2">
        <v>3.5</v>
      </c>
      <c r="L1426" t="s">
        <v>152</v>
      </c>
      <c r="M1426" t="s">
        <v>35</v>
      </c>
      <c r="N1426" t="s">
        <v>55</v>
      </c>
      <c r="O1426" t="s">
        <v>26</v>
      </c>
      <c r="P1426" t="s">
        <v>26</v>
      </c>
      <c r="Q1426" s="3">
        <v>34</v>
      </c>
      <c r="R1426" t="s">
        <v>34</v>
      </c>
      <c r="S1426" t="s">
        <v>97</v>
      </c>
    </row>
    <row r="1427" spans="1:19" x14ac:dyDescent="0.25">
      <c r="A1427">
        <v>1426</v>
      </c>
      <c r="B1427">
        <v>59</v>
      </c>
      <c r="C1427" t="s">
        <v>19</v>
      </c>
      <c r="D1427" t="s">
        <v>64</v>
      </c>
      <c r="E1427" t="s">
        <v>65</v>
      </c>
      <c r="F1427" s="1">
        <v>40</v>
      </c>
      <c r="G1427" t="s">
        <v>52</v>
      </c>
      <c r="H1427" t="s">
        <v>38</v>
      </c>
      <c r="I1427" t="s">
        <v>53</v>
      </c>
      <c r="J1427" t="s">
        <v>25</v>
      </c>
      <c r="K1427" s="2">
        <v>3.7</v>
      </c>
      <c r="L1427" t="s">
        <v>152</v>
      </c>
      <c r="M1427" t="s">
        <v>59</v>
      </c>
      <c r="N1427" t="s">
        <v>47</v>
      </c>
      <c r="O1427" t="s">
        <v>26</v>
      </c>
      <c r="P1427" t="s">
        <v>26</v>
      </c>
      <c r="Q1427" s="3">
        <v>39</v>
      </c>
      <c r="R1427" t="s">
        <v>27</v>
      </c>
      <c r="S1427" t="s">
        <v>50</v>
      </c>
    </row>
    <row r="1428" spans="1:19" x14ac:dyDescent="0.25">
      <c r="A1428">
        <v>1427</v>
      </c>
      <c r="B1428">
        <v>60</v>
      </c>
      <c r="C1428" t="s">
        <v>19</v>
      </c>
      <c r="D1428" t="s">
        <v>95</v>
      </c>
      <c r="E1428" t="s">
        <v>21</v>
      </c>
      <c r="F1428" s="1">
        <v>38</v>
      </c>
      <c r="G1428" t="s">
        <v>151</v>
      </c>
      <c r="H1428" t="s">
        <v>45</v>
      </c>
      <c r="I1428" t="s">
        <v>134</v>
      </c>
      <c r="J1428" t="s">
        <v>54</v>
      </c>
      <c r="K1428" s="2">
        <v>4.8</v>
      </c>
      <c r="L1428" t="s">
        <v>152</v>
      </c>
      <c r="M1428" t="s">
        <v>27</v>
      </c>
      <c r="N1428" t="s">
        <v>40</v>
      </c>
      <c r="O1428" t="s">
        <v>26</v>
      </c>
      <c r="P1428" t="s">
        <v>26</v>
      </c>
      <c r="Q1428" s="3">
        <v>35</v>
      </c>
      <c r="R1428" t="s">
        <v>46</v>
      </c>
      <c r="S1428" t="s">
        <v>97</v>
      </c>
    </row>
    <row r="1429" spans="1:19" x14ac:dyDescent="0.25">
      <c r="A1429">
        <v>1428</v>
      </c>
      <c r="B1429">
        <v>31</v>
      </c>
      <c r="C1429" t="s">
        <v>19</v>
      </c>
      <c r="D1429" t="s">
        <v>132</v>
      </c>
      <c r="E1429" t="s">
        <v>69</v>
      </c>
      <c r="F1429" s="1">
        <v>90</v>
      </c>
      <c r="G1429" t="s">
        <v>147</v>
      </c>
      <c r="H1429" t="s">
        <v>38</v>
      </c>
      <c r="I1429" t="s">
        <v>121</v>
      </c>
      <c r="J1429" t="s">
        <v>54</v>
      </c>
      <c r="K1429" s="2">
        <v>4.9000000000000004</v>
      </c>
      <c r="L1429" t="s">
        <v>152</v>
      </c>
      <c r="M1429" t="s">
        <v>46</v>
      </c>
      <c r="N1429" t="s">
        <v>76</v>
      </c>
      <c r="O1429" t="s">
        <v>26</v>
      </c>
      <c r="P1429" t="s">
        <v>26</v>
      </c>
      <c r="Q1429" s="3">
        <v>8</v>
      </c>
      <c r="R1429" t="s">
        <v>27</v>
      </c>
      <c r="S1429" t="s">
        <v>50</v>
      </c>
    </row>
    <row r="1430" spans="1:19" x14ac:dyDescent="0.25">
      <c r="A1430">
        <v>1429</v>
      </c>
      <c r="B1430">
        <v>20</v>
      </c>
      <c r="C1430" t="s">
        <v>19</v>
      </c>
      <c r="D1430" t="s">
        <v>20</v>
      </c>
      <c r="E1430" t="s">
        <v>21</v>
      </c>
      <c r="F1430" s="1">
        <v>97</v>
      </c>
      <c r="G1430" t="s">
        <v>114</v>
      </c>
      <c r="H1430" t="s">
        <v>38</v>
      </c>
      <c r="I1430" t="s">
        <v>96</v>
      </c>
      <c r="J1430" t="s">
        <v>54</v>
      </c>
      <c r="K1430" s="2">
        <v>4.9000000000000004</v>
      </c>
      <c r="L1430" t="s">
        <v>152</v>
      </c>
      <c r="M1430" t="s">
        <v>59</v>
      </c>
      <c r="N1430" t="s">
        <v>28</v>
      </c>
      <c r="O1430" t="s">
        <v>26</v>
      </c>
      <c r="P1430" t="s">
        <v>26</v>
      </c>
      <c r="Q1430" s="3">
        <v>42</v>
      </c>
      <c r="R1430" t="s">
        <v>46</v>
      </c>
      <c r="S1430" t="s">
        <v>60</v>
      </c>
    </row>
    <row r="1431" spans="1:19" x14ac:dyDescent="0.25">
      <c r="A1431">
        <v>1430</v>
      </c>
      <c r="B1431">
        <v>24</v>
      </c>
      <c r="C1431" t="s">
        <v>19</v>
      </c>
      <c r="D1431" t="s">
        <v>87</v>
      </c>
      <c r="E1431" t="s">
        <v>21</v>
      </c>
      <c r="F1431" s="1">
        <v>38</v>
      </c>
      <c r="G1431" t="s">
        <v>128</v>
      </c>
      <c r="H1431" t="s">
        <v>23</v>
      </c>
      <c r="I1431" t="s">
        <v>81</v>
      </c>
      <c r="J1431" t="s">
        <v>58</v>
      </c>
      <c r="K1431" s="2">
        <v>4.7</v>
      </c>
      <c r="L1431" t="s">
        <v>152</v>
      </c>
      <c r="M1431" t="s">
        <v>29</v>
      </c>
      <c r="N1431" t="s">
        <v>55</v>
      </c>
      <c r="O1431" t="s">
        <v>26</v>
      </c>
      <c r="P1431" t="s">
        <v>26</v>
      </c>
      <c r="Q1431" s="3">
        <v>6</v>
      </c>
      <c r="R1431" t="s">
        <v>27</v>
      </c>
      <c r="S1431" t="s">
        <v>97</v>
      </c>
    </row>
    <row r="1432" spans="1:19" x14ac:dyDescent="0.25">
      <c r="A1432">
        <v>1431</v>
      </c>
      <c r="B1432">
        <v>48</v>
      </c>
      <c r="C1432" t="s">
        <v>19</v>
      </c>
      <c r="D1432" t="s">
        <v>42</v>
      </c>
      <c r="E1432" t="s">
        <v>43</v>
      </c>
      <c r="F1432" s="1">
        <v>30</v>
      </c>
      <c r="G1432" t="s">
        <v>151</v>
      </c>
      <c r="H1432" t="s">
        <v>38</v>
      </c>
      <c r="I1432" t="s">
        <v>121</v>
      </c>
      <c r="J1432" t="s">
        <v>54</v>
      </c>
      <c r="K1432" s="2">
        <v>4.9000000000000004</v>
      </c>
      <c r="L1432" t="s">
        <v>152</v>
      </c>
      <c r="M1432" t="s">
        <v>46</v>
      </c>
      <c r="N1432" t="s">
        <v>40</v>
      </c>
      <c r="O1432" t="s">
        <v>26</v>
      </c>
      <c r="P1432" t="s">
        <v>26</v>
      </c>
      <c r="Q1432" s="3">
        <v>3</v>
      </c>
      <c r="R1432" t="s">
        <v>27</v>
      </c>
      <c r="S1432" t="s">
        <v>30</v>
      </c>
    </row>
    <row r="1433" spans="1:19" x14ac:dyDescent="0.25">
      <c r="A1433">
        <v>1432</v>
      </c>
      <c r="B1433">
        <v>39</v>
      </c>
      <c r="C1433" t="s">
        <v>19</v>
      </c>
      <c r="D1433" t="s">
        <v>95</v>
      </c>
      <c r="E1433" t="s">
        <v>21</v>
      </c>
      <c r="F1433" s="1">
        <v>88</v>
      </c>
      <c r="G1433" t="s">
        <v>147</v>
      </c>
      <c r="H1433" t="s">
        <v>45</v>
      </c>
      <c r="I1433" t="s">
        <v>109</v>
      </c>
      <c r="J1433" t="s">
        <v>58</v>
      </c>
      <c r="K1433" s="2">
        <v>2.9</v>
      </c>
      <c r="L1433" t="s">
        <v>152</v>
      </c>
      <c r="M1433" t="s">
        <v>34</v>
      </c>
      <c r="N1433" t="s">
        <v>28</v>
      </c>
      <c r="O1433" t="s">
        <v>26</v>
      </c>
      <c r="P1433" t="s">
        <v>26</v>
      </c>
      <c r="Q1433" s="3">
        <v>29</v>
      </c>
      <c r="R1433" t="s">
        <v>29</v>
      </c>
      <c r="S1433" t="s">
        <v>60</v>
      </c>
    </row>
    <row r="1434" spans="1:19" x14ac:dyDescent="0.25">
      <c r="A1434">
        <v>1433</v>
      </c>
      <c r="B1434">
        <v>34</v>
      </c>
      <c r="C1434" t="s">
        <v>19</v>
      </c>
      <c r="D1434" t="s">
        <v>124</v>
      </c>
      <c r="E1434" t="s">
        <v>69</v>
      </c>
      <c r="F1434" s="1">
        <v>33</v>
      </c>
      <c r="G1434" t="s">
        <v>103</v>
      </c>
      <c r="H1434" t="s">
        <v>23</v>
      </c>
      <c r="I1434" t="s">
        <v>94</v>
      </c>
      <c r="J1434" t="s">
        <v>25</v>
      </c>
      <c r="K1434" s="2">
        <v>4.4000000000000004</v>
      </c>
      <c r="L1434" t="s">
        <v>152</v>
      </c>
      <c r="M1434" t="s">
        <v>35</v>
      </c>
      <c r="N1434" t="s">
        <v>28</v>
      </c>
      <c r="O1434" t="s">
        <v>26</v>
      </c>
      <c r="P1434" t="s">
        <v>26</v>
      </c>
      <c r="Q1434" s="3">
        <v>32</v>
      </c>
      <c r="R1434" t="s">
        <v>59</v>
      </c>
      <c r="S1434" t="s">
        <v>60</v>
      </c>
    </row>
    <row r="1435" spans="1:19" x14ac:dyDescent="0.25">
      <c r="A1435">
        <v>1434</v>
      </c>
      <c r="B1435">
        <v>70</v>
      </c>
      <c r="C1435" t="s">
        <v>19</v>
      </c>
      <c r="D1435" t="s">
        <v>104</v>
      </c>
      <c r="E1435" t="s">
        <v>21</v>
      </c>
      <c r="F1435" s="1">
        <v>60</v>
      </c>
      <c r="G1435" t="s">
        <v>148</v>
      </c>
      <c r="H1435" t="s">
        <v>23</v>
      </c>
      <c r="I1435" t="s">
        <v>134</v>
      </c>
      <c r="J1435" t="s">
        <v>25</v>
      </c>
      <c r="K1435" s="2">
        <v>3.2</v>
      </c>
      <c r="L1435" t="s">
        <v>152</v>
      </c>
      <c r="M1435" t="s">
        <v>29</v>
      </c>
      <c r="N1435" t="s">
        <v>47</v>
      </c>
      <c r="O1435" t="s">
        <v>26</v>
      </c>
      <c r="P1435" t="s">
        <v>26</v>
      </c>
      <c r="Q1435" s="3">
        <v>45</v>
      </c>
      <c r="R1435" t="s">
        <v>59</v>
      </c>
      <c r="S1435" t="s">
        <v>41</v>
      </c>
    </row>
    <row r="1436" spans="1:19" x14ac:dyDescent="0.25">
      <c r="A1436">
        <v>1435</v>
      </c>
      <c r="B1436">
        <v>59</v>
      </c>
      <c r="C1436" t="s">
        <v>19</v>
      </c>
      <c r="D1436" t="s">
        <v>31</v>
      </c>
      <c r="E1436" t="s">
        <v>21</v>
      </c>
      <c r="F1436" s="1">
        <v>64</v>
      </c>
      <c r="G1436" t="s">
        <v>85</v>
      </c>
      <c r="H1436" t="s">
        <v>23</v>
      </c>
      <c r="I1436" t="s">
        <v>33</v>
      </c>
      <c r="J1436" t="s">
        <v>54</v>
      </c>
      <c r="K1436" s="2">
        <v>4.5999999999999996</v>
      </c>
      <c r="L1436" t="s">
        <v>152</v>
      </c>
      <c r="M1436" t="s">
        <v>46</v>
      </c>
      <c r="N1436" t="s">
        <v>40</v>
      </c>
      <c r="O1436" t="s">
        <v>26</v>
      </c>
      <c r="P1436" t="s">
        <v>26</v>
      </c>
      <c r="Q1436" s="3">
        <v>21</v>
      </c>
      <c r="R1436" t="s">
        <v>59</v>
      </c>
      <c r="S1436" t="s">
        <v>77</v>
      </c>
    </row>
    <row r="1437" spans="1:19" x14ac:dyDescent="0.25">
      <c r="A1437">
        <v>1436</v>
      </c>
      <c r="B1437">
        <v>45</v>
      </c>
      <c r="C1437" t="s">
        <v>19</v>
      </c>
      <c r="D1437" t="s">
        <v>119</v>
      </c>
      <c r="E1437" t="s">
        <v>69</v>
      </c>
      <c r="F1437" s="1">
        <v>95</v>
      </c>
      <c r="G1437" t="s">
        <v>48</v>
      </c>
      <c r="H1437" t="s">
        <v>92</v>
      </c>
      <c r="I1437" t="s">
        <v>94</v>
      </c>
      <c r="J1437" t="s">
        <v>58</v>
      </c>
      <c r="K1437" s="2">
        <v>4</v>
      </c>
      <c r="L1437" t="s">
        <v>152</v>
      </c>
      <c r="M1437" t="s">
        <v>59</v>
      </c>
      <c r="N1437" t="s">
        <v>55</v>
      </c>
      <c r="O1437" t="s">
        <v>26</v>
      </c>
      <c r="P1437" t="s">
        <v>26</v>
      </c>
      <c r="Q1437" s="3">
        <v>41</v>
      </c>
      <c r="R1437" t="s">
        <v>35</v>
      </c>
      <c r="S1437" t="s">
        <v>41</v>
      </c>
    </row>
    <row r="1438" spans="1:19" x14ac:dyDescent="0.25">
      <c r="A1438">
        <v>1437</v>
      </c>
      <c r="B1438">
        <v>35</v>
      </c>
      <c r="C1438" t="s">
        <v>19</v>
      </c>
      <c r="D1438" t="s">
        <v>51</v>
      </c>
      <c r="E1438" t="s">
        <v>43</v>
      </c>
      <c r="F1438" s="1">
        <v>83</v>
      </c>
      <c r="G1438" t="s">
        <v>148</v>
      </c>
      <c r="H1438" t="s">
        <v>45</v>
      </c>
      <c r="I1438" t="s">
        <v>24</v>
      </c>
      <c r="J1438" t="s">
        <v>25</v>
      </c>
      <c r="K1438" s="2">
        <v>3.7</v>
      </c>
      <c r="L1438" t="s">
        <v>152</v>
      </c>
      <c r="M1438" t="s">
        <v>29</v>
      </c>
      <c r="N1438" t="s">
        <v>40</v>
      </c>
      <c r="O1438" t="s">
        <v>26</v>
      </c>
      <c r="P1438" t="s">
        <v>26</v>
      </c>
      <c r="Q1438" s="3">
        <v>23</v>
      </c>
      <c r="R1438" t="s">
        <v>46</v>
      </c>
      <c r="S1438" t="s">
        <v>30</v>
      </c>
    </row>
    <row r="1439" spans="1:19" x14ac:dyDescent="0.25">
      <c r="A1439">
        <v>1438</v>
      </c>
      <c r="B1439">
        <v>69</v>
      </c>
      <c r="C1439" t="s">
        <v>19</v>
      </c>
      <c r="D1439" t="s">
        <v>137</v>
      </c>
      <c r="E1439" t="s">
        <v>43</v>
      </c>
      <c r="F1439" s="1">
        <v>97</v>
      </c>
      <c r="G1439" t="s">
        <v>57</v>
      </c>
      <c r="H1439" t="s">
        <v>92</v>
      </c>
      <c r="I1439" t="s">
        <v>121</v>
      </c>
      <c r="J1439" t="s">
        <v>25</v>
      </c>
      <c r="K1439" s="2">
        <v>4.2</v>
      </c>
      <c r="L1439" t="s">
        <v>152</v>
      </c>
      <c r="M1439" t="s">
        <v>59</v>
      </c>
      <c r="N1439" t="s">
        <v>40</v>
      </c>
      <c r="O1439" t="s">
        <v>26</v>
      </c>
      <c r="P1439" t="s">
        <v>26</v>
      </c>
      <c r="Q1439" s="3">
        <v>14</v>
      </c>
      <c r="R1439" t="s">
        <v>35</v>
      </c>
      <c r="S1439" t="s">
        <v>50</v>
      </c>
    </row>
    <row r="1440" spans="1:19" x14ac:dyDescent="0.25">
      <c r="A1440">
        <v>1439</v>
      </c>
      <c r="B1440">
        <v>58</v>
      </c>
      <c r="C1440" t="s">
        <v>19</v>
      </c>
      <c r="D1440" t="s">
        <v>64</v>
      </c>
      <c r="E1440" t="s">
        <v>65</v>
      </c>
      <c r="F1440" s="1">
        <v>38</v>
      </c>
      <c r="G1440" t="s">
        <v>149</v>
      </c>
      <c r="H1440" t="s">
        <v>45</v>
      </c>
      <c r="I1440" t="s">
        <v>109</v>
      </c>
      <c r="J1440" t="s">
        <v>39</v>
      </c>
      <c r="K1440" s="2">
        <v>2.9</v>
      </c>
      <c r="L1440" t="s">
        <v>152</v>
      </c>
      <c r="M1440" t="s">
        <v>35</v>
      </c>
      <c r="N1440" t="s">
        <v>55</v>
      </c>
      <c r="O1440" t="s">
        <v>26</v>
      </c>
      <c r="P1440" t="s">
        <v>26</v>
      </c>
      <c r="Q1440" s="3">
        <v>24</v>
      </c>
      <c r="R1440" t="s">
        <v>59</v>
      </c>
      <c r="S1440" t="s">
        <v>88</v>
      </c>
    </row>
    <row r="1441" spans="1:19" x14ac:dyDescent="0.25">
      <c r="A1441">
        <v>1440</v>
      </c>
      <c r="B1441">
        <v>25</v>
      </c>
      <c r="C1441" t="s">
        <v>19</v>
      </c>
      <c r="D1441" t="s">
        <v>137</v>
      </c>
      <c r="E1441" t="s">
        <v>43</v>
      </c>
      <c r="F1441" s="1">
        <v>48</v>
      </c>
      <c r="G1441" t="s">
        <v>130</v>
      </c>
      <c r="H1441" t="s">
        <v>45</v>
      </c>
      <c r="I1441" t="s">
        <v>136</v>
      </c>
      <c r="J1441" t="s">
        <v>54</v>
      </c>
      <c r="K1441" s="2">
        <v>4.8</v>
      </c>
      <c r="L1441" t="s">
        <v>152</v>
      </c>
      <c r="M1441" t="s">
        <v>27</v>
      </c>
      <c r="N1441" t="s">
        <v>47</v>
      </c>
      <c r="O1441" t="s">
        <v>26</v>
      </c>
      <c r="P1441" t="s">
        <v>26</v>
      </c>
      <c r="Q1441" s="3">
        <v>25</v>
      </c>
      <c r="R1441" t="s">
        <v>35</v>
      </c>
      <c r="S1441" t="s">
        <v>30</v>
      </c>
    </row>
    <row r="1442" spans="1:19" x14ac:dyDescent="0.25">
      <c r="A1442">
        <v>1441</v>
      </c>
      <c r="B1442">
        <v>27</v>
      </c>
      <c r="C1442" t="s">
        <v>19</v>
      </c>
      <c r="D1442" t="s">
        <v>42</v>
      </c>
      <c r="E1442" t="s">
        <v>43</v>
      </c>
      <c r="F1442" s="1">
        <v>76</v>
      </c>
      <c r="G1442" t="s">
        <v>117</v>
      </c>
      <c r="H1442" t="s">
        <v>45</v>
      </c>
      <c r="I1442" t="s">
        <v>71</v>
      </c>
      <c r="J1442" t="s">
        <v>39</v>
      </c>
      <c r="K1442" s="2">
        <v>4.4000000000000004</v>
      </c>
      <c r="L1442" t="s">
        <v>152</v>
      </c>
      <c r="M1442" t="s">
        <v>34</v>
      </c>
      <c r="N1442" t="s">
        <v>55</v>
      </c>
      <c r="O1442" t="s">
        <v>26</v>
      </c>
      <c r="P1442" t="s">
        <v>26</v>
      </c>
      <c r="Q1442" s="3">
        <v>13</v>
      </c>
      <c r="R1442" t="s">
        <v>29</v>
      </c>
      <c r="S1442" t="s">
        <v>88</v>
      </c>
    </row>
    <row r="1443" spans="1:19" x14ac:dyDescent="0.25">
      <c r="A1443">
        <v>1442</v>
      </c>
      <c r="B1443">
        <v>34</v>
      </c>
      <c r="C1443" t="s">
        <v>19</v>
      </c>
      <c r="D1443" t="s">
        <v>95</v>
      </c>
      <c r="E1443" t="s">
        <v>21</v>
      </c>
      <c r="F1443" s="1">
        <v>25</v>
      </c>
      <c r="G1443" t="s">
        <v>145</v>
      </c>
      <c r="H1443" t="s">
        <v>38</v>
      </c>
      <c r="I1443" t="s">
        <v>49</v>
      </c>
      <c r="J1443" t="s">
        <v>54</v>
      </c>
      <c r="K1443" s="2">
        <v>3.4</v>
      </c>
      <c r="L1443" t="s">
        <v>152</v>
      </c>
      <c r="M1443" t="s">
        <v>59</v>
      </c>
      <c r="N1443" t="s">
        <v>40</v>
      </c>
      <c r="O1443" t="s">
        <v>26</v>
      </c>
      <c r="P1443" t="s">
        <v>26</v>
      </c>
      <c r="Q1443" s="3">
        <v>3</v>
      </c>
      <c r="R1443" t="s">
        <v>29</v>
      </c>
      <c r="S1443" t="s">
        <v>97</v>
      </c>
    </row>
    <row r="1444" spans="1:19" x14ac:dyDescent="0.25">
      <c r="A1444">
        <v>1443</v>
      </c>
      <c r="B1444">
        <v>53</v>
      </c>
      <c r="C1444" t="s">
        <v>19</v>
      </c>
      <c r="D1444" t="s">
        <v>104</v>
      </c>
      <c r="E1444" t="s">
        <v>21</v>
      </c>
      <c r="F1444" s="1">
        <v>92</v>
      </c>
      <c r="G1444" t="s">
        <v>135</v>
      </c>
      <c r="H1444" t="s">
        <v>38</v>
      </c>
      <c r="I1444" t="s">
        <v>84</v>
      </c>
      <c r="J1444" t="s">
        <v>39</v>
      </c>
      <c r="K1444" s="2">
        <v>2.8</v>
      </c>
      <c r="L1444" t="s">
        <v>152</v>
      </c>
      <c r="M1444" t="s">
        <v>35</v>
      </c>
      <c r="N1444" t="s">
        <v>72</v>
      </c>
      <c r="O1444" t="s">
        <v>26</v>
      </c>
      <c r="P1444" t="s">
        <v>26</v>
      </c>
      <c r="Q1444" s="3">
        <v>42</v>
      </c>
      <c r="R1444" t="s">
        <v>27</v>
      </c>
      <c r="S1444" t="s">
        <v>50</v>
      </c>
    </row>
    <row r="1445" spans="1:19" x14ac:dyDescent="0.25">
      <c r="A1445">
        <v>1444</v>
      </c>
      <c r="B1445">
        <v>58</v>
      </c>
      <c r="C1445" t="s">
        <v>19</v>
      </c>
      <c r="D1445" t="s">
        <v>42</v>
      </c>
      <c r="E1445" t="s">
        <v>43</v>
      </c>
      <c r="F1445" s="1">
        <v>47</v>
      </c>
      <c r="G1445" t="s">
        <v>135</v>
      </c>
      <c r="H1445" t="s">
        <v>23</v>
      </c>
      <c r="I1445" t="s">
        <v>86</v>
      </c>
      <c r="J1445" t="s">
        <v>58</v>
      </c>
      <c r="K1445" s="2">
        <v>4.2</v>
      </c>
      <c r="L1445" t="s">
        <v>152</v>
      </c>
      <c r="M1445" t="s">
        <v>46</v>
      </c>
      <c r="N1445" t="s">
        <v>47</v>
      </c>
      <c r="O1445" t="s">
        <v>26</v>
      </c>
      <c r="P1445" t="s">
        <v>26</v>
      </c>
      <c r="Q1445" s="3">
        <v>2</v>
      </c>
      <c r="R1445" t="s">
        <v>35</v>
      </c>
      <c r="S1445" t="s">
        <v>88</v>
      </c>
    </row>
    <row r="1446" spans="1:19" x14ac:dyDescent="0.25">
      <c r="A1446">
        <v>1445</v>
      </c>
      <c r="B1446">
        <v>32</v>
      </c>
      <c r="C1446" t="s">
        <v>19</v>
      </c>
      <c r="D1446" t="s">
        <v>31</v>
      </c>
      <c r="E1446" t="s">
        <v>21</v>
      </c>
      <c r="F1446" s="1">
        <v>36</v>
      </c>
      <c r="G1446" t="s">
        <v>129</v>
      </c>
      <c r="H1446" t="s">
        <v>23</v>
      </c>
      <c r="I1446" t="s">
        <v>71</v>
      </c>
      <c r="J1446" t="s">
        <v>58</v>
      </c>
      <c r="K1446" s="2">
        <v>3.8</v>
      </c>
      <c r="L1446" t="s">
        <v>152</v>
      </c>
      <c r="M1446" t="s">
        <v>29</v>
      </c>
      <c r="N1446" t="s">
        <v>28</v>
      </c>
      <c r="O1446" t="s">
        <v>26</v>
      </c>
      <c r="P1446" t="s">
        <v>26</v>
      </c>
      <c r="Q1446" s="3">
        <v>26</v>
      </c>
      <c r="R1446" t="s">
        <v>35</v>
      </c>
      <c r="S1446" t="s">
        <v>60</v>
      </c>
    </row>
    <row r="1447" spans="1:19" x14ac:dyDescent="0.25">
      <c r="A1447">
        <v>1446</v>
      </c>
      <c r="B1447">
        <v>64</v>
      </c>
      <c r="C1447" t="s">
        <v>19</v>
      </c>
      <c r="D1447" t="s">
        <v>133</v>
      </c>
      <c r="E1447" t="s">
        <v>69</v>
      </c>
      <c r="F1447" s="1">
        <v>51</v>
      </c>
      <c r="G1447" t="s">
        <v>74</v>
      </c>
      <c r="H1447" t="s">
        <v>45</v>
      </c>
      <c r="I1447" t="s">
        <v>81</v>
      </c>
      <c r="J1447" t="s">
        <v>58</v>
      </c>
      <c r="K1447" s="2">
        <v>3.1</v>
      </c>
      <c r="L1447" t="s">
        <v>152</v>
      </c>
      <c r="M1447" t="s">
        <v>29</v>
      </c>
      <c r="N1447" t="s">
        <v>72</v>
      </c>
      <c r="O1447" t="s">
        <v>26</v>
      </c>
      <c r="P1447" t="s">
        <v>26</v>
      </c>
      <c r="Q1447" s="3">
        <v>24</v>
      </c>
      <c r="R1447" t="s">
        <v>27</v>
      </c>
      <c r="S1447" t="s">
        <v>50</v>
      </c>
    </row>
    <row r="1448" spans="1:19" x14ac:dyDescent="0.25">
      <c r="A1448">
        <v>1447</v>
      </c>
      <c r="B1448">
        <v>63</v>
      </c>
      <c r="C1448" t="s">
        <v>19</v>
      </c>
      <c r="D1448" t="s">
        <v>36</v>
      </c>
      <c r="E1448" t="s">
        <v>21</v>
      </c>
      <c r="F1448" s="1">
        <v>35</v>
      </c>
      <c r="G1448" t="s">
        <v>52</v>
      </c>
      <c r="H1448" t="s">
        <v>92</v>
      </c>
      <c r="I1448" t="s">
        <v>108</v>
      </c>
      <c r="J1448" t="s">
        <v>54</v>
      </c>
      <c r="K1448" s="2">
        <v>3.2</v>
      </c>
      <c r="L1448" t="s">
        <v>152</v>
      </c>
      <c r="M1448" t="s">
        <v>59</v>
      </c>
      <c r="N1448" t="s">
        <v>28</v>
      </c>
      <c r="O1448" t="s">
        <v>26</v>
      </c>
      <c r="P1448" t="s">
        <v>26</v>
      </c>
      <c r="Q1448" s="3">
        <v>6</v>
      </c>
      <c r="R1448" t="s">
        <v>27</v>
      </c>
      <c r="S1448" t="s">
        <v>60</v>
      </c>
    </row>
    <row r="1449" spans="1:19" x14ac:dyDescent="0.25">
      <c r="A1449">
        <v>1448</v>
      </c>
      <c r="B1449">
        <v>23</v>
      </c>
      <c r="C1449" t="s">
        <v>19</v>
      </c>
      <c r="D1449" t="s">
        <v>104</v>
      </c>
      <c r="E1449" t="s">
        <v>21</v>
      </c>
      <c r="F1449" s="1">
        <v>57</v>
      </c>
      <c r="G1449" t="s">
        <v>130</v>
      </c>
      <c r="H1449" t="s">
        <v>38</v>
      </c>
      <c r="I1449" t="s">
        <v>118</v>
      </c>
      <c r="J1449" t="s">
        <v>54</v>
      </c>
      <c r="K1449" s="2">
        <v>3</v>
      </c>
      <c r="L1449" t="s">
        <v>152</v>
      </c>
      <c r="M1449" t="s">
        <v>27</v>
      </c>
      <c r="N1449" t="s">
        <v>47</v>
      </c>
      <c r="O1449" t="s">
        <v>26</v>
      </c>
      <c r="P1449" t="s">
        <v>26</v>
      </c>
      <c r="Q1449" s="3">
        <v>25</v>
      </c>
      <c r="R1449" t="s">
        <v>46</v>
      </c>
      <c r="S1449" t="s">
        <v>88</v>
      </c>
    </row>
    <row r="1450" spans="1:19" x14ac:dyDescent="0.25">
      <c r="A1450">
        <v>1449</v>
      </c>
      <c r="B1450">
        <v>64</v>
      </c>
      <c r="C1450" t="s">
        <v>19</v>
      </c>
      <c r="D1450" t="s">
        <v>137</v>
      </c>
      <c r="E1450" t="s">
        <v>43</v>
      </c>
      <c r="F1450" s="1">
        <v>95</v>
      </c>
      <c r="G1450" t="s">
        <v>66</v>
      </c>
      <c r="H1450" t="s">
        <v>45</v>
      </c>
      <c r="I1450" t="s">
        <v>94</v>
      </c>
      <c r="J1450" t="s">
        <v>54</v>
      </c>
      <c r="K1450" s="2">
        <v>3.6</v>
      </c>
      <c r="L1450" t="s">
        <v>152</v>
      </c>
      <c r="M1450" t="s">
        <v>34</v>
      </c>
      <c r="N1450" t="s">
        <v>40</v>
      </c>
      <c r="O1450" t="s">
        <v>26</v>
      </c>
      <c r="P1450" t="s">
        <v>26</v>
      </c>
      <c r="Q1450" s="3">
        <v>11</v>
      </c>
      <c r="R1450" t="s">
        <v>27</v>
      </c>
      <c r="S1450" t="s">
        <v>97</v>
      </c>
    </row>
    <row r="1451" spans="1:19" x14ac:dyDescent="0.25">
      <c r="A1451">
        <v>1450</v>
      </c>
      <c r="B1451">
        <v>18</v>
      </c>
      <c r="C1451" t="s">
        <v>19</v>
      </c>
      <c r="D1451" t="s">
        <v>125</v>
      </c>
      <c r="E1451" t="s">
        <v>21</v>
      </c>
      <c r="F1451" s="1">
        <v>41</v>
      </c>
      <c r="G1451" t="s">
        <v>85</v>
      </c>
      <c r="H1451" t="s">
        <v>23</v>
      </c>
      <c r="I1451" t="s">
        <v>93</v>
      </c>
      <c r="J1451" t="s">
        <v>25</v>
      </c>
      <c r="K1451" s="2">
        <v>2.5</v>
      </c>
      <c r="L1451" t="s">
        <v>152</v>
      </c>
      <c r="M1451" t="s">
        <v>59</v>
      </c>
      <c r="N1451" t="s">
        <v>76</v>
      </c>
      <c r="O1451" t="s">
        <v>26</v>
      </c>
      <c r="P1451" t="s">
        <v>26</v>
      </c>
      <c r="Q1451" s="3">
        <v>20</v>
      </c>
      <c r="R1451" t="s">
        <v>35</v>
      </c>
      <c r="S1451" t="s">
        <v>97</v>
      </c>
    </row>
    <row r="1452" spans="1:19" x14ac:dyDescent="0.25">
      <c r="A1452">
        <v>1451</v>
      </c>
      <c r="B1452">
        <v>25</v>
      </c>
      <c r="C1452" t="s">
        <v>19</v>
      </c>
      <c r="D1452" t="s">
        <v>82</v>
      </c>
      <c r="E1452" t="s">
        <v>21</v>
      </c>
      <c r="F1452" s="1">
        <v>44</v>
      </c>
      <c r="G1452" t="s">
        <v>115</v>
      </c>
      <c r="H1452" t="s">
        <v>38</v>
      </c>
      <c r="I1452" t="s">
        <v>86</v>
      </c>
      <c r="J1452" t="s">
        <v>25</v>
      </c>
      <c r="K1452" s="2">
        <v>3.4</v>
      </c>
      <c r="L1452" t="s">
        <v>152</v>
      </c>
      <c r="M1452" t="s">
        <v>46</v>
      </c>
      <c r="N1452" t="s">
        <v>40</v>
      </c>
      <c r="O1452" t="s">
        <v>26</v>
      </c>
      <c r="P1452" t="s">
        <v>26</v>
      </c>
      <c r="Q1452" s="3">
        <v>25</v>
      </c>
      <c r="R1452" t="s">
        <v>35</v>
      </c>
      <c r="S1452" t="s">
        <v>60</v>
      </c>
    </row>
    <row r="1453" spans="1:19" x14ac:dyDescent="0.25">
      <c r="A1453">
        <v>1452</v>
      </c>
      <c r="B1453">
        <v>54</v>
      </c>
      <c r="C1453" t="s">
        <v>19</v>
      </c>
      <c r="D1453" t="s">
        <v>102</v>
      </c>
      <c r="E1453" t="s">
        <v>65</v>
      </c>
      <c r="F1453" s="1">
        <v>34</v>
      </c>
      <c r="G1453" t="s">
        <v>140</v>
      </c>
      <c r="H1453" t="s">
        <v>45</v>
      </c>
      <c r="I1453" t="s">
        <v>33</v>
      </c>
      <c r="J1453" t="s">
        <v>58</v>
      </c>
      <c r="K1453" s="2">
        <v>2.5</v>
      </c>
      <c r="L1453" t="s">
        <v>152</v>
      </c>
      <c r="M1453" t="s">
        <v>29</v>
      </c>
      <c r="N1453" t="s">
        <v>47</v>
      </c>
      <c r="O1453" t="s">
        <v>26</v>
      </c>
      <c r="P1453" t="s">
        <v>26</v>
      </c>
      <c r="Q1453" s="3">
        <v>35</v>
      </c>
      <c r="R1453" t="s">
        <v>46</v>
      </c>
      <c r="S1453" t="s">
        <v>60</v>
      </c>
    </row>
    <row r="1454" spans="1:19" x14ac:dyDescent="0.25">
      <c r="A1454">
        <v>1453</v>
      </c>
      <c r="B1454">
        <v>60</v>
      </c>
      <c r="C1454" t="s">
        <v>19</v>
      </c>
      <c r="D1454" t="s">
        <v>102</v>
      </c>
      <c r="E1454" t="s">
        <v>65</v>
      </c>
      <c r="F1454" s="1">
        <v>25</v>
      </c>
      <c r="G1454" t="s">
        <v>112</v>
      </c>
      <c r="H1454" t="s">
        <v>23</v>
      </c>
      <c r="I1454" t="s">
        <v>144</v>
      </c>
      <c r="J1454" t="s">
        <v>39</v>
      </c>
      <c r="K1454" s="2">
        <v>4.7</v>
      </c>
      <c r="L1454" t="s">
        <v>152</v>
      </c>
      <c r="M1454" t="s">
        <v>29</v>
      </c>
      <c r="N1454" t="s">
        <v>72</v>
      </c>
      <c r="O1454" t="s">
        <v>26</v>
      </c>
      <c r="P1454" t="s">
        <v>26</v>
      </c>
      <c r="Q1454" s="3">
        <v>11</v>
      </c>
      <c r="R1454" t="s">
        <v>34</v>
      </c>
      <c r="S1454" t="s">
        <v>60</v>
      </c>
    </row>
    <row r="1455" spans="1:19" x14ac:dyDescent="0.25">
      <c r="A1455">
        <v>1454</v>
      </c>
      <c r="B1455">
        <v>36</v>
      </c>
      <c r="C1455" t="s">
        <v>19</v>
      </c>
      <c r="D1455" t="s">
        <v>137</v>
      </c>
      <c r="E1455" t="s">
        <v>43</v>
      </c>
      <c r="F1455" s="1">
        <v>93</v>
      </c>
      <c r="G1455" t="s">
        <v>141</v>
      </c>
      <c r="H1455" t="s">
        <v>38</v>
      </c>
      <c r="I1455" t="s">
        <v>86</v>
      </c>
      <c r="J1455" t="s">
        <v>25</v>
      </c>
      <c r="K1455" s="2">
        <v>3.2</v>
      </c>
      <c r="L1455" t="s">
        <v>152</v>
      </c>
      <c r="M1455" t="s">
        <v>46</v>
      </c>
      <c r="N1455" t="s">
        <v>72</v>
      </c>
      <c r="O1455" t="s">
        <v>26</v>
      </c>
      <c r="P1455" t="s">
        <v>26</v>
      </c>
      <c r="Q1455" s="3">
        <v>41</v>
      </c>
      <c r="R1455" t="s">
        <v>34</v>
      </c>
      <c r="S1455" t="s">
        <v>30</v>
      </c>
    </row>
    <row r="1456" spans="1:19" x14ac:dyDescent="0.25">
      <c r="A1456">
        <v>1455</v>
      </c>
      <c r="B1456">
        <v>66</v>
      </c>
      <c r="C1456" t="s">
        <v>19</v>
      </c>
      <c r="D1456" t="s">
        <v>51</v>
      </c>
      <c r="E1456" t="s">
        <v>43</v>
      </c>
      <c r="F1456" s="1">
        <v>50</v>
      </c>
      <c r="G1456" t="s">
        <v>142</v>
      </c>
      <c r="H1456" t="s">
        <v>23</v>
      </c>
      <c r="I1456" t="s">
        <v>33</v>
      </c>
      <c r="J1456" t="s">
        <v>25</v>
      </c>
      <c r="K1456" s="2">
        <v>2.9</v>
      </c>
      <c r="L1456" t="s">
        <v>152</v>
      </c>
      <c r="M1456" t="s">
        <v>34</v>
      </c>
      <c r="N1456" t="s">
        <v>40</v>
      </c>
      <c r="O1456" t="s">
        <v>26</v>
      </c>
      <c r="P1456" t="s">
        <v>26</v>
      </c>
      <c r="Q1456" s="3">
        <v>17</v>
      </c>
      <c r="R1456" t="s">
        <v>27</v>
      </c>
      <c r="S1456" t="s">
        <v>50</v>
      </c>
    </row>
    <row r="1457" spans="1:19" x14ac:dyDescent="0.25">
      <c r="A1457">
        <v>1456</v>
      </c>
      <c r="B1457">
        <v>60</v>
      </c>
      <c r="C1457" t="s">
        <v>19</v>
      </c>
      <c r="D1457" t="s">
        <v>95</v>
      </c>
      <c r="E1457" t="s">
        <v>21</v>
      </c>
      <c r="F1457" s="1">
        <v>79</v>
      </c>
      <c r="G1457" t="s">
        <v>90</v>
      </c>
      <c r="H1457" t="s">
        <v>23</v>
      </c>
      <c r="I1457" t="s">
        <v>67</v>
      </c>
      <c r="J1457" t="s">
        <v>58</v>
      </c>
      <c r="K1457" s="2">
        <v>4.9000000000000004</v>
      </c>
      <c r="L1457" t="s">
        <v>152</v>
      </c>
      <c r="M1457" t="s">
        <v>59</v>
      </c>
      <c r="N1457" t="s">
        <v>28</v>
      </c>
      <c r="O1457" t="s">
        <v>26</v>
      </c>
      <c r="P1457" t="s">
        <v>26</v>
      </c>
      <c r="Q1457" s="3">
        <v>1</v>
      </c>
      <c r="R1457" t="s">
        <v>46</v>
      </c>
      <c r="S1457" t="s">
        <v>97</v>
      </c>
    </row>
    <row r="1458" spans="1:19" x14ac:dyDescent="0.25">
      <c r="A1458">
        <v>1457</v>
      </c>
      <c r="B1458">
        <v>59</v>
      </c>
      <c r="C1458" t="s">
        <v>19</v>
      </c>
      <c r="D1458" t="s">
        <v>64</v>
      </c>
      <c r="E1458" t="s">
        <v>65</v>
      </c>
      <c r="F1458" s="1">
        <v>100</v>
      </c>
      <c r="G1458" t="s">
        <v>57</v>
      </c>
      <c r="H1458" t="s">
        <v>38</v>
      </c>
      <c r="I1458" t="s">
        <v>79</v>
      </c>
      <c r="J1458" t="s">
        <v>39</v>
      </c>
      <c r="K1458" s="2">
        <v>2.7</v>
      </c>
      <c r="L1458" t="s">
        <v>152</v>
      </c>
      <c r="M1458" t="s">
        <v>29</v>
      </c>
      <c r="N1458" t="s">
        <v>76</v>
      </c>
      <c r="O1458" t="s">
        <v>26</v>
      </c>
      <c r="P1458" t="s">
        <v>26</v>
      </c>
      <c r="Q1458" s="3">
        <v>30</v>
      </c>
      <c r="R1458" t="s">
        <v>46</v>
      </c>
      <c r="S1458" t="s">
        <v>97</v>
      </c>
    </row>
    <row r="1459" spans="1:19" x14ac:dyDescent="0.25">
      <c r="A1459">
        <v>1458</v>
      </c>
      <c r="B1459">
        <v>58</v>
      </c>
      <c r="C1459" t="s">
        <v>19</v>
      </c>
      <c r="D1459" t="s">
        <v>56</v>
      </c>
      <c r="E1459" t="s">
        <v>21</v>
      </c>
      <c r="F1459" s="1">
        <v>57</v>
      </c>
      <c r="G1459" t="s">
        <v>138</v>
      </c>
      <c r="H1459" t="s">
        <v>38</v>
      </c>
      <c r="I1459" t="s">
        <v>24</v>
      </c>
      <c r="J1459" t="s">
        <v>39</v>
      </c>
      <c r="K1459" s="2">
        <v>4.7</v>
      </c>
      <c r="L1459" t="s">
        <v>152</v>
      </c>
      <c r="M1459" t="s">
        <v>34</v>
      </c>
      <c r="N1459" t="s">
        <v>28</v>
      </c>
      <c r="O1459" t="s">
        <v>26</v>
      </c>
      <c r="P1459" t="s">
        <v>26</v>
      </c>
      <c r="Q1459" s="3">
        <v>47</v>
      </c>
      <c r="R1459" t="s">
        <v>29</v>
      </c>
      <c r="S1459" t="s">
        <v>30</v>
      </c>
    </row>
    <row r="1460" spans="1:19" x14ac:dyDescent="0.25">
      <c r="A1460">
        <v>1459</v>
      </c>
      <c r="B1460">
        <v>35</v>
      </c>
      <c r="C1460" t="s">
        <v>19</v>
      </c>
      <c r="D1460" t="s">
        <v>31</v>
      </c>
      <c r="E1460" t="s">
        <v>21</v>
      </c>
      <c r="F1460" s="1">
        <v>28</v>
      </c>
      <c r="G1460" t="s">
        <v>70</v>
      </c>
      <c r="H1460" t="s">
        <v>45</v>
      </c>
      <c r="I1460" t="s">
        <v>100</v>
      </c>
      <c r="J1460" t="s">
        <v>39</v>
      </c>
      <c r="K1460" s="2">
        <v>2.9</v>
      </c>
      <c r="L1460" t="s">
        <v>152</v>
      </c>
      <c r="M1460" t="s">
        <v>59</v>
      </c>
      <c r="N1460" t="s">
        <v>72</v>
      </c>
      <c r="O1460" t="s">
        <v>26</v>
      </c>
      <c r="P1460" t="s">
        <v>26</v>
      </c>
      <c r="Q1460" s="3">
        <v>34</v>
      </c>
      <c r="R1460" t="s">
        <v>29</v>
      </c>
      <c r="S1460" t="s">
        <v>41</v>
      </c>
    </row>
    <row r="1461" spans="1:19" x14ac:dyDescent="0.25">
      <c r="A1461">
        <v>1460</v>
      </c>
      <c r="B1461">
        <v>20</v>
      </c>
      <c r="C1461" t="s">
        <v>19</v>
      </c>
      <c r="D1461" t="s">
        <v>73</v>
      </c>
      <c r="E1461" t="s">
        <v>43</v>
      </c>
      <c r="F1461" s="1">
        <v>35</v>
      </c>
      <c r="G1461" t="s">
        <v>32</v>
      </c>
      <c r="H1461" t="s">
        <v>23</v>
      </c>
      <c r="I1461" t="s">
        <v>134</v>
      </c>
      <c r="J1461" t="s">
        <v>25</v>
      </c>
      <c r="K1461" s="2">
        <v>4.8</v>
      </c>
      <c r="L1461" t="s">
        <v>152</v>
      </c>
      <c r="M1461" t="s">
        <v>46</v>
      </c>
      <c r="N1461" t="s">
        <v>28</v>
      </c>
      <c r="O1461" t="s">
        <v>26</v>
      </c>
      <c r="P1461" t="s">
        <v>26</v>
      </c>
      <c r="Q1461" s="3">
        <v>18</v>
      </c>
      <c r="R1461" t="s">
        <v>29</v>
      </c>
      <c r="S1461" t="s">
        <v>30</v>
      </c>
    </row>
    <row r="1462" spans="1:19" x14ac:dyDescent="0.25">
      <c r="A1462">
        <v>1461</v>
      </c>
      <c r="B1462">
        <v>70</v>
      </c>
      <c r="C1462" t="s">
        <v>19</v>
      </c>
      <c r="D1462" t="s">
        <v>137</v>
      </c>
      <c r="E1462" t="s">
        <v>43</v>
      </c>
      <c r="F1462" s="1">
        <v>85</v>
      </c>
      <c r="G1462" t="s">
        <v>138</v>
      </c>
      <c r="H1462" t="s">
        <v>23</v>
      </c>
      <c r="I1462" t="s">
        <v>84</v>
      </c>
      <c r="J1462" t="s">
        <v>58</v>
      </c>
      <c r="K1462" s="2">
        <v>4.5999999999999996</v>
      </c>
      <c r="L1462" t="s">
        <v>152</v>
      </c>
      <c r="M1462" t="s">
        <v>29</v>
      </c>
      <c r="N1462" t="s">
        <v>55</v>
      </c>
      <c r="O1462" t="s">
        <v>26</v>
      </c>
      <c r="P1462" t="s">
        <v>26</v>
      </c>
      <c r="Q1462" s="3">
        <v>33</v>
      </c>
      <c r="R1462" t="s">
        <v>29</v>
      </c>
      <c r="S1462" t="s">
        <v>77</v>
      </c>
    </row>
    <row r="1463" spans="1:19" x14ac:dyDescent="0.25">
      <c r="A1463">
        <v>1462</v>
      </c>
      <c r="B1463">
        <v>54</v>
      </c>
      <c r="C1463" t="s">
        <v>19</v>
      </c>
      <c r="D1463" t="s">
        <v>89</v>
      </c>
      <c r="E1463" t="s">
        <v>69</v>
      </c>
      <c r="F1463" s="1">
        <v>95</v>
      </c>
      <c r="G1463" t="s">
        <v>48</v>
      </c>
      <c r="H1463" t="s">
        <v>38</v>
      </c>
      <c r="I1463" t="s">
        <v>108</v>
      </c>
      <c r="J1463" t="s">
        <v>54</v>
      </c>
      <c r="K1463" s="2">
        <v>5</v>
      </c>
      <c r="L1463" t="s">
        <v>152</v>
      </c>
      <c r="M1463" t="s">
        <v>46</v>
      </c>
      <c r="N1463" t="s">
        <v>72</v>
      </c>
      <c r="O1463" t="s">
        <v>26</v>
      </c>
      <c r="P1463" t="s">
        <v>26</v>
      </c>
      <c r="Q1463" s="3">
        <v>42</v>
      </c>
      <c r="R1463" t="s">
        <v>29</v>
      </c>
      <c r="S1463" t="s">
        <v>60</v>
      </c>
    </row>
    <row r="1464" spans="1:19" x14ac:dyDescent="0.25">
      <c r="A1464">
        <v>1463</v>
      </c>
      <c r="B1464">
        <v>38</v>
      </c>
      <c r="C1464" t="s">
        <v>19</v>
      </c>
      <c r="D1464" t="s">
        <v>51</v>
      </c>
      <c r="E1464" t="s">
        <v>43</v>
      </c>
      <c r="F1464" s="1">
        <v>90</v>
      </c>
      <c r="G1464" t="s">
        <v>140</v>
      </c>
      <c r="H1464" t="s">
        <v>38</v>
      </c>
      <c r="I1464" t="s">
        <v>63</v>
      </c>
      <c r="J1464" t="s">
        <v>54</v>
      </c>
      <c r="K1464" s="2">
        <v>4.8</v>
      </c>
      <c r="L1464" t="s">
        <v>152</v>
      </c>
      <c r="M1464" t="s">
        <v>29</v>
      </c>
      <c r="N1464" t="s">
        <v>72</v>
      </c>
      <c r="O1464" t="s">
        <v>26</v>
      </c>
      <c r="P1464" t="s">
        <v>26</v>
      </c>
      <c r="Q1464" s="3">
        <v>2</v>
      </c>
      <c r="R1464" t="s">
        <v>29</v>
      </c>
      <c r="S1464" t="s">
        <v>60</v>
      </c>
    </row>
    <row r="1465" spans="1:19" x14ac:dyDescent="0.25">
      <c r="A1465">
        <v>1464</v>
      </c>
      <c r="B1465">
        <v>54</v>
      </c>
      <c r="C1465" t="s">
        <v>19</v>
      </c>
      <c r="D1465" t="s">
        <v>106</v>
      </c>
      <c r="E1465" t="s">
        <v>69</v>
      </c>
      <c r="F1465" s="1">
        <v>49</v>
      </c>
      <c r="G1465" t="s">
        <v>101</v>
      </c>
      <c r="H1465" t="s">
        <v>45</v>
      </c>
      <c r="I1465" t="s">
        <v>118</v>
      </c>
      <c r="J1465" t="s">
        <v>54</v>
      </c>
      <c r="K1465" s="2">
        <v>4.9000000000000004</v>
      </c>
      <c r="L1465" t="s">
        <v>152</v>
      </c>
      <c r="M1465" t="s">
        <v>27</v>
      </c>
      <c r="N1465" t="s">
        <v>76</v>
      </c>
      <c r="O1465" t="s">
        <v>26</v>
      </c>
      <c r="P1465" t="s">
        <v>26</v>
      </c>
      <c r="Q1465" s="3">
        <v>1</v>
      </c>
      <c r="R1465" t="s">
        <v>34</v>
      </c>
      <c r="S1465" t="s">
        <v>88</v>
      </c>
    </row>
    <row r="1466" spans="1:19" x14ac:dyDescent="0.25">
      <c r="A1466">
        <v>1465</v>
      </c>
      <c r="B1466">
        <v>33</v>
      </c>
      <c r="C1466" t="s">
        <v>19</v>
      </c>
      <c r="D1466" t="s">
        <v>133</v>
      </c>
      <c r="E1466" t="s">
        <v>69</v>
      </c>
      <c r="F1466" s="1">
        <v>92</v>
      </c>
      <c r="G1466" t="s">
        <v>57</v>
      </c>
      <c r="H1466" t="s">
        <v>45</v>
      </c>
      <c r="I1466" t="s">
        <v>100</v>
      </c>
      <c r="J1466" t="s">
        <v>25</v>
      </c>
      <c r="K1466" s="2">
        <v>4.5999999999999996</v>
      </c>
      <c r="L1466" t="s">
        <v>152</v>
      </c>
      <c r="M1466" t="s">
        <v>34</v>
      </c>
      <c r="N1466" t="s">
        <v>72</v>
      </c>
      <c r="O1466" t="s">
        <v>26</v>
      </c>
      <c r="P1466" t="s">
        <v>26</v>
      </c>
      <c r="Q1466" s="3">
        <v>23</v>
      </c>
      <c r="R1466" t="s">
        <v>34</v>
      </c>
      <c r="S1466" t="s">
        <v>60</v>
      </c>
    </row>
    <row r="1467" spans="1:19" x14ac:dyDescent="0.25">
      <c r="A1467">
        <v>1466</v>
      </c>
      <c r="B1467">
        <v>46</v>
      </c>
      <c r="C1467" t="s">
        <v>19</v>
      </c>
      <c r="D1467" t="s">
        <v>143</v>
      </c>
      <c r="E1467" t="s">
        <v>69</v>
      </c>
      <c r="F1467" s="1">
        <v>72</v>
      </c>
      <c r="G1467" t="s">
        <v>145</v>
      </c>
      <c r="H1467" t="s">
        <v>92</v>
      </c>
      <c r="I1467" t="s">
        <v>84</v>
      </c>
      <c r="J1467" t="s">
        <v>25</v>
      </c>
      <c r="K1467" s="2">
        <v>3.9</v>
      </c>
      <c r="L1467" t="s">
        <v>152</v>
      </c>
      <c r="M1467" t="s">
        <v>34</v>
      </c>
      <c r="N1467" t="s">
        <v>76</v>
      </c>
      <c r="O1467" t="s">
        <v>26</v>
      </c>
      <c r="P1467" t="s">
        <v>26</v>
      </c>
      <c r="Q1467" s="3">
        <v>42</v>
      </c>
      <c r="R1467" t="s">
        <v>35</v>
      </c>
      <c r="S1467" t="s">
        <v>77</v>
      </c>
    </row>
    <row r="1468" spans="1:19" x14ac:dyDescent="0.25">
      <c r="A1468">
        <v>1467</v>
      </c>
      <c r="B1468">
        <v>58</v>
      </c>
      <c r="C1468" t="s">
        <v>19</v>
      </c>
      <c r="D1468" t="s">
        <v>61</v>
      </c>
      <c r="E1468" t="s">
        <v>21</v>
      </c>
      <c r="F1468" s="1">
        <v>71</v>
      </c>
      <c r="G1468" t="s">
        <v>90</v>
      </c>
      <c r="H1468" t="s">
        <v>45</v>
      </c>
      <c r="I1468" t="s">
        <v>96</v>
      </c>
      <c r="J1468" t="s">
        <v>54</v>
      </c>
      <c r="K1468" s="2">
        <v>4.5</v>
      </c>
      <c r="L1468" t="s">
        <v>152</v>
      </c>
      <c r="M1468" t="s">
        <v>46</v>
      </c>
      <c r="N1468" t="s">
        <v>76</v>
      </c>
      <c r="O1468" t="s">
        <v>26</v>
      </c>
      <c r="P1468" t="s">
        <v>26</v>
      </c>
      <c r="Q1468" s="3">
        <v>3</v>
      </c>
      <c r="R1468" t="s">
        <v>46</v>
      </c>
      <c r="S1468" t="s">
        <v>50</v>
      </c>
    </row>
    <row r="1469" spans="1:19" x14ac:dyDescent="0.25">
      <c r="A1469">
        <v>1468</v>
      </c>
      <c r="B1469">
        <v>30</v>
      </c>
      <c r="C1469" t="s">
        <v>19</v>
      </c>
      <c r="D1469" t="s">
        <v>106</v>
      </c>
      <c r="E1469" t="s">
        <v>69</v>
      </c>
      <c r="F1469" s="1">
        <v>27</v>
      </c>
      <c r="G1469" t="s">
        <v>123</v>
      </c>
      <c r="H1469" t="s">
        <v>92</v>
      </c>
      <c r="I1469" t="s">
        <v>79</v>
      </c>
      <c r="J1469" t="s">
        <v>25</v>
      </c>
      <c r="K1469" s="2">
        <v>4.7</v>
      </c>
      <c r="L1469" t="s">
        <v>152</v>
      </c>
      <c r="M1469" t="s">
        <v>27</v>
      </c>
      <c r="N1469" t="s">
        <v>76</v>
      </c>
      <c r="O1469" t="s">
        <v>26</v>
      </c>
      <c r="P1469" t="s">
        <v>26</v>
      </c>
      <c r="Q1469" s="3">
        <v>16</v>
      </c>
      <c r="R1469" t="s">
        <v>59</v>
      </c>
      <c r="S1469" t="s">
        <v>30</v>
      </c>
    </row>
    <row r="1470" spans="1:19" x14ac:dyDescent="0.25">
      <c r="A1470">
        <v>1469</v>
      </c>
      <c r="B1470">
        <v>42</v>
      </c>
      <c r="C1470" t="s">
        <v>19</v>
      </c>
      <c r="D1470" t="s">
        <v>143</v>
      </c>
      <c r="E1470" t="s">
        <v>69</v>
      </c>
      <c r="F1470" s="1">
        <v>39</v>
      </c>
      <c r="G1470" t="s">
        <v>74</v>
      </c>
      <c r="H1470" t="s">
        <v>38</v>
      </c>
      <c r="I1470" t="s">
        <v>67</v>
      </c>
      <c r="J1470" t="s">
        <v>58</v>
      </c>
      <c r="K1470" s="2">
        <v>3.9</v>
      </c>
      <c r="L1470" t="s">
        <v>152</v>
      </c>
      <c r="M1470" t="s">
        <v>34</v>
      </c>
      <c r="N1470" t="s">
        <v>28</v>
      </c>
      <c r="O1470" t="s">
        <v>26</v>
      </c>
      <c r="P1470" t="s">
        <v>26</v>
      </c>
      <c r="Q1470" s="3">
        <v>46</v>
      </c>
      <c r="R1470" t="s">
        <v>35</v>
      </c>
      <c r="S1470" t="s">
        <v>30</v>
      </c>
    </row>
    <row r="1471" spans="1:19" x14ac:dyDescent="0.25">
      <c r="A1471">
        <v>1470</v>
      </c>
      <c r="B1471">
        <v>28</v>
      </c>
      <c r="C1471" t="s">
        <v>19</v>
      </c>
      <c r="D1471" t="s">
        <v>106</v>
      </c>
      <c r="E1471" t="s">
        <v>69</v>
      </c>
      <c r="F1471" s="1">
        <v>98</v>
      </c>
      <c r="G1471" t="s">
        <v>91</v>
      </c>
      <c r="H1471" t="s">
        <v>45</v>
      </c>
      <c r="I1471" t="s">
        <v>75</v>
      </c>
      <c r="J1471" t="s">
        <v>25</v>
      </c>
      <c r="K1471" s="2">
        <v>4.4000000000000004</v>
      </c>
      <c r="L1471" t="s">
        <v>152</v>
      </c>
      <c r="M1471" t="s">
        <v>59</v>
      </c>
      <c r="N1471" t="s">
        <v>55</v>
      </c>
      <c r="O1471" t="s">
        <v>26</v>
      </c>
      <c r="P1471" t="s">
        <v>26</v>
      </c>
      <c r="Q1471" s="3">
        <v>31</v>
      </c>
      <c r="R1471" t="s">
        <v>46</v>
      </c>
      <c r="S1471" t="s">
        <v>97</v>
      </c>
    </row>
    <row r="1472" spans="1:19" x14ac:dyDescent="0.25">
      <c r="A1472">
        <v>1471</v>
      </c>
      <c r="B1472">
        <v>43</v>
      </c>
      <c r="C1472" t="s">
        <v>19</v>
      </c>
      <c r="D1472" t="s">
        <v>42</v>
      </c>
      <c r="E1472" t="s">
        <v>43</v>
      </c>
      <c r="F1472" s="1">
        <v>27</v>
      </c>
      <c r="G1472" t="s">
        <v>99</v>
      </c>
      <c r="H1472" t="s">
        <v>45</v>
      </c>
      <c r="I1472" t="s">
        <v>67</v>
      </c>
      <c r="J1472" t="s">
        <v>39</v>
      </c>
      <c r="K1472" s="2">
        <v>3.9</v>
      </c>
      <c r="L1472" t="s">
        <v>152</v>
      </c>
      <c r="M1472" t="s">
        <v>29</v>
      </c>
      <c r="N1472" t="s">
        <v>47</v>
      </c>
      <c r="O1472" t="s">
        <v>26</v>
      </c>
      <c r="P1472" t="s">
        <v>26</v>
      </c>
      <c r="Q1472" s="3">
        <v>15</v>
      </c>
      <c r="R1472" t="s">
        <v>35</v>
      </c>
      <c r="S1472" t="s">
        <v>97</v>
      </c>
    </row>
    <row r="1473" spans="1:19" x14ac:dyDescent="0.25">
      <c r="A1473">
        <v>1472</v>
      </c>
      <c r="B1473">
        <v>31</v>
      </c>
      <c r="C1473" t="s">
        <v>19</v>
      </c>
      <c r="D1473" t="s">
        <v>106</v>
      </c>
      <c r="E1473" t="s">
        <v>69</v>
      </c>
      <c r="F1473" s="1">
        <v>71</v>
      </c>
      <c r="G1473" t="s">
        <v>120</v>
      </c>
      <c r="H1473" t="s">
        <v>38</v>
      </c>
      <c r="I1473" t="s">
        <v>24</v>
      </c>
      <c r="J1473" t="s">
        <v>39</v>
      </c>
      <c r="K1473" s="2">
        <v>2.8</v>
      </c>
      <c r="L1473" t="s">
        <v>152</v>
      </c>
      <c r="M1473" t="s">
        <v>46</v>
      </c>
      <c r="N1473" t="s">
        <v>72</v>
      </c>
      <c r="O1473" t="s">
        <v>26</v>
      </c>
      <c r="P1473" t="s">
        <v>26</v>
      </c>
      <c r="Q1473" s="3">
        <v>48</v>
      </c>
      <c r="R1473" t="s">
        <v>29</v>
      </c>
      <c r="S1473" t="s">
        <v>97</v>
      </c>
    </row>
    <row r="1474" spans="1:19" x14ac:dyDescent="0.25">
      <c r="A1474">
        <v>1473</v>
      </c>
      <c r="B1474">
        <v>39</v>
      </c>
      <c r="C1474" t="s">
        <v>19</v>
      </c>
      <c r="D1474" t="s">
        <v>124</v>
      </c>
      <c r="E1474" t="s">
        <v>69</v>
      </c>
      <c r="F1474" s="1">
        <v>24</v>
      </c>
      <c r="G1474" t="s">
        <v>116</v>
      </c>
      <c r="H1474" t="s">
        <v>23</v>
      </c>
      <c r="I1474" t="s">
        <v>49</v>
      </c>
      <c r="J1474" t="s">
        <v>39</v>
      </c>
      <c r="K1474" s="2">
        <v>3.5</v>
      </c>
      <c r="L1474" t="s">
        <v>152</v>
      </c>
      <c r="M1474" t="s">
        <v>34</v>
      </c>
      <c r="N1474" t="s">
        <v>76</v>
      </c>
      <c r="O1474" t="s">
        <v>26</v>
      </c>
      <c r="P1474" t="s">
        <v>26</v>
      </c>
      <c r="Q1474" s="3">
        <v>11</v>
      </c>
      <c r="R1474" t="s">
        <v>35</v>
      </c>
      <c r="S1474" t="s">
        <v>41</v>
      </c>
    </row>
    <row r="1475" spans="1:19" x14ac:dyDescent="0.25">
      <c r="A1475">
        <v>1474</v>
      </c>
      <c r="B1475">
        <v>69</v>
      </c>
      <c r="C1475" t="s">
        <v>19</v>
      </c>
      <c r="D1475" t="s">
        <v>61</v>
      </c>
      <c r="E1475" t="s">
        <v>21</v>
      </c>
      <c r="F1475" s="1">
        <v>63</v>
      </c>
      <c r="G1475" t="s">
        <v>150</v>
      </c>
      <c r="H1475" t="s">
        <v>45</v>
      </c>
      <c r="I1475" t="s">
        <v>84</v>
      </c>
      <c r="J1475" t="s">
        <v>58</v>
      </c>
      <c r="K1475" s="2">
        <v>4.3</v>
      </c>
      <c r="L1475" t="s">
        <v>152</v>
      </c>
      <c r="M1475" t="s">
        <v>35</v>
      </c>
      <c r="N1475" t="s">
        <v>28</v>
      </c>
      <c r="O1475" t="s">
        <v>26</v>
      </c>
      <c r="P1475" t="s">
        <v>26</v>
      </c>
      <c r="Q1475" s="3">
        <v>20</v>
      </c>
      <c r="R1475" t="s">
        <v>27</v>
      </c>
      <c r="S1475" t="s">
        <v>97</v>
      </c>
    </row>
    <row r="1476" spans="1:19" x14ac:dyDescent="0.25">
      <c r="A1476">
        <v>1475</v>
      </c>
      <c r="B1476">
        <v>31</v>
      </c>
      <c r="C1476" t="s">
        <v>19</v>
      </c>
      <c r="D1476" t="s">
        <v>31</v>
      </c>
      <c r="E1476" t="s">
        <v>21</v>
      </c>
      <c r="F1476" s="1">
        <v>72</v>
      </c>
      <c r="G1476" t="s">
        <v>127</v>
      </c>
      <c r="H1476" t="s">
        <v>38</v>
      </c>
      <c r="I1476" t="s">
        <v>71</v>
      </c>
      <c r="J1476" t="s">
        <v>58</v>
      </c>
      <c r="K1476" s="2">
        <v>3.9</v>
      </c>
      <c r="L1476" t="s">
        <v>152</v>
      </c>
      <c r="M1476" t="s">
        <v>34</v>
      </c>
      <c r="N1476" t="s">
        <v>47</v>
      </c>
      <c r="O1476" t="s">
        <v>26</v>
      </c>
      <c r="P1476" t="s">
        <v>26</v>
      </c>
      <c r="Q1476" s="3">
        <v>6</v>
      </c>
      <c r="R1476" t="s">
        <v>27</v>
      </c>
      <c r="S1476" t="s">
        <v>88</v>
      </c>
    </row>
    <row r="1477" spans="1:19" x14ac:dyDescent="0.25">
      <c r="A1477">
        <v>1476</v>
      </c>
      <c r="B1477">
        <v>44</v>
      </c>
      <c r="C1477" t="s">
        <v>19</v>
      </c>
      <c r="D1477" t="s">
        <v>20</v>
      </c>
      <c r="E1477" t="s">
        <v>21</v>
      </c>
      <c r="F1477" s="1">
        <v>61</v>
      </c>
      <c r="G1477" t="s">
        <v>44</v>
      </c>
      <c r="H1477" t="s">
        <v>45</v>
      </c>
      <c r="I1477" t="s">
        <v>86</v>
      </c>
      <c r="J1477" t="s">
        <v>39</v>
      </c>
      <c r="K1477" s="2">
        <v>4</v>
      </c>
      <c r="L1477" t="s">
        <v>152</v>
      </c>
      <c r="M1477" t="s">
        <v>34</v>
      </c>
      <c r="N1477" t="s">
        <v>28</v>
      </c>
      <c r="O1477" t="s">
        <v>26</v>
      </c>
      <c r="P1477" t="s">
        <v>26</v>
      </c>
      <c r="Q1477" s="3">
        <v>24</v>
      </c>
      <c r="R1477" t="s">
        <v>35</v>
      </c>
      <c r="S1477" t="s">
        <v>88</v>
      </c>
    </row>
    <row r="1478" spans="1:19" x14ac:dyDescent="0.25">
      <c r="A1478">
        <v>1477</v>
      </c>
      <c r="B1478">
        <v>39</v>
      </c>
      <c r="C1478" t="s">
        <v>19</v>
      </c>
      <c r="D1478" t="s">
        <v>124</v>
      </c>
      <c r="E1478" t="s">
        <v>69</v>
      </c>
      <c r="F1478" s="1">
        <v>56</v>
      </c>
      <c r="G1478" t="s">
        <v>52</v>
      </c>
      <c r="H1478" t="s">
        <v>45</v>
      </c>
      <c r="I1478" t="s">
        <v>136</v>
      </c>
      <c r="J1478" t="s">
        <v>58</v>
      </c>
      <c r="K1478" s="2">
        <v>4.0999999999999996</v>
      </c>
      <c r="L1478" t="s">
        <v>152</v>
      </c>
      <c r="M1478" t="s">
        <v>27</v>
      </c>
      <c r="N1478" t="s">
        <v>47</v>
      </c>
      <c r="O1478" t="s">
        <v>26</v>
      </c>
      <c r="P1478" t="s">
        <v>26</v>
      </c>
      <c r="Q1478" s="3">
        <v>18</v>
      </c>
      <c r="R1478" t="s">
        <v>27</v>
      </c>
      <c r="S1478" t="s">
        <v>88</v>
      </c>
    </row>
    <row r="1479" spans="1:19" x14ac:dyDescent="0.25">
      <c r="A1479">
        <v>1478</v>
      </c>
      <c r="B1479">
        <v>24</v>
      </c>
      <c r="C1479" t="s">
        <v>19</v>
      </c>
      <c r="D1479" t="s">
        <v>133</v>
      </c>
      <c r="E1479" t="s">
        <v>69</v>
      </c>
      <c r="F1479" s="1">
        <v>32</v>
      </c>
      <c r="G1479" t="s">
        <v>48</v>
      </c>
      <c r="H1479" t="s">
        <v>92</v>
      </c>
      <c r="I1479" t="s">
        <v>67</v>
      </c>
      <c r="J1479" t="s">
        <v>54</v>
      </c>
      <c r="K1479" s="2">
        <v>4.3</v>
      </c>
      <c r="L1479" t="s">
        <v>152</v>
      </c>
      <c r="M1479" t="s">
        <v>27</v>
      </c>
      <c r="N1479" t="s">
        <v>55</v>
      </c>
      <c r="O1479" t="s">
        <v>26</v>
      </c>
      <c r="P1479" t="s">
        <v>26</v>
      </c>
      <c r="Q1479" s="3">
        <v>1</v>
      </c>
      <c r="R1479" t="s">
        <v>46</v>
      </c>
      <c r="S1479" t="s">
        <v>97</v>
      </c>
    </row>
    <row r="1480" spans="1:19" x14ac:dyDescent="0.25">
      <c r="A1480">
        <v>1479</v>
      </c>
      <c r="B1480">
        <v>28</v>
      </c>
      <c r="C1480" t="s">
        <v>19</v>
      </c>
      <c r="D1480" t="s">
        <v>143</v>
      </c>
      <c r="E1480" t="s">
        <v>69</v>
      </c>
      <c r="F1480" s="1">
        <v>23</v>
      </c>
      <c r="G1480" t="s">
        <v>149</v>
      </c>
      <c r="H1480" t="s">
        <v>45</v>
      </c>
      <c r="I1480" t="s">
        <v>144</v>
      </c>
      <c r="J1480" t="s">
        <v>54</v>
      </c>
      <c r="K1480" s="2">
        <v>4.2</v>
      </c>
      <c r="L1480" t="s">
        <v>152</v>
      </c>
      <c r="M1480" t="s">
        <v>46</v>
      </c>
      <c r="N1480" t="s">
        <v>40</v>
      </c>
      <c r="O1480" t="s">
        <v>26</v>
      </c>
      <c r="P1480" t="s">
        <v>26</v>
      </c>
      <c r="Q1480" s="3">
        <v>13</v>
      </c>
      <c r="R1480" t="s">
        <v>29</v>
      </c>
      <c r="S1480" t="s">
        <v>77</v>
      </c>
    </row>
    <row r="1481" spans="1:19" x14ac:dyDescent="0.25">
      <c r="A1481">
        <v>1480</v>
      </c>
      <c r="B1481">
        <v>48</v>
      </c>
      <c r="C1481" t="s">
        <v>19</v>
      </c>
      <c r="D1481" t="s">
        <v>64</v>
      </c>
      <c r="E1481" t="s">
        <v>65</v>
      </c>
      <c r="F1481" s="1">
        <v>100</v>
      </c>
      <c r="G1481" t="s">
        <v>149</v>
      </c>
      <c r="H1481" t="s">
        <v>23</v>
      </c>
      <c r="I1481" t="s">
        <v>94</v>
      </c>
      <c r="J1481" t="s">
        <v>39</v>
      </c>
      <c r="K1481" s="2">
        <v>4</v>
      </c>
      <c r="L1481" t="s">
        <v>152</v>
      </c>
      <c r="M1481" t="s">
        <v>59</v>
      </c>
      <c r="N1481" t="s">
        <v>55</v>
      </c>
      <c r="O1481" t="s">
        <v>26</v>
      </c>
      <c r="P1481" t="s">
        <v>26</v>
      </c>
      <c r="Q1481" s="3">
        <v>2</v>
      </c>
      <c r="R1481" t="s">
        <v>34</v>
      </c>
      <c r="S1481" t="s">
        <v>41</v>
      </c>
    </row>
    <row r="1482" spans="1:19" x14ac:dyDescent="0.25">
      <c r="A1482">
        <v>1481</v>
      </c>
      <c r="B1482">
        <v>39</v>
      </c>
      <c r="C1482" t="s">
        <v>19</v>
      </c>
      <c r="D1482" t="s">
        <v>106</v>
      </c>
      <c r="E1482" t="s">
        <v>69</v>
      </c>
      <c r="F1482" s="1">
        <v>74</v>
      </c>
      <c r="G1482" t="s">
        <v>83</v>
      </c>
      <c r="H1482" t="s">
        <v>45</v>
      </c>
      <c r="I1482" t="s">
        <v>81</v>
      </c>
      <c r="J1482" t="s">
        <v>58</v>
      </c>
      <c r="K1482" s="2">
        <v>3.6</v>
      </c>
      <c r="L1482" t="s">
        <v>152</v>
      </c>
      <c r="M1482" t="s">
        <v>35</v>
      </c>
      <c r="N1482" t="s">
        <v>28</v>
      </c>
      <c r="O1482" t="s">
        <v>26</v>
      </c>
      <c r="P1482" t="s">
        <v>26</v>
      </c>
      <c r="Q1482" s="3">
        <v>26</v>
      </c>
      <c r="R1482" t="s">
        <v>35</v>
      </c>
      <c r="S1482" t="s">
        <v>60</v>
      </c>
    </row>
    <row r="1483" spans="1:19" x14ac:dyDescent="0.25">
      <c r="A1483">
        <v>1482</v>
      </c>
      <c r="B1483">
        <v>64</v>
      </c>
      <c r="C1483" t="s">
        <v>19</v>
      </c>
      <c r="D1483" t="s">
        <v>87</v>
      </c>
      <c r="E1483" t="s">
        <v>21</v>
      </c>
      <c r="F1483" s="1">
        <v>33</v>
      </c>
      <c r="G1483" t="s">
        <v>128</v>
      </c>
      <c r="H1483" t="s">
        <v>38</v>
      </c>
      <c r="I1483" t="s">
        <v>24</v>
      </c>
      <c r="J1483" t="s">
        <v>39</v>
      </c>
      <c r="K1483" s="2">
        <v>3.3</v>
      </c>
      <c r="L1483" t="s">
        <v>152</v>
      </c>
      <c r="M1483" t="s">
        <v>27</v>
      </c>
      <c r="N1483" t="s">
        <v>55</v>
      </c>
      <c r="O1483" t="s">
        <v>26</v>
      </c>
      <c r="P1483" t="s">
        <v>26</v>
      </c>
      <c r="Q1483" s="3">
        <v>31</v>
      </c>
      <c r="R1483" t="s">
        <v>46</v>
      </c>
      <c r="S1483" t="s">
        <v>60</v>
      </c>
    </row>
    <row r="1484" spans="1:19" x14ac:dyDescent="0.25">
      <c r="A1484">
        <v>1483</v>
      </c>
      <c r="B1484">
        <v>28</v>
      </c>
      <c r="C1484" t="s">
        <v>19</v>
      </c>
      <c r="D1484" t="s">
        <v>143</v>
      </c>
      <c r="E1484" t="s">
        <v>69</v>
      </c>
      <c r="F1484" s="1">
        <v>67</v>
      </c>
      <c r="G1484" t="s">
        <v>150</v>
      </c>
      <c r="H1484" t="s">
        <v>38</v>
      </c>
      <c r="I1484" t="s">
        <v>136</v>
      </c>
      <c r="J1484" t="s">
        <v>39</v>
      </c>
      <c r="K1484" s="2">
        <v>4.0999999999999996</v>
      </c>
      <c r="L1484" t="s">
        <v>152</v>
      </c>
      <c r="M1484" t="s">
        <v>29</v>
      </c>
      <c r="N1484" t="s">
        <v>72</v>
      </c>
      <c r="O1484" t="s">
        <v>26</v>
      </c>
      <c r="P1484" t="s">
        <v>26</v>
      </c>
      <c r="Q1484" s="3">
        <v>43</v>
      </c>
      <c r="R1484" t="s">
        <v>34</v>
      </c>
      <c r="S1484" t="s">
        <v>41</v>
      </c>
    </row>
    <row r="1485" spans="1:19" x14ac:dyDescent="0.25">
      <c r="A1485">
        <v>1484</v>
      </c>
      <c r="B1485">
        <v>39</v>
      </c>
      <c r="C1485" t="s">
        <v>19</v>
      </c>
      <c r="D1485" t="s">
        <v>106</v>
      </c>
      <c r="E1485" t="s">
        <v>69</v>
      </c>
      <c r="F1485" s="1">
        <v>61</v>
      </c>
      <c r="G1485" t="s">
        <v>37</v>
      </c>
      <c r="H1485" t="s">
        <v>38</v>
      </c>
      <c r="I1485" t="s">
        <v>134</v>
      </c>
      <c r="J1485" t="s">
        <v>54</v>
      </c>
      <c r="K1485" s="2">
        <v>4.7</v>
      </c>
      <c r="L1485" t="s">
        <v>152</v>
      </c>
      <c r="M1485" t="s">
        <v>46</v>
      </c>
      <c r="N1485" t="s">
        <v>47</v>
      </c>
      <c r="O1485" t="s">
        <v>26</v>
      </c>
      <c r="P1485" t="s">
        <v>26</v>
      </c>
      <c r="Q1485" s="3">
        <v>12</v>
      </c>
      <c r="R1485" t="s">
        <v>59</v>
      </c>
      <c r="S1485" t="s">
        <v>77</v>
      </c>
    </row>
    <row r="1486" spans="1:19" x14ac:dyDescent="0.25">
      <c r="A1486">
        <v>1485</v>
      </c>
      <c r="B1486">
        <v>49</v>
      </c>
      <c r="C1486" t="s">
        <v>19</v>
      </c>
      <c r="D1486" t="s">
        <v>61</v>
      </c>
      <c r="E1486" t="s">
        <v>21</v>
      </c>
      <c r="F1486" s="1">
        <v>46</v>
      </c>
      <c r="G1486" t="s">
        <v>145</v>
      </c>
      <c r="H1486" t="s">
        <v>45</v>
      </c>
      <c r="I1486" t="s">
        <v>86</v>
      </c>
      <c r="J1486" t="s">
        <v>54</v>
      </c>
      <c r="K1486" s="2">
        <v>4.4000000000000004</v>
      </c>
      <c r="L1486" t="s">
        <v>152</v>
      </c>
      <c r="M1486" t="s">
        <v>35</v>
      </c>
      <c r="N1486" t="s">
        <v>76</v>
      </c>
      <c r="O1486" t="s">
        <v>26</v>
      </c>
      <c r="P1486" t="s">
        <v>26</v>
      </c>
      <c r="Q1486" s="3">
        <v>22</v>
      </c>
      <c r="R1486" t="s">
        <v>29</v>
      </c>
      <c r="S1486" t="s">
        <v>97</v>
      </c>
    </row>
    <row r="1487" spans="1:19" x14ac:dyDescent="0.25">
      <c r="A1487">
        <v>1486</v>
      </c>
      <c r="B1487">
        <v>22</v>
      </c>
      <c r="C1487" t="s">
        <v>19</v>
      </c>
      <c r="D1487" t="s">
        <v>143</v>
      </c>
      <c r="E1487" t="s">
        <v>69</v>
      </c>
      <c r="F1487" s="1">
        <v>56</v>
      </c>
      <c r="G1487" t="s">
        <v>145</v>
      </c>
      <c r="H1487" t="s">
        <v>23</v>
      </c>
      <c r="I1487" t="s">
        <v>108</v>
      </c>
      <c r="J1487" t="s">
        <v>39</v>
      </c>
      <c r="K1487" s="2">
        <v>3.4</v>
      </c>
      <c r="L1487" t="s">
        <v>152</v>
      </c>
      <c r="M1487" t="s">
        <v>34</v>
      </c>
      <c r="N1487" t="s">
        <v>55</v>
      </c>
      <c r="O1487" t="s">
        <v>26</v>
      </c>
      <c r="P1487" t="s">
        <v>26</v>
      </c>
      <c r="Q1487" s="3">
        <v>3</v>
      </c>
      <c r="R1487" t="s">
        <v>35</v>
      </c>
      <c r="S1487" t="s">
        <v>30</v>
      </c>
    </row>
    <row r="1488" spans="1:19" x14ac:dyDescent="0.25">
      <c r="A1488">
        <v>1487</v>
      </c>
      <c r="B1488">
        <v>25</v>
      </c>
      <c r="C1488" t="s">
        <v>19</v>
      </c>
      <c r="D1488" t="s">
        <v>51</v>
      </c>
      <c r="E1488" t="s">
        <v>43</v>
      </c>
      <c r="F1488" s="1">
        <v>73</v>
      </c>
      <c r="G1488" t="s">
        <v>135</v>
      </c>
      <c r="H1488" t="s">
        <v>38</v>
      </c>
      <c r="I1488" t="s">
        <v>134</v>
      </c>
      <c r="J1488" t="s">
        <v>39</v>
      </c>
      <c r="K1488" s="2">
        <v>5</v>
      </c>
      <c r="L1488" t="s">
        <v>152</v>
      </c>
      <c r="M1488" t="s">
        <v>35</v>
      </c>
      <c r="N1488" t="s">
        <v>40</v>
      </c>
      <c r="O1488" t="s">
        <v>26</v>
      </c>
      <c r="P1488" t="s">
        <v>26</v>
      </c>
      <c r="Q1488" s="3">
        <v>23</v>
      </c>
      <c r="R1488" t="s">
        <v>29</v>
      </c>
      <c r="S1488" t="s">
        <v>97</v>
      </c>
    </row>
    <row r="1489" spans="1:19" x14ac:dyDescent="0.25">
      <c r="A1489">
        <v>1488</v>
      </c>
      <c r="B1489">
        <v>40</v>
      </c>
      <c r="C1489" t="s">
        <v>19</v>
      </c>
      <c r="D1489" t="s">
        <v>87</v>
      </c>
      <c r="E1489" t="s">
        <v>21</v>
      </c>
      <c r="F1489" s="1">
        <v>44</v>
      </c>
      <c r="G1489" t="s">
        <v>117</v>
      </c>
      <c r="H1489" t="s">
        <v>23</v>
      </c>
      <c r="I1489" t="s">
        <v>94</v>
      </c>
      <c r="J1489" t="s">
        <v>54</v>
      </c>
      <c r="K1489" s="2">
        <v>4.5999999999999996</v>
      </c>
      <c r="L1489" t="s">
        <v>152</v>
      </c>
      <c r="M1489" t="s">
        <v>27</v>
      </c>
      <c r="N1489" t="s">
        <v>76</v>
      </c>
      <c r="O1489" t="s">
        <v>26</v>
      </c>
      <c r="P1489" t="s">
        <v>26</v>
      </c>
      <c r="Q1489" s="3">
        <v>26</v>
      </c>
      <c r="R1489" t="s">
        <v>46</v>
      </c>
      <c r="S1489" t="s">
        <v>50</v>
      </c>
    </row>
    <row r="1490" spans="1:19" x14ac:dyDescent="0.25">
      <c r="A1490">
        <v>1489</v>
      </c>
      <c r="B1490">
        <v>23</v>
      </c>
      <c r="C1490" t="s">
        <v>19</v>
      </c>
      <c r="D1490" t="s">
        <v>124</v>
      </c>
      <c r="E1490" t="s">
        <v>69</v>
      </c>
      <c r="F1490" s="1">
        <v>44</v>
      </c>
      <c r="G1490" t="s">
        <v>78</v>
      </c>
      <c r="H1490" t="s">
        <v>23</v>
      </c>
      <c r="I1490" t="s">
        <v>71</v>
      </c>
      <c r="J1490" t="s">
        <v>25</v>
      </c>
      <c r="K1490" s="2">
        <v>4</v>
      </c>
      <c r="L1490" t="s">
        <v>152</v>
      </c>
      <c r="M1490" t="s">
        <v>29</v>
      </c>
      <c r="N1490" t="s">
        <v>55</v>
      </c>
      <c r="O1490" t="s">
        <v>26</v>
      </c>
      <c r="P1490" t="s">
        <v>26</v>
      </c>
      <c r="Q1490" s="3">
        <v>37</v>
      </c>
      <c r="R1490" t="s">
        <v>27</v>
      </c>
      <c r="S1490" t="s">
        <v>41</v>
      </c>
    </row>
    <row r="1491" spans="1:19" x14ac:dyDescent="0.25">
      <c r="A1491">
        <v>1490</v>
      </c>
      <c r="B1491">
        <v>24</v>
      </c>
      <c r="C1491" t="s">
        <v>19</v>
      </c>
      <c r="D1491" t="s">
        <v>106</v>
      </c>
      <c r="E1491" t="s">
        <v>69</v>
      </c>
      <c r="F1491" s="1">
        <v>26</v>
      </c>
      <c r="G1491" t="s">
        <v>70</v>
      </c>
      <c r="H1491" t="s">
        <v>92</v>
      </c>
      <c r="I1491" t="s">
        <v>136</v>
      </c>
      <c r="J1491" t="s">
        <v>54</v>
      </c>
      <c r="K1491" s="2">
        <v>4.0999999999999996</v>
      </c>
      <c r="L1491" t="s">
        <v>152</v>
      </c>
      <c r="M1491" t="s">
        <v>46</v>
      </c>
      <c r="N1491" t="s">
        <v>47</v>
      </c>
      <c r="O1491" t="s">
        <v>26</v>
      </c>
      <c r="P1491" t="s">
        <v>26</v>
      </c>
      <c r="Q1491" s="3">
        <v>42</v>
      </c>
      <c r="R1491" t="s">
        <v>29</v>
      </c>
      <c r="S1491" t="s">
        <v>60</v>
      </c>
    </row>
    <row r="1492" spans="1:19" x14ac:dyDescent="0.25">
      <c r="A1492">
        <v>1491</v>
      </c>
      <c r="B1492">
        <v>66</v>
      </c>
      <c r="C1492" t="s">
        <v>19</v>
      </c>
      <c r="D1492" t="s">
        <v>51</v>
      </c>
      <c r="E1492" t="s">
        <v>43</v>
      </c>
      <c r="F1492" s="1">
        <v>52</v>
      </c>
      <c r="G1492" t="s">
        <v>62</v>
      </c>
      <c r="H1492" t="s">
        <v>23</v>
      </c>
      <c r="I1492" t="s">
        <v>79</v>
      </c>
      <c r="J1492" t="s">
        <v>39</v>
      </c>
      <c r="K1492" s="2">
        <v>4.9000000000000004</v>
      </c>
      <c r="L1492" t="s">
        <v>152</v>
      </c>
      <c r="M1492" t="s">
        <v>29</v>
      </c>
      <c r="N1492" t="s">
        <v>28</v>
      </c>
      <c r="O1492" t="s">
        <v>26</v>
      </c>
      <c r="P1492" t="s">
        <v>26</v>
      </c>
      <c r="Q1492" s="3">
        <v>15</v>
      </c>
      <c r="R1492" t="s">
        <v>29</v>
      </c>
      <c r="S1492" t="s">
        <v>77</v>
      </c>
    </row>
    <row r="1493" spans="1:19" x14ac:dyDescent="0.25">
      <c r="A1493">
        <v>1492</v>
      </c>
      <c r="B1493">
        <v>27</v>
      </c>
      <c r="C1493" t="s">
        <v>19</v>
      </c>
      <c r="D1493" t="s">
        <v>56</v>
      </c>
      <c r="E1493" t="s">
        <v>21</v>
      </c>
      <c r="F1493" s="1">
        <v>54</v>
      </c>
      <c r="G1493" t="s">
        <v>74</v>
      </c>
      <c r="H1493" t="s">
        <v>38</v>
      </c>
      <c r="I1493" t="s">
        <v>94</v>
      </c>
      <c r="J1493" t="s">
        <v>54</v>
      </c>
      <c r="K1493" s="2">
        <v>2.7</v>
      </c>
      <c r="L1493" t="s">
        <v>152</v>
      </c>
      <c r="M1493" t="s">
        <v>29</v>
      </c>
      <c r="N1493" t="s">
        <v>40</v>
      </c>
      <c r="O1493" t="s">
        <v>26</v>
      </c>
      <c r="P1493" t="s">
        <v>26</v>
      </c>
      <c r="Q1493" s="3">
        <v>10</v>
      </c>
      <c r="R1493" t="s">
        <v>34</v>
      </c>
      <c r="S1493" t="s">
        <v>60</v>
      </c>
    </row>
    <row r="1494" spans="1:19" x14ac:dyDescent="0.25">
      <c r="A1494">
        <v>1493</v>
      </c>
      <c r="B1494">
        <v>62</v>
      </c>
      <c r="C1494" t="s">
        <v>19</v>
      </c>
      <c r="D1494" t="s">
        <v>102</v>
      </c>
      <c r="E1494" t="s">
        <v>65</v>
      </c>
      <c r="F1494" s="1">
        <v>38</v>
      </c>
      <c r="G1494" t="s">
        <v>98</v>
      </c>
      <c r="H1494" t="s">
        <v>45</v>
      </c>
      <c r="I1494" t="s">
        <v>33</v>
      </c>
      <c r="J1494" t="s">
        <v>54</v>
      </c>
      <c r="K1494" s="2">
        <v>4.5</v>
      </c>
      <c r="L1494" t="s">
        <v>152</v>
      </c>
      <c r="M1494" t="s">
        <v>29</v>
      </c>
      <c r="N1494" t="s">
        <v>40</v>
      </c>
      <c r="O1494" t="s">
        <v>26</v>
      </c>
      <c r="P1494" t="s">
        <v>26</v>
      </c>
      <c r="Q1494" s="3">
        <v>3</v>
      </c>
      <c r="R1494" t="s">
        <v>29</v>
      </c>
      <c r="S1494" t="s">
        <v>60</v>
      </c>
    </row>
    <row r="1495" spans="1:19" x14ac:dyDescent="0.25">
      <c r="A1495">
        <v>1494</v>
      </c>
      <c r="B1495">
        <v>70</v>
      </c>
      <c r="C1495" t="s">
        <v>19</v>
      </c>
      <c r="D1495" t="s">
        <v>133</v>
      </c>
      <c r="E1495" t="s">
        <v>69</v>
      </c>
      <c r="F1495" s="1">
        <v>44</v>
      </c>
      <c r="G1495" t="s">
        <v>114</v>
      </c>
      <c r="H1495" t="s">
        <v>38</v>
      </c>
      <c r="I1495" t="s">
        <v>81</v>
      </c>
      <c r="J1495" t="s">
        <v>58</v>
      </c>
      <c r="K1495" s="2">
        <v>2.7</v>
      </c>
      <c r="L1495" t="s">
        <v>152</v>
      </c>
      <c r="M1495" t="s">
        <v>29</v>
      </c>
      <c r="N1495" t="s">
        <v>55</v>
      </c>
      <c r="O1495" t="s">
        <v>26</v>
      </c>
      <c r="P1495" t="s">
        <v>26</v>
      </c>
      <c r="Q1495" s="3">
        <v>44</v>
      </c>
      <c r="R1495" t="s">
        <v>27</v>
      </c>
      <c r="S1495" t="s">
        <v>60</v>
      </c>
    </row>
    <row r="1496" spans="1:19" x14ac:dyDescent="0.25">
      <c r="A1496">
        <v>1495</v>
      </c>
      <c r="B1496">
        <v>43</v>
      </c>
      <c r="C1496" t="s">
        <v>19</v>
      </c>
      <c r="D1496" t="s">
        <v>113</v>
      </c>
      <c r="E1496" t="s">
        <v>21</v>
      </c>
      <c r="F1496" s="1">
        <v>76</v>
      </c>
      <c r="G1496" t="s">
        <v>57</v>
      </c>
      <c r="H1496" t="s">
        <v>45</v>
      </c>
      <c r="I1496" t="s">
        <v>24</v>
      </c>
      <c r="J1496" t="s">
        <v>39</v>
      </c>
      <c r="K1496" s="2">
        <v>3</v>
      </c>
      <c r="L1496" t="s">
        <v>152</v>
      </c>
      <c r="M1496" t="s">
        <v>34</v>
      </c>
      <c r="N1496" t="s">
        <v>47</v>
      </c>
      <c r="O1496" t="s">
        <v>26</v>
      </c>
      <c r="P1496" t="s">
        <v>26</v>
      </c>
      <c r="Q1496" s="3">
        <v>23</v>
      </c>
      <c r="R1496" t="s">
        <v>34</v>
      </c>
      <c r="S1496" t="s">
        <v>30</v>
      </c>
    </row>
    <row r="1497" spans="1:19" x14ac:dyDescent="0.25">
      <c r="A1497">
        <v>1496</v>
      </c>
      <c r="B1497">
        <v>45</v>
      </c>
      <c r="C1497" t="s">
        <v>19</v>
      </c>
      <c r="D1497" t="s">
        <v>106</v>
      </c>
      <c r="E1497" t="s">
        <v>69</v>
      </c>
      <c r="F1497" s="1">
        <v>23</v>
      </c>
      <c r="G1497" t="s">
        <v>44</v>
      </c>
      <c r="H1497" t="s">
        <v>45</v>
      </c>
      <c r="I1497" t="s">
        <v>110</v>
      </c>
      <c r="J1497" t="s">
        <v>25</v>
      </c>
      <c r="K1497" s="2">
        <v>4.5</v>
      </c>
      <c r="L1497" t="s">
        <v>152</v>
      </c>
      <c r="M1497" t="s">
        <v>46</v>
      </c>
      <c r="N1497" t="s">
        <v>47</v>
      </c>
      <c r="O1497" t="s">
        <v>26</v>
      </c>
      <c r="P1497" t="s">
        <v>26</v>
      </c>
      <c r="Q1497" s="3">
        <v>6</v>
      </c>
      <c r="R1497" t="s">
        <v>46</v>
      </c>
      <c r="S1497" t="s">
        <v>41</v>
      </c>
    </row>
    <row r="1498" spans="1:19" x14ac:dyDescent="0.25">
      <c r="A1498">
        <v>1497</v>
      </c>
      <c r="B1498">
        <v>63</v>
      </c>
      <c r="C1498" t="s">
        <v>19</v>
      </c>
      <c r="D1498" t="s">
        <v>113</v>
      </c>
      <c r="E1498" t="s">
        <v>21</v>
      </c>
      <c r="F1498" s="1">
        <v>98</v>
      </c>
      <c r="G1498" t="s">
        <v>135</v>
      </c>
      <c r="H1498" t="s">
        <v>45</v>
      </c>
      <c r="I1498" t="s">
        <v>75</v>
      </c>
      <c r="J1498" t="s">
        <v>25</v>
      </c>
      <c r="K1498" s="2">
        <v>5</v>
      </c>
      <c r="L1498" t="s">
        <v>152</v>
      </c>
      <c r="M1498" t="s">
        <v>27</v>
      </c>
      <c r="N1498" t="s">
        <v>55</v>
      </c>
      <c r="O1498" t="s">
        <v>26</v>
      </c>
      <c r="P1498" t="s">
        <v>26</v>
      </c>
      <c r="Q1498" s="3">
        <v>9</v>
      </c>
      <c r="R1498" t="s">
        <v>29</v>
      </c>
      <c r="S1498" t="s">
        <v>77</v>
      </c>
    </row>
    <row r="1499" spans="1:19" x14ac:dyDescent="0.25">
      <c r="A1499">
        <v>1498</v>
      </c>
      <c r="B1499">
        <v>69</v>
      </c>
      <c r="C1499" t="s">
        <v>19</v>
      </c>
      <c r="D1499" t="s">
        <v>102</v>
      </c>
      <c r="E1499" t="s">
        <v>65</v>
      </c>
      <c r="F1499" s="1">
        <v>33</v>
      </c>
      <c r="G1499" t="s">
        <v>151</v>
      </c>
      <c r="H1499" t="s">
        <v>38</v>
      </c>
      <c r="I1499" t="s">
        <v>136</v>
      </c>
      <c r="J1499" t="s">
        <v>39</v>
      </c>
      <c r="K1499" s="2">
        <v>3.8</v>
      </c>
      <c r="L1499" t="s">
        <v>152</v>
      </c>
      <c r="M1499" t="s">
        <v>59</v>
      </c>
      <c r="N1499" t="s">
        <v>72</v>
      </c>
      <c r="O1499" t="s">
        <v>26</v>
      </c>
      <c r="P1499" t="s">
        <v>26</v>
      </c>
      <c r="Q1499" s="3">
        <v>16</v>
      </c>
      <c r="R1499" t="s">
        <v>59</v>
      </c>
      <c r="S1499" t="s">
        <v>97</v>
      </c>
    </row>
    <row r="1500" spans="1:19" x14ac:dyDescent="0.25">
      <c r="A1500">
        <v>1499</v>
      </c>
      <c r="B1500">
        <v>59</v>
      </c>
      <c r="C1500" t="s">
        <v>19</v>
      </c>
      <c r="D1500" t="s">
        <v>31</v>
      </c>
      <c r="E1500" t="s">
        <v>21</v>
      </c>
      <c r="F1500" s="1">
        <v>32</v>
      </c>
      <c r="G1500" t="s">
        <v>115</v>
      </c>
      <c r="H1500" t="s">
        <v>45</v>
      </c>
      <c r="I1500" t="s">
        <v>86</v>
      </c>
      <c r="J1500" t="s">
        <v>54</v>
      </c>
      <c r="K1500" s="2">
        <v>3.1</v>
      </c>
      <c r="L1500" t="s">
        <v>152</v>
      </c>
      <c r="M1500" t="s">
        <v>46</v>
      </c>
      <c r="N1500" t="s">
        <v>55</v>
      </c>
      <c r="O1500" t="s">
        <v>26</v>
      </c>
      <c r="P1500" t="s">
        <v>26</v>
      </c>
      <c r="Q1500" s="3">
        <v>46</v>
      </c>
      <c r="R1500" t="s">
        <v>29</v>
      </c>
      <c r="S1500" t="s">
        <v>30</v>
      </c>
    </row>
    <row r="1501" spans="1:19" x14ac:dyDescent="0.25">
      <c r="A1501">
        <v>1500</v>
      </c>
      <c r="B1501">
        <v>19</v>
      </c>
      <c r="C1501" t="s">
        <v>19</v>
      </c>
      <c r="D1501" t="s">
        <v>137</v>
      </c>
      <c r="E1501" t="s">
        <v>43</v>
      </c>
      <c r="F1501" s="1">
        <v>85</v>
      </c>
      <c r="G1501" t="s">
        <v>142</v>
      </c>
      <c r="H1501" t="s">
        <v>38</v>
      </c>
      <c r="I1501" t="s">
        <v>79</v>
      </c>
      <c r="J1501" t="s">
        <v>58</v>
      </c>
      <c r="K1501" s="2">
        <v>3.4</v>
      </c>
      <c r="L1501" t="s">
        <v>152</v>
      </c>
      <c r="M1501" t="s">
        <v>35</v>
      </c>
      <c r="N1501" t="s">
        <v>40</v>
      </c>
      <c r="O1501" t="s">
        <v>26</v>
      </c>
      <c r="P1501" t="s">
        <v>26</v>
      </c>
      <c r="Q1501" s="3">
        <v>24</v>
      </c>
      <c r="R1501" t="s">
        <v>27</v>
      </c>
      <c r="S1501" t="s">
        <v>97</v>
      </c>
    </row>
    <row r="1502" spans="1:19" x14ac:dyDescent="0.25">
      <c r="A1502">
        <v>1501</v>
      </c>
      <c r="B1502">
        <v>63</v>
      </c>
      <c r="C1502" t="s">
        <v>19</v>
      </c>
      <c r="D1502" t="s">
        <v>36</v>
      </c>
      <c r="E1502" t="s">
        <v>21</v>
      </c>
      <c r="F1502" s="1">
        <v>69</v>
      </c>
      <c r="G1502" t="s">
        <v>90</v>
      </c>
      <c r="H1502" t="s">
        <v>23</v>
      </c>
      <c r="I1502" t="s">
        <v>33</v>
      </c>
      <c r="J1502" t="s">
        <v>54</v>
      </c>
      <c r="K1502" s="2">
        <v>4.8</v>
      </c>
      <c r="L1502" t="s">
        <v>152</v>
      </c>
      <c r="M1502" t="s">
        <v>29</v>
      </c>
      <c r="N1502" t="s">
        <v>47</v>
      </c>
      <c r="O1502" t="s">
        <v>26</v>
      </c>
      <c r="P1502" t="s">
        <v>26</v>
      </c>
      <c r="Q1502" s="3">
        <v>22</v>
      </c>
      <c r="R1502" t="s">
        <v>59</v>
      </c>
      <c r="S1502" t="s">
        <v>88</v>
      </c>
    </row>
    <row r="1503" spans="1:19" x14ac:dyDescent="0.25">
      <c r="A1503">
        <v>1502</v>
      </c>
      <c r="B1503">
        <v>37</v>
      </c>
      <c r="C1503" t="s">
        <v>19</v>
      </c>
      <c r="D1503" t="s">
        <v>36</v>
      </c>
      <c r="E1503" t="s">
        <v>21</v>
      </c>
      <c r="F1503" s="1">
        <v>55</v>
      </c>
      <c r="G1503" t="s">
        <v>120</v>
      </c>
      <c r="H1503" t="s">
        <v>92</v>
      </c>
      <c r="I1503" t="s">
        <v>67</v>
      </c>
      <c r="J1503" t="s">
        <v>39</v>
      </c>
      <c r="K1503" s="2">
        <v>2.7</v>
      </c>
      <c r="L1503" t="s">
        <v>152</v>
      </c>
      <c r="M1503" t="s">
        <v>34</v>
      </c>
      <c r="N1503" t="s">
        <v>55</v>
      </c>
      <c r="O1503" t="s">
        <v>26</v>
      </c>
      <c r="P1503" t="s">
        <v>26</v>
      </c>
      <c r="Q1503" s="3">
        <v>13</v>
      </c>
      <c r="R1503" t="s">
        <v>59</v>
      </c>
      <c r="S1503" t="s">
        <v>97</v>
      </c>
    </row>
    <row r="1504" spans="1:19" x14ac:dyDescent="0.25">
      <c r="A1504">
        <v>1503</v>
      </c>
      <c r="B1504">
        <v>37</v>
      </c>
      <c r="C1504" t="s">
        <v>19</v>
      </c>
      <c r="D1504" t="s">
        <v>95</v>
      </c>
      <c r="E1504" t="s">
        <v>21</v>
      </c>
      <c r="F1504" s="1">
        <v>66</v>
      </c>
      <c r="G1504" t="s">
        <v>37</v>
      </c>
      <c r="H1504" t="s">
        <v>45</v>
      </c>
      <c r="I1504" t="s">
        <v>94</v>
      </c>
      <c r="J1504" t="s">
        <v>54</v>
      </c>
      <c r="K1504" s="2">
        <v>3.2</v>
      </c>
      <c r="L1504" t="s">
        <v>152</v>
      </c>
      <c r="M1504" t="s">
        <v>46</v>
      </c>
      <c r="N1504" t="s">
        <v>76</v>
      </c>
      <c r="O1504" t="s">
        <v>26</v>
      </c>
      <c r="P1504" t="s">
        <v>26</v>
      </c>
      <c r="Q1504" s="3">
        <v>20</v>
      </c>
      <c r="R1504" t="s">
        <v>35</v>
      </c>
      <c r="S1504" t="s">
        <v>30</v>
      </c>
    </row>
    <row r="1505" spans="1:19" x14ac:dyDescent="0.25">
      <c r="A1505">
        <v>1504</v>
      </c>
      <c r="B1505">
        <v>50</v>
      </c>
      <c r="C1505" t="s">
        <v>19</v>
      </c>
      <c r="D1505" t="s">
        <v>102</v>
      </c>
      <c r="E1505" t="s">
        <v>65</v>
      </c>
      <c r="F1505" s="1">
        <v>30</v>
      </c>
      <c r="G1505" t="s">
        <v>151</v>
      </c>
      <c r="H1505" t="s">
        <v>45</v>
      </c>
      <c r="I1505" t="s">
        <v>33</v>
      </c>
      <c r="J1505" t="s">
        <v>58</v>
      </c>
      <c r="K1505" s="2">
        <v>3.9</v>
      </c>
      <c r="L1505" t="s">
        <v>152</v>
      </c>
      <c r="M1505" t="s">
        <v>35</v>
      </c>
      <c r="N1505" t="s">
        <v>72</v>
      </c>
      <c r="O1505" t="s">
        <v>26</v>
      </c>
      <c r="P1505" t="s">
        <v>26</v>
      </c>
      <c r="Q1505" s="3">
        <v>46</v>
      </c>
      <c r="R1505" t="s">
        <v>35</v>
      </c>
      <c r="S1505" t="s">
        <v>60</v>
      </c>
    </row>
    <row r="1506" spans="1:19" x14ac:dyDescent="0.25">
      <c r="A1506">
        <v>1505</v>
      </c>
      <c r="B1506">
        <v>60</v>
      </c>
      <c r="C1506" t="s">
        <v>19</v>
      </c>
      <c r="D1506" t="s">
        <v>102</v>
      </c>
      <c r="E1506" t="s">
        <v>65</v>
      </c>
      <c r="F1506" s="1">
        <v>80</v>
      </c>
      <c r="G1506" t="s">
        <v>120</v>
      </c>
      <c r="H1506" t="s">
        <v>45</v>
      </c>
      <c r="I1506" t="s">
        <v>86</v>
      </c>
      <c r="J1506" t="s">
        <v>25</v>
      </c>
      <c r="K1506" s="2">
        <v>4.2</v>
      </c>
      <c r="L1506" t="s">
        <v>152</v>
      </c>
      <c r="M1506" t="s">
        <v>35</v>
      </c>
      <c r="N1506" t="s">
        <v>47</v>
      </c>
      <c r="O1506" t="s">
        <v>26</v>
      </c>
      <c r="P1506" t="s">
        <v>26</v>
      </c>
      <c r="Q1506" s="3">
        <v>10</v>
      </c>
      <c r="R1506" t="s">
        <v>34</v>
      </c>
      <c r="S1506" t="s">
        <v>88</v>
      </c>
    </row>
    <row r="1507" spans="1:19" x14ac:dyDescent="0.25">
      <c r="A1507">
        <v>1506</v>
      </c>
      <c r="B1507">
        <v>46</v>
      </c>
      <c r="C1507" t="s">
        <v>19</v>
      </c>
      <c r="D1507" t="s">
        <v>133</v>
      </c>
      <c r="E1507" t="s">
        <v>69</v>
      </c>
      <c r="F1507" s="1">
        <v>20</v>
      </c>
      <c r="G1507" t="s">
        <v>114</v>
      </c>
      <c r="H1507" t="s">
        <v>45</v>
      </c>
      <c r="I1507" t="s">
        <v>86</v>
      </c>
      <c r="J1507" t="s">
        <v>54</v>
      </c>
      <c r="K1507" s="2">
        <v>3</v>
      </c>
      <c r="L1507" t="s">
        <v>152</v>
      </c>
      <c r="M1507" t="s">
        <v>46</v>
      </c>
      <c r="N1507" t="s">
        <v>28</v>
      </c>
      <c r="O1507" t="s">
        <v>26</v>
      </c>
      <c r="P1507" t="s">
        <v>26</v>
      </c>
      <c r="Q1507" s="3">
        <v>39</v>
      </c>
      <c r="R1507" t="s">
        <v>35</v>
      </c>
      <c r="S1507" t="s">
        <v>88</v>
      </c>
    </row>
    <row r="1508" spans="1:19" x14ac:dyDescent="0.25">
      <c r="A1508">
        <v>1507</v>
      </c>
      <c r="B1508">
        <v>35</v>
      </c>
      <c r="C1508" t="s">
        <v>19</v>
      </c>
      <c r="D1508" t="s">
        <v>56</v>
      </c>
      <c r="E1508" t="s">
        <v>21</v>
      </c>
      <c r="F1508" s="1">
        <v>30</v>
      </c>
      <c r="G1508" t="s">
        <v>131</v>
      </c>
      <c r="H1508" t="s">
        <v>23</v>
      </c>
      <c r="I1508" t="s">
        <v>118</v>
      </c>
      <c r="J1508" t="s">
        <v>58</v>
      </c>
      <c r="K1508" s="2">
        <v>3</v>
      </c>
      <c r="L1508" t="s">
        <v>152</v>
      </c>
      <c r="M1508" t="s">
        <v>29</v>
      </c>
      <c r="N1508" t="s">
        <v>72</v>
      </c>
      <c r="O1508" t="s">
        <v>26</v>
      </c>
      <c r="P1508" t="s">
        <v>26</v>
      </c>
      <c r="Q1508" s="3">
        <v>44</v>
      </c>
      <c r="R1508" t="s">
        <v>46</v>
      </c>
      <c r="S1508" t="s">
        <v>60</v>
      </c>
    </row>
    <row r="1509" spans="1:19" x14ac:dyDescent="0.25">
      <c r="A1509">
        <v>1508</v>
      </c>
      <c r="B1509">
        <v>66</v>
      </c>
      <c r="C1509" t="s">
        <v>19</v>
      </c>
      <c r="D1509" t="s">
        <v>82</v>
      </c>
      <c r="E1509" t="s">
        <v>21</v>
      </c>
      <c r="F1509" s="1">
        <v>86</v>
      </c>
      <c r="G1509" t="s">
        <v>138</v>
      </c>
      <c r="H1509" t="s">
        <v>38</v>
      </c>
      <c r="I1509" t="s">
        <v>33</v>
      </c>
      <c r="J1509" t="s">
        <v>25</v>
      </c>
      <c r="K1509" s="2">
        <v>3.7</v>
      </c>
      <c r="L1509" t="s">
        <v>152</v>
      </c>
      <c r="M1509" t="s">
        <v>34</v>
      </c>
      <c r="N1509" t="s">
        <v>72</v>
      </c>
      <c r="O1509" t="s">
        <v>26</v>
      </c>
      <c r="P1509" t="s">
        <v>26</v>
      </c>
      <c r="Q1509" s="3">
        <v>7</v>
      </c>
      <c r="R1509" t="s">
        <v>29</v>
      </c>
      <c r="S1509" t="s">
        <v>50</v>
      </c>
    </row>
    <row r="1510" spans="1:19" x14ac:dyDescent="0.25">
      <c r="A1510">
        <v>1509</v>
      </c>
      <c r="B1510">
        <v>35</v>
      </c>
      <c r="C1510" t="s">
        <v>19</v>
      </c>
      <c r="D1510" t="s">
        <v>20</v>
      </c>
      <c r="E1510" t="s">
        <v>21</v>
      </c>
      <c r="F1510" s="1">
        <v>84</v>
      </c>
      <c r="G1510" t="s">
        <v>112</v>
      </c>
      <c r="H1510" t="s">
        <v>23</v>
      </c>
      <c r="I1510" t="s">
        <v>118</v>
      </c>
      <c r="J1510" t="s">
        <v>39</v>
      </c>
      <c r="K1510" s="2">
        <v>4.4000000000000004</v>
      </c>
      <c r="L1510" t="s">
        <v>152</v>
      </c>
      <c r="M1510" t="s">
        <v>27</v>
      </c>
      <c r="N1510" t="s">
        <v>76</v>
      </c>
      <c r="O1510" t="s">
        <v>26</v>
      </c>
      <c r="P1510" t="s">
        <v>26</v>
      </c>
      <c r="Q1510" s="3">
        <v>3</v>
      </c>
      <c r="R1510" t="s">
        <v>35</v>
      </c>
      <c r="S1510" t="s">
        <v>97</v>
      </c>
    </row>
    <row r="1511" spans="1:19" x14ac:dyDescent="0.25">
      <c r="A1511">
        <v>1510</v>
      </c>
      <c r="B1511">
        <v>20</v>
      </c>
      <c r="C1511" t="s">
        <v>19</v>
      </c>
      <c r="D1511" t="s">
        <v>82</v>
      </c>
      <c r="E1511" t="s">
        <v>21</v>
      </c>
      <c r="F1511" s="1">
        <v>54</v>
      </c>
      <c r="G1511" t="s">
        <v>83</v>
      </c>
      <c r="H1511" t="s">
        <v>92</v>
      </c>
      <c r="I1511" t="s">
        <v>53</v>
      </c>
      <c r="J1511" t="s">
        <v>54</v>
      </c>
      <c r="K1511" s="2">
        <v>4.5999999999999996</v>
      </c>
      <c r="L1511" t="s">
        <v>152</v>
      </c>
      <c r="M1511" t="s">
        <v>27</v>
      </c>
      <c r="N1511" t="s">
        <v>40</v>
      </c>
      <c r="O1511" t="s">
        <v>26</v>
      </c>
      <c r="P1511" t="s">
        <v>26</v>
      </c>
      <c r="Q1511" s="3">
        <v>44</v>
      </c>
      <c r="R1511" t="s">
        <v>59</v>
      </c>
      <c r="S1511" t="s">
        <v>50</v>
      </c>
    </row>
    <row r="1512" spans="1:19" x14ac:dyDescent="0.25">
      <c r="A1512">
        <v>1511</v>
      </c>
      <c r="B1512">
        <v>55</v>
      </c>
      <c r="C1512" t="s">
        <v>19</v>
      </c>
      <c r="D1512" t="s">
        <v>20</v>
      </c>
      <c r="E1512" t="s">
        <v>21</v>
      </c>
      <c r="F1512" s="1">
        <v>30</v>
      </c>
      <c r="G1512" t="s">
        <v>128</v>
      </c>
      <c r="H1512" t="s">
        <v>92</v>
      </c>
      <c r="I1512" t="s">
        <v>24</v>
      </c>
      <c r="J1512" t="s">
        <v>58</v>
      </c>
      <c r="K1512" s="2">
        <v>3</v>
      </c>
      <c r="L1512" t="s">
        <v>152</v>
      </c>
      <c r="M1512" t="s">
        <v>27</v>
      </c>
      <c r="N1512" t="s">
        <v>40</v>
      </c>
      <c r="O1512" t="s">
        <v>26</v>
      </c>
      <c r="P1512" t="s">
        <v>26</v>
      </c>
      <c r="Q1512" s="3">
        <v>31</v>
      </c>
      <c r="R1512" t="s">
        <v>29</v>
      </c>
      <c r="S1512" t="s">
        <v>50</v>
      </c>
    </row>
    <row r="1513" spans="1:19" x14ac:dyDescent="0.25">
      <c r="A1513">
        <v>1512</v>
      </c>
      <c r="B1513">
        <v>34</v>
      </c>
      <c r="C1513" t="s">
        <v>19</v>
      </c>
      <c r="D1513" t="s">
        <v>82</v>
      </c>
      <c r="E1513" t="s">
        <v>21</v>
      </c>
      <c r="F1513" s="1">
        <v>91</v>
      </c>
      <c r="G1513" t="s">
        <v>142</v>
      </c>
      <c r="H1513" t="s">
        <v>45</v>
      </c>
      <c r="I1513" t="s">
        <v>84</v>
      </c>
      <c r="J1513" t="s">
        <v>25</v>
      </c>
      <c r="K1513" s="2">
        <v>3.6</v>
      </c>
      <c r="L1513" t="s">
        <v>152</v>
      </c>
      <c r="M1513" t="s">
        <v>27</v>
      </c>
      <c r="N1513" t="s">
        <v>28</v>
      </c>
      <c r="O1513" t="s">
        <v>26</v>
      </c>
      <c r="P1513" t="s">
        <v>26</v>
      </c>
      <c r="Q1513" s="3">
        <v>48</v>
      </c>
      <c r="R1513" t="s">
        <v>27</v>
      </c>
      <c r="S1513" t="s">
        <v>41</v>
      </c>
    </row>
    <row r="1514" spans="1:19" x14ac:dyDescent="0.25">
      <c r="A1514">
        <v>1513</v>
      </c>
      <c r="B1514">
        <v>60</v>
      </c>
      <c r="C1514" t="s">
        <v>19</v>
      </c>
      <c r="D1514" t="s">
        <v>51</v>
      </c>
      <c r="E1514" t="s">
        <v>43</v>
      </c>
      <c r="F1514" s="1">
        <v>23</v>
      </c>
      <c r="G1514" t="s">
        <v>150</v>
      </c>
      <c r="H1514" t="s">
        <v>23</v>
      </c>
      <c r="I1514" t="s">
        <v>67</v>
      </c>
      <c r="J1514" t="s">
        <v>25</v>
      </c>
      <c r="K1514" s="2">
        <v>3.9</v>
      </c>
      <c r="L1514" t="s">
        <v>152</v>
      </c>
      <c r="M1514" t="s">
        <v>59</v>
      </c>
      <c r="N1514" t="s">
        <v>55</v>
      </c>
      <c r="O1514" t="s">
        <v>26</v>
      </c>
      <c r="P1514" t="s">
        <v>26</v>
      </c>
      <c r="Q1514" s="3">
        <v>18</v>
      </c>
      <c r="R1514" t="s">
        <v>46</v>
      </c>
      <c r="S1514" t="s">
        <v>77</v>
      </c>
    </row>
    <row r="1515" spans="1:19" x14ac:dyDescent="0.25">
      <c r="A1515">
        <v>1514</v>
      </c>
      <c r="B1515">
        <v>22</v>
      </c>
      <c r="C1515" t="s">
        <v>19</v>
      </c>
      <c r="D1515" t="s">
        <v>125</v>
      </c>
      <c r="E1515" t="s">
        <v>21</v>
      </c>
      <c r="F1515" s="1">
        <v>35</v>
      </c>
      <c r="G1515" t="s">
        <v>105</v>
      </c>
      <c r="H1515" t="s">
        <v>45</v>
      </c>
      <c r="I1515" t="s">
        <v>108</v>
      </c>
      <c r="J1515" t="s">
        <v>39</v>
      </c>
      <c r="K1515" s="2">
        <v>4.0999999999999996</v>
      </c>
      <c r="L1515" t="s">
        <v>152</v>
      </c>
      <c r="M1515" t="s">
        <v>46</v>
      </c>
      <c r="N1515" t="s">
        <v>40</v>
      </c>
      <c r="O1515" t="s">
        <v>26</v>
      </c>
      <c r="P1515" t="s">
        <v>26</v>
      </c>
      <c r="Q1515" s="3">
        <v>27</v>
      </c>
      <c r="R1515" t="s">
        <v>35</v>
      </c>
      <c r="S1515" t="s">
        <v>88</v>
      </c>
    </row>
    <row r="1516" spans="1:19" x14ac:dyDescent="0.25">
      <c r="A1516">
        <v>1515</v>
      </c>
      <c r="B1516">
        <v>26</v>
      </c>
      <c r="C1516" t="s">
        <v>19</v>
      </c>
      <c r="D1516" t="s">
        <v>73</v>
      </c>
      <c r="E1516" t="s">
        <v>43</v>
      </c>
      <c r="F1516" s="1">
        <v>90</v>
      </c>
      <c r="G1516" t="s">
        <v>140</v>
      </c>
      <c r="H1516" t="s">
        <v>23</v>
      </c>
      <c r="I1516" t="s">
        <v>110</v>
      </c>
      <c r="J1516" t="s">
        <v>25</v>
      </c>
      <c r="K1516" s="2">
        <v>3.9</v>
      </c>
      <c r="L1516" t="s">
        <v>152</v>
      </c>
      <c r="M1516" t="s">
        <v>29</v>
      </c>
      <c r="N1516" t="s">
        <v>72</v>
      </c>
      <c r="O1516" t="s">
        <v>26</v>
      </c>
      <c r="P1516" t="s">
        <v>26</v>
      </c>
      <c r="Q1516" s="3">
        <v>1</v>
      </c>
      <c r="R1516" t="s">
        <v>29</v>
      </c>
      <c r="S1516" t="s">
        <v>41</v>
      </c>
    </row>
    <row r="1517" spans="1:19" x14ac:dyDescent="0.25">
      <c r="A1517">
        <v>1516</v>
      </c>
      <c r="B1517">
        <v>39</v>
      </c>
      <c r="C1517" t="s">
        <v>19</v>
      </c>
      <c r="D1517" t="s">
        <v>36</v>
      </c>
      <c r="E1517" t="s">
        <v>21</v>
      </c>
      <c r="F1517" s="1">
        <v>93</v>
      </c>
      <c r="G1517" t="s">
        <v>116</v>
      </c>
      <c r="H1517" t="s">
        <v>38</v>
      </c>
      <c r="I1517" t="s">
        <v>49</v>
      </c>
      <c r="J1517" t="s">
        <v>58</v>
      </c>
      <c r="K1517" s="2">
        <v>3.9</v>
      </c>
      <c r="L1517" t="s">
        <v>152</v>
      </c>
      <c r="M1517" t="s">
        <v>59</v>
      </c>
      <c r="N1517" t="s">
        <v>72</v>
      </c>
      <c r="O1517" t="s">
        <v>26</v>
      </c>
      <c r="P1517" t="s">
        <v>26</v>
      </c>
      <c r="Q1517" s="3">
        <v>34</v>
      </c>
      <c r="R1517" t="s">
        <v>35</v>
      </c>
      <c r="S1517" t="s">
        <v>41</v>
      </c>
    </row>
    <row r="1518" spans="1:19" x14ac:dyDescent="0.25">
      <c r="A1518">
        <v>1517</v>
      </c>
      <c r="B1518">
        <v>20</v>
      </c>
      <c r="C1518" t="s">
        <v>19</v>
      </c>
      <c r="D1518" t="s">
        <v>36</v>
      </c>
      <c r="E1518" t="s">
        <v>21</v>
      </c>
      <c r="F1518" s="1">
        <v>68</v>
      </c>
      <c r="G1518" t="s">
        <v>107</v>
      </c>
      <c r="H1518" t="s">
        <v>23</v>
      </c>
      <c r="I1518" t="s">
        <v>126</v>
      </c>
      <c r="J1518" t="s">
        <v>25</v>
      </c>
      <c r="K1518" s="2">
        <v>4.5</v>
      </c>
      <c r="L1518" t="s">
        <v>152</v>
      </c>
      <c r="M1518" t="s">
        <v>34</v>
      </c>
      <c r="N1518" t="s">
        <v>28</v>
      </c>
      <c r="O1518" t="s">
        <v>26</v>
      </c>
      <c r="P1518" t="s">
        <v>26</v>
      </c>
      <c r="Q1518" s="3">
        <v>5</v>
      </c>
      <c r="R1518" t="s">
        <v>34</v>
      </c>
      <c r="S1518" t="s">
        <v>77</v>
      </c>
    </row>
    <row r="1519" spans="1:19" x14ac:dyDescent="0.25">
      <c r="A1519">
        <v>1518</v>
      </c>
      <c r="B1519">
        <v>57</v>
      </c>
      <c r="C1519" t="s">
        <v>19</v>
      </c>
      <c r="D1519" t="s">
        <v>143</v>
      </c>
      <c r="E1519" t="s">
        <v>69</v>
      </c>
      <c r="F1519" s="1">
        <v>41</v>
      </c>
      <c r="G1519" t="s">
        <v>83</v>
      </c>
      <c r="H1519" t="s">
        <v>45</v>
      </c>
      <c r="I1519" t="s">
        <v>84</v>
      </c>
      <c r="J1519" t="s">
        <v>39</v>
      </c>
      <c r="K1519" s="2">
        <v>3.4</v>
      </c>
      <c r="L1519" t="s">
        <v>152</v>
      </c>
      <c r="M1519" t="s">
        <v>46</v>
      </c>
      <c r="N1519" t="s">
        <v>55</v>
      </c>
      <c r="O1519" t="s">
        <v>26</v>
      </c>
      <c r="P1519" t="s">
        <v>26</v>
      </c>
      <c r="Q1519" s="3">
        <v>12</v>
      </c>
      <c r="R1519" t="s">
        <v>35</v>
      </c>
      <c r="S1519" t="s">
        <v>60</v>
      </c>
    </row>
    <row r="1520" spans="1:19" x14ac:dyDescent="0.25">
      <c r="A1520">
        <v>1519</v>
      </c>
      <c r="B1520">
        <v>68</v>
      </c>
      <c r="C1520" t="s">
        <v>19</v>
      </c>
      <c r="D1520" t="s">
        <v>133</v>
      </c>
      <c r="E1520" t="s">
        <v>69</v>
      </c>
      <c r="F1520" s="1">
        <v>73</v>
      </c>
      <c r="G1520" t="s">
        <v>85</v>
      </c>
      <c r="H1520" t="s">
        <v>45</v>
      </c>
      <c r="I1520" t="s">
        <v>134</v>
      </c>
      <c r="J1520" t="s">
        <v>25</v>
      </c>
      <c r="K1520" s="2">
        <v>4.0999999999999996</v>
      </c>
      <c r="L1520" t="s">
        <v>152</v>
      </c>
      <c r="M1520" t="s">
        <v>35</v>
      </c>
      <c r="N1520" t="s">
        <v>47</v>
      </c>
      <c r="O1520" t="s">
        <v>26</v>
      </c>
      <c r="P1520" t="s">
        <v>26</v>
      </c>
      <c r="Q1520" s="3">
        <v>14</v>
      </c>
      <c r="R1520" t="s">
        <v>29</v>
      </c>
      <c r="S1520" t="s">
        <v>30</v>
      </c>
    </row>
    <row r="1521" spans="1:19" x14ac:dyDescent="0.25">
      <c r="A1521">
        <v>1520</v>
      </c>
      <c r="B1521">
        <v>50</v>
      </c>
      <c r="C1521" t="s">
        <v>19</v>
      </c>
      <c r="D1521" t="s">
        <v>89</v>
      </c>
      <c r="E1521" t="s">
        <v>69</v>
      </c>
      <c r="F1521" s="1">
        <v>73</v>
      </c>
      <c r="G1521" t="s">
        <v>105</v>
      </c>
      <c r="H1521" t="s">
        <v>23</v>
      </c>
      <c r="I1521" t="s">
        <v>109</v>
      </c>
      <c r="J1521" t="s">
        <v>58</v>
      </c>
      <c r="K1521" s="2">
        <v>4.9000000000000004</v>
      </c>
      <c r="L1521" t="s">
        <v>152</v>
      </c>
      <c r="M1521" t="s">
        <v>29</v>
      </c>
      <c r="N1521" t="s">
        <v>47</v>
      </c>
      <c r="O1521" t="s">
        <v>26</v>
      </c>
      <c r="P1521" t="s">
        <v>26</v>
      </c>
      <c r="Q1521" s="3">
        <v>40</v>
      </c>
      <c r="R1521" t="s">
        <v>46</v>
      </c>
      <c r="S1521" t="s">
        <v>41</v>
      </c>
    </row>
    <row r="1522" spans="1:19" x14ac:dyDescent="0.25">
      <c r="A1522">
        <v>1521</v>
      </c>
      <c r="B1522">
        <v>21</v>
      </c>
      <c r="C1522" t="s">
        <v>19</v>
      </c>
      <c r="D1522" t="s">
        <v>124</v>
      </c>
      <c r="E1522" t="s">
        <v>69</v>
      </c>
      <c r="F1522" s="1">
        <v>66</v>
      </c>
      <c r="G1522" t="s">
        <v>146</v>
      </c>
      <c r="H1522" t="s">
        <v>45</v>
      </c>
      <c r="I1522" t="s">
        <v>110</v>
      </c>
      <c r="J1522" t="s">
        <v>54</v>
      </c>
      <c r="K1522" s="2">
        <v>4.4000000000000004</v>
      </c>
      <c r="L1522" t="s">
        <v>152</v>
      </c>
      <c r="M1522" t="s">
        <v>29</v>
      </c>
      <c r="N1522" t="s">
        <v>72</v>
      </c>
      <c r="O1522" t="s">
        <v>26</v>
      </c>
      <c r="P1522" t="s">
        <v>26</v>
      </c>
      <c r="Q1522" s="3">
        <v>39</v>
      </c>
      <c r="R1522" t="s">
        <v>35</v>
      </c>
      <c r="S1522" t="s">
        <v>60</v>
      </c>
    </row>
    <row r="1523" spans="1:19" x14ac:dyDescent="0.25">
      <c r="A1523">
        <v>1522</v>
      </c>
      <c r="B1523">
        <v>29</v>
      </c>
      <c r="C1523" t="s">
        <v>19</v>
      </c>
      <c r="D1523" t="s">
        <v>132</v>
      </c>
      <c r="E1523" t="s">
        <v>69</v>
      </c>
      <c r="F1523" s="1">
        <v>59</v>
      </c>
      <c r="G1523" t="s">
        <v>149</v>
      </c>
      <c r="H1523" t="s">
        <v>45</v>
      </c>
      <c r="I1523" t="s">
        <v>53</v>
      </c>
      <c r="J1523" t="s">
        <v>54</v>
      </c>
      <c r="K1523" s="2">
        <v>2.7</v>
      </c>
      <c r="L1523" t="s">
        <v>152</v>
      </c>
      <c r="M1523" t="s">
        <v>27</v>
      </c>
      <c r="N1523" t="s">
        <v>72</v>
      </c>
      <c r="O1523" t="s">
        <v>26</v>
      </c>
      <c r="P1523" t="s">
        <v>26</v>
      </c>
      <c r="Q1523" s="3">
        <v>50</v>
      </c>
      <c r="R1523" t="s">
        <v>34</v>
      </c>
      <c r="S1523" t="s">
        <v>41</v>
      </c>
    </row>
    <row r="1524" spans="1:19" x14ac:dyDescent="0.25">
      <c r="A1524">
        <v>1523</v>
      </c>
      <c r="B1524">
        <v>38</v>
      </c>
      <c r="C1524" t="s">
        <v>19</v>
      </c>
      <c r="D1524" t="s">
        <v>61</v>
      </c>
      <c r="E1524" t="s">
        <v>21</v>
      </c>
      <c r="F1524" s="1">
        <v>72</v>
      </c>
      <c r="G1524" t="s">
        <v>122</v>
      </c>
      <c r="H1524" t="s">
        <v>23</v>
      </c>
      <c r="I1524" t="s">
        <v>134</v>
      </c>
      <c r="J1524" t="s">
        <v>39</v>
      </c>
      <c r="K1524" s="2">
        <v>4.8</v>
      </c>
      <c r="L1524" t="s">
        <v>152</v>
      </c>
      <c r="M1524" t="s">
        <v>29</v>
      </c>
      <c r="N1524" t="s">
        <v>40</v>
      </c>
      <c r="O1524" t="s">
        <v>26</v>
      </c>
      <c r="P1524" t="s">
        <v>26</v>
      </c>
      <c r="Q1524" s="3">
        <v>5</v>
      </c>
      <c r="R1524" t="s">
        <v>59</v>
      </c>
      <c r="S1524" t="s">
        <v>88</v>
      </c>
    </row>
    <row r="1525" spans="1:19" x14ac:dyDescent="0.25">
      <c r="A1525">
        <v>1524</v>
      </c>
      <c r="B1525">
        <v>54</v>
      </c>
      <c r="C1525" t="s">
        <v>19</v>
      </c>
      <c r="D1525" t="s">
        <v>125</v>
      </c>
      <c r="E1525" t="s">
        <v>21</v>
      </c>
      <c r="F1525" s="1">
        <v>88</v>
      </c>
      <c r="G1525" t="s">
        <v>142</v>
      </c>
      <c r="H1525" t="s">
        <v>45</v>
      </c>
      <c r="I1525" t="s">
        <v>53</v>
      </c>
      <c r="J1525" t="s">
        <v>54</v>
      </c>
      <c r="K1525" s="2">
        <v>3.3</v>
      </c>
      <c r="L1525" t="s">
        <v>152</v>
      </c>
      <c r="M1525" t="s">
        <v>29</v>
      </c>
      <c r="N1525" t="s">
        <v>72</v>
      </c>
      <c r="O1525" t="s">
        <v>26</v>
      </c>
      <c r="P1525" t="s">
        <v>26</v>
      </c>
      <c r="Q1525" s="3">
        <v>35</v>
      </c>
      <c r="R1525" t="s">
        <v>59</v>
      </c>
      <c r="S1525" t="s">
        <v>50</v>
      </c>
    </row>
    <row r="1526" spans="1:19" x14ac:dyDescent="0.25">
      <c r="A1526">
        <v>1525</v>
      </c>
      <c r="B1526">
        <v>22</v>
      </c>
      <c r="C1526" t="s">
        <v>19</v>
      </c>
      <c r="D1526" t="s">
        <v>125</v>
      </c>
      <c r="E1526" t="s">
        <v>21</v>
      </c>
      <c r="F1526" s="1">
        <v>76</v>
      </c>
      <c r="G1526" t="s">
        <v>37</v>
      </c>
      <c r="H1526" t="s">
        <v>23</v>
      </c>
      <c r="I1526" t="s">
        <v>71</v>
      </c>
      <c r="J1526" t="s">
        <v>54</v>
      </c>
      <c r="K1526" s="2">
        <v>4.4000000000000004</v>
      </c>
      <c r="L1526" t="s">
        <v>152</v>
      </c>
      <c r="M1526" t="s">
        <v>59</v>
      </c>
      <c r="N1526" t="s">
        <v>40</v>
      </c>
      <c r="O1526" t="s">
        <v>26</v>
      </c>
      <c r="P1526" t="s">
        <v>26</v>
      </c>
      <c r="Q1526" s="3">
        <v>6</v>
      </c>
      <c r="R1526" t="s">
        <v>35</v>
      </c>
      <c r="S1526" t="s">
        <v>77</v>
      </c>
    </row>
    <row r="1527" spans="1:19" x14ac:dyDescent="0.25">
      <c r="A1527">
        <v>1526</v>
      </c>
      <c r="B1527">
        <v>29</v>
      </c>
      <c r="C1527" t="s">
        <v>19</v>
      </c>
      <c r="D1527" t="s">
        <v>133</v>
      </c>
      <c r="E1527" t="s">
        <v>69</v>
      </c>
      <c r="F1527" s="1">
        <v>31</v>
      </c>
      <c r="G1527" t="s">
        <v>48</v>
      </c>
      <c r="H1527" t="s">
        <v>45</v>
      </c>
      <c r="I1527" t="s">
        <v>126</v>
      </c>
      <c r="J1527" t="s">
        <v>25</v>
      </c>
      <c r="K1527" s="2">
        <v>4.5999999999999996</v>
      </c>
      <c r="L1527" t="s">
        <v>152</v>
      </c>
      <c r="M1527" t="s">
        <v>59</v>
      </c>
      <c r="N1527" t="s">
        <v>72</v>
      </c>
      <c r="O1527" t="s">
        <v>26</v>
      </c>
      <c r="P1527" t="s">
        <v>26</v>
      </c>
      <c r="Q1527" s="3">
        <v>22</v>
      </c>
      <c r="R1527" t="s">
        <v>35</v>
      </c>
      <c r="S1527" t="s">
        <v>30</v>
      </c>
    </row>
    <row r="1528" spans="1:19" x14ac:dyDescent="0.25">
      <c r="A1528">
        <v>1527</v>
      </c>
      <c r="B1528">
        <v>41</v>
      </c>
      <c r="C1528" t="s">
        <v>19</v>
      </c>
      <c r="D1528" t="s">
        <v>102</v>
      </c>
      <c r="E1528" t="s">
        <v>65</v>
      </c>
      <c r="F1528" s="1">
        <v>22</v>
      </c>
      <c r="G1528" t="s">
        <v>101</v>
      </c>
      <c r="H1528" t="s">
        <v>23</v>
      </c>
      <c r="I1528" t="s">
        <v>53</v>
      </c>
      <c r="J1528" t="s">
        <v>54</v>
      </c>
      <c r="K1528" s="2">
        <v>3.1</v>
      </c>
      <c r="L1528" t="s">
        <v>152</v>
      </c>
      <c r="M1528" t="s">
        <v>46</v>
      </c>
      <c r="N1528" t="s">
        <v>47</v>
      </c>
      <c r="O1528" t="s">
        <v>26</v>
      </c>
      <c r="P1528" t="s">
        <v>26</v>
      </c>
      <c r="Q1528" s="3">
        <v>27</v>
      </c>
      <c r="R1528" t="s">
        <v>46</v>
      </c>
      <c r="S1528" t="s">
        <v>88</v>
      </c>
    </row>
    <row r="1529" spans="1:19" x14ac:dyDescent="0.25">
      <c r="A1529">
        <v>1528</v>
      </c>
      <c r="B1529">
        <v>26</v>
      </c>
      <c r="C1529" t="s">
        <v>19</v>
      </c>
      <c r="D1529" t="s">
        <v>124</v>
      </c>
      <c r="E1529" t="s">
        <v>69</v>
      </c>
      <c r="F1529" s="1">
        <v>75</v>
      </c>
      <c r="G1529" t="s">
        <v>150</v>
      </c>
      <c r="H1529" t="s">
        <v>23</v>
      </c>
      <c r="I1529" t="s">
        <v>108</v>
      </c>
      <c r="J1529" t="s">
        <v>58</v>
      </c>
      <c r="K1529" s="2">
        <v>4.5</v>
      </c>
      <c r="L1529" t="s">
        <v>152</v>
      </c>
      <c r="M1529" t="s">
        <v>34</v>
      </c>
      <c r="N1529" t="s">
        <v>72</v>
      </c>
      <c r="O1529" t="s">
        <v>26</v>
      </c>
      <c r="P1529" t="s">
        <v>26</v>
      </c>
      <c r="Q1529" s="3">
        <v>33</v>
      </c>
      <c r="R1529" t="s">
        <v>59</v>
      </c>
      <c r="S1529" t="s">
        <v>30</v>
      </c>
    </row>
    <row r="1530" spans="1:19" x14ac:dyDescent="0.25">
      <c r="A1530">
        <v>1529</v>
      </c>
      <c r="B1530">
        <v>69</v>
      </c>
      <c r="C1530" t="s">
        <v>19</v>
      </c>
      <c r="D1530" t="s">
        <v>113</v>
      </c>
      <c r="E1530" t="s">
        <v>21</v>
      </c>
      <c r="F1530" s="1">
        <v>75</v>
      </c>
      <c r="G1530" t="s">
        <v>48</v>
      </c>
      <c r="H1530" t="s">
        <v>38</v>
      </c>
      <c r="I1530" t="s">
        <v>108</v>
      </c>
      <c r="J1530" t="s">
        <v>39</v>
      </c>
      <c r="K1530" s="2">
        <v>4</v>
      </c>
      <c r="L1530" t="s">
        <v>152</v>
      </c>
      <c r="M1530" t="s">
        <v>27</v>
      </c>
      <c r="N1530" t="s">
        <v>76</v>
      </c>
      <c r="O1530" t="s">
        <v>26</v>
      </c>
      <c r="P1530" t="s">
        <v>26</v>
      </c>
      <c r="Q1530" s="3">
        <v>47</v>
      </c>
      <c r="R1530" t="s">
        <v>29</v>
      </c>
      <c r="S1530" t="s">
        <v>77</v>
      </c>
    </row>
    <row r="1531" spans="1:19" x14ac:dyDescent="0.25">
      <c r="A1531">
        <v>1530</v>
      </c>
      <c r="B1531">
        <v>20</v>
      </c>
      <c r="C1531" t="s">
        <v>19</v>
      </c>
      <c r="D1531" t="s">
        <v>132</v>
      </c>
      <c r="E1531" t="s">
        <v>69</v>
      </c>
      <c r="F1531" s="1">
        <v>63</v>
      </c>
      <c r="G1531" t="s">
        <v>142</v>
      </c>
      <c r="H1531" t="s">
        <v>45</v>
      </c>
      <c r="I1531" t="s">
        <v>93</v>
      </c>
      <c r="J1531" t="s">
        <v>25</v>
      </c>
      <c r="K1531" s="2">
        <v>3.1</v>
      </c>
      <c r="L1531" t="s">
        <v>152</v>
      </c>
      <c r="M1531" t="s">
        <v>29</v>
      </c>
      <c r="N1531" t="s">
        <v>40</v>
      </c>
      <c r="O1531" t="s">
        <v>26</v>
      </c>
      <c r="P1531" t="s">
        <v>26</v>
      </c>
      <c r="Q1531" s="3">
        <v>48</v>
      </c>
      <c r="R1531" t="s">
        <v>27</v>
      </c>
      <c r="S1531" t="s">
        <v>77</v>
      </c>
    </row>
    <row r="1532" spans="1:19" x14ac:dyDescent="0.25">
      <c r="A1532">
        <v>1531</v>
      </c>
      <c r="B1532">
        <v>59</v>
      </c>
      <c r="C1532" t="s">
        <v>19</v>
      </c>
      <c r="D1532" t="s">
        <v>64</v>
      </c>
      <c r="E1532" t="s">
        <v>65</v>
      </c>
      <c r="F1532" s="1">
        <v>21</v>
      </c>
      <c r="G1532" t="s">
        <v>130</v>
      </c>
      <c r="H1532" t="s">
        <v>45</v>
      </c>
      <c r="I1532" t="s">
        <v>86</v>
      </c>
      <c r="J1532" t="s">
        <v>39</v>
      </c>
      <c r="K1532" s="2">
        <v>3.9</v>
      </c>
      <c r="L1532" t="s">
        <v>152</v>
      </c>
      <c r="M1532" t="s">
        <v>29</v>
      </c>
      <c r="N1532" t="s">
        <v>47</v>
      </c>
      <c r="O1532" t="s">
        <v>26</v>
      </c>
      <c r="P1532" t="s">
        <v>26</v>
      </c>
      <c r="Q1532" s="3">
        <v>22</v>
      </c>
      <c r="R1532" t="s">
        <v>34</v>
      </c>
      <c r="S1532" t="s">
        <v>60</v>
      </c>
    </row>
    <row r="1533" spans="1:19" x14ac:dyDescent="0.25">
      <c r="A1533">
        <v>1532</v>
      </c>
      <c r="B1533">
        <v>63</v>
      </c>
      <c r="C1533" t="s">
        <v>19</v>
      </c>
      <c r="D1533" t="s">
        <v>132</v>
      </c>
      <c r="E1533" t="s">
        <v>69</v>
      </c>
      <c r="F1533" s="1">
        <v>83</v>
      </c>
      <c r="G1533" t="s">
        <v>91</v>
      </c>
      <c r="H1533" t="s">
        <v>38</v>
      </c>
      <c r="I1533" t="s">
        <v>84</v>
      </c>
      <c r="J1533" t="s">
        <v>39</v>
      </c>
      <c r="K1533" s="2">
        <v>4.5</v>
      </c>
      <c r="L1533" t="s">
        <v>152</v>
      </c>
      <c r="M1533" t="s">
        <v>35</v>
      </c>
      <c r="N1533" t="s">
        <v>47</v>
      </c>
      <c r="O1533" t="s">
        <v>26</v>
      </c>
      <c r="P1533" t="s">
        <v>26</v>
      </c>
      <c r="Q1533" s="3">
        <v>8</v>
      </c>
      <c r="R1533" t="s">
        <v>46</v>
      </c>
      <c r="S1533" t="s">
        <v>77</v>
      </c>
    </row>
    <row r="1534" spans="1:19" x14ac:dyDescent="0.25">
      <c r="A1534">
        <v>1533</v>
      </c>
      <c r="B1534">
        <v>68</v>
      </c>
      <c r="C1534" t="s">
        <v>19</v>
      </c>
      <c r="D1534" t="s">
        <v>102</v>
      </c>
      <c r="E1534" t="s">
        <v>65</v>
      </c>
      <c r="F1534" s="1">
        <v>46</v>
      </c>
      <c r="G1534" t="s">
        <v>150</v>
      </c>
      <c r="H1534" t="s">
        <v>38</v>
      </c>
      <c r="I1534" t="s">
        <v>67</v>
      </c>
      <c r="J1534" t="s">
        <v>25</v>
      </c>
      <c r="K1534" s="2">
        <v>4.4000000000000004</v>
      </c>
      <c r="L1534" t="s">
        <v>152</v>
      </c>
      <c r="M1534" t="s">
        <v>46</v>
      </c>
      <c r="N1534" t="s">
        <v>47</v>
      </c>
      <c r="O1534" t="s">
        <v>26</v>
      </c>
      <c r="P1534" t="s">
        <v>26</v>
      </c>
      <c r="Q1534" s="3">
        <v>5</v>
      </c>
      <c r="R1534" t="s">
        <v>46</v>
      </c>
      <c r="S1534" t="s">
        <v>97</v>
      </c>
    </row>
    <row r="1535" spans="1:19" x14ac:dyDescent="0.25">
      <c r="A1535">
        <v>1534</v>
      </c>
      <c r="B1535">
        <v>50</v>
      </c>
      <c r="C1535" t="s">
        <v>19</v>
      </c>
      <c r="D1535" t="s">
        <v>73</v>
      </c>
      <c r="E1535" t="s">
        <v>43</v>
      </c>
      <c r="F1535" s="1">
        <v>59</v>
      </c>
      <c r="G1535" t="s">
        <v>83</v>
      </c>
      <c r="H1535" t="s">
        <v>45</v>
      </c>
      <c r="I1535" t="s">
        <v>81</v>
      </c>
      <c r="J1535" t="s">
        <v>54</v>
      </c>
      <c r="K1535" s="2">
        <v>3.6</v>
      </c>
      <c r="L1535" t="s">
        <v>152</v>
      </c>
      <c r="M1535" t="s">
        <v>34</v>
      </c>
      <c r="N1535" t="s">
        <v>72</v>
      </c>
      <c r="O1535" t="s">
        <v>26</v>
      </c>
      <c r="P1535" t="s">
        <v>26</v>
      </c>
      <c r="Q1535" s="3">
        <v>16</v>
      </c>
      <c r="R1535" t="s">
        <v>34</v>
      </c>
      <c r="S1535" t="s">
        <v>60</v>
      </c>
    </row>
    <row r="1536" spans="1:19" x14ac:dyDescent="0.25">
      <c r="A1536">
        <v>1535</v>
      </c>
      <c r="B1536">
        <v>55</v>
      </c>
      <c r="C1536" t="s">
        <v>19</v>
      </c>
      <c r="D1536" t="s">
        <v>20</v>
      </c>
      <c r="E1536" t="s">
        <v>21</v>
      </c>
      <c r="F1536" s="1">
        <v>66</v>
      </c>
      <c r="G1536" t="s">
        <v>52</v>
      </c>
      <c r="H1536" t="s">
        <v>45</v>
      </c>
      <c r="I1536" t="s">
        <v>96</v>
      </c>
      <c r="J1536" t="s">
        <v>54</v>
      </c>
      <c r="K1536" s="2">
        <v>3.4</v>
      </c>
      <c r="L1536" t="s">
        <v>152</v>
      </c>
      <c r="M1536" t="s">
        <v>29</v>
      </c>
      <c r="N1536" t="s">
        <v>40</v>
      </c>
      <c r="O1536" t="s">
        <v>26</v>
      </c>
      <c r="P1536" t="s">
        <v>26</v>
      </c>
      <c r="Q1536" s="3">
        <v>26</v>
      </c>
      <c r="R1536" t="s">
        <v>29</v>
      </c>
      <c r="S1536" t="s">
        <v>30</v>
      </c>
    </row>
    <row r="1537" spans="1:19" x14ac:dyDescent="0.25">
      <c r="A1537">
        <v>1536</v>
      </c>
      <c r="B1537">
        <v>36</v>
      </c>
      <c r="C1537" t="s">
        <v>19</v>
      </c>
      <c r="D1537" t="s">
        <v>42</v>
      </c>
      <c r="E1537" t="s">
        <v>43</v>
      </c>
      <c r="F1537" s="1">
        <v>74</v>
      </c>
      <c r="G1537" t="s">
        <v>66</v>
      </c>
      <c r="H1537" t="s">
        <v>38</v>
      </c>
      <c r="I1537" t="s">
        <v>49</v>
      </c>
      <c r="J1537" t="s">
        <v>58</v>
      </c>
      <c r="K1537" s="2">
        <v>4</v>
      </c>
      <c r="L1537" t="s">
        <v>152</v>
      </c>
      <c r="M1537" t="s">
        <v>46</v>
      </c>
      <c r="N1537" t="s">
        <v>72</v>
      </c>
      <c r="O1537" t="s">
        <v>26</v>
      </c>
      <c r="P1537" t="s">
        <v>26</v>
      </c>
      <c r="Q1537" s="3">
        <v>8</v>
      </c>
      <c r="R1537" t="s">
        <v>29</v>
      </c>
      <c r="S1537" t="s">
        <v>88</v>
      </c>
    </row>
    <row r="1538" spans="1:19" x14ac:dyDescent="0.25">
      <c r="A1538">
        <v>1537</v>
      </c>
      <c r="B1538">
        <v>18</v>
      </c>
      <c r="C1538" t="s">
        <v>19</v>
      </c>
      <c r="D1538" t="s">
        <v>89</v>
      </c>
      <c r="E1538" t="s">
        <v>69</v>
      </c>
      <c r="F1538" s="1">
        <v>82</v>
      </c>
      <c r="G1538" t="s">
        <v>151</v>
      </c>
      <c r="H1538" t="s">
        <v>45</v>
      </c>
      <c r="I1538" t="s">
        <v>126</v>
      </c>
      <c r="J1538" t="s">
        <v>54</v>
      </c>
      <c r="K1538" s="2">
        <v>2.6</v>
      </c>
      <c r="L1538" t="s">
        <v>152</v>
      </c>
      <c r="M1538" t="s">
        <v>35</v>
      </c>
      <c r="N1538" t="s">
        <v>76</v>
      </c>
      <c r="O1538" t="s">
        <v>26</v>
      </c>
      <c r="P1538" t="s">
        <v>26</v>
      </c>
      <c r="Q1538" s="3">
        <v>17</v>
      </c>
      <c r="R1538" t="s">
        <v>35</v>
      </c>
      <c r="S1538" t="s">
        <v>60</v>
      </c>
    </row>
    <row r="1539" spans="1:19" x14ac:dyDescent="0.25">
      <c r="A1539">
        <v>1538</v>
      </c>
      <c r="B1539">
        <v>68</v>
      </c>
      <c r="C1539" t="s">
        <v>19</v>
      </c>
      <c r="D1539" t="s">
        <v>73</v>
      </c>
      <c r="E1539" t="s">
        <v>43</v>
      </c>
      <c r="F1539" s="1">
        <v>89</v>
      </c>
      <c r="G1539" t="s">
        <v>120</v>
      </c>
      <c r="H1539" t="s">
        <v>23</v>
      </c>
      <c r="I1539" t="s">
        <v>94</v>
      </c>
      <c r="J1539" t="s">
        <v>39</v>
      </c>
      <c r="K1539" s="2">
        <v>3.2</v>
      </c>
      <c r="L1539" t="s">
        <v>152</v>
      </c>
      <c r="M1539" t="s">
        <v>34</v>
      </c>
      <c r="N1539" t="s">
        <v>47</v>
      </c>
      <c r="O1539" t="s">
        <v>26</v>
      </c>
      <c r="P1539" t="s">
        <v>26</v>
      </c>
      <c r="Q1539" s="3">
        <v>50</v>
      </c>
      <c r="R1539" t="s">
        <v>29</v>
      </c>
      <c r="S1539" t="s">
        <v>50</v>
      </c>
    </row>
    <row r="1540" spans="1:19" x14ac:dyDescent="0.25">
      <c r="A1540">
        <v>1539</v>
      </c>
      <c r="B1540">
        <v>56</v>
      </c>
      <c r="C1540" t="s">
        <v>19</v>
      </c>
      <c r="D1540" t="s">
        <v>82</v>
      </c>
      <c r="E1540" t="s">
        <v>21</v>
      </c>
      <c r="F1540" s="1">
        <v>65</v>
      </c>
      <c r="G1540" t="s">
        <v>115</v>
      </c>
      <c r="H1540" t="s">
        <v>23</v>
      </c>
      <c r="I1540" t="s">
        <v>63</v>
      </c>
      <c r="J1540" t="s">
        <v>58</v>
      </c>
      <c r="K1540" s="2">
        <v>3.2</v>
      </c>
      <c r="L1540" t="s">
        <v>152</v>
      </c>
      <c r="M1540" t="s">
        <v>34</v>
      </c>
      <c r="N1540" t="s">
        <v>55</v>
      </c>
      <c r="O1540" t="s">
        <v>26</v>
      </c>
      <c r="P1540" t="s">
        <v>26</v>
      </c>
      <c r="Q1540" s="3">
        <v>22</v>
      </c>
      <c r="R1540" t="s">
        <v>29</v>
      </c>
      <c r="S1540" t="s">
        <v>77</v>
      </c>
    </row>
    <row r="1541" spans="1:19" x14ac:dyDescent="0.25">
      <c r="A1541">
        <v>1540</v>
      </c>
      <c r="B1541">
        <v>32</v>
      </c>
      <c r="C1541" t="s">
        <v>19</v>
      </c>
      <c r="D1541" t="s">
        <v>133</v>
      </c>
      <c r="E1541" t="s">
        <v>69</v>
      </c>
      <c r="F1541" s="1">
        <v>55</v>
      </c>
      <c r="G1541" t="s">
        <v>78</v>
      </c>
      <c r="H1541" t="s">
        <v>45</v>
      </c>
      <c r="I1541" t="s">
        <v>49</v>
      </c>
      <c r="J1541" t="s">
        <v>39</v>
      </c>
      <c r="K1541" s="2">
        <v>5</v>
      </c>
      <c r="L1541" t="s">
        <v>152</v>
      </c>
      <c r="M1541" t="s">
        <v>27</v>
      </c>
      <c r="N1541" t="s">
        <v>72</v>
      </c>
      <c r="O1541" t="s">
        <v>26</v>
      </c>
      <c r="P1541" t="s">
        <v>26</v>
      </c>
      <c r="Q1541" s="3">
        <v>19</v>
      </c>
      <c r="R1541" t="s">
        <v>35</v>
      </c>
      <c r="S1541" t="s">
        <v>97</v>
      </c>
    </row>
    <row r="1542" spans="1:19" x14ac:dyDescent="0.25">
      <c r="A1542">
        <v>1541</v>
      </c>
      <c r="B1542">
        <v>28</v>
      </c>
      <c r="C1542" t="s">
        <v>19</v>
      </c>
      <c r="D1542" t="s">
        <v>61</v>
      </c>
      <c r="E1542" t="s">
        <v>21</v>
      </c>
      <c r="F1542" s="1">
        <v>95</v>
      </c>
      <c r="G1542" t="s">
        <v>112</v>
      </c>
      <c r="H1542" t="s">
        <v>45</v>
      </c>
      <c r="I1542" t="s">
        <v>108</v>
      </c>
      <c r="J1542" t="s">
        <v>25</v>
      </c>
      <c r="K1542" s="2">
        <v>2.9</v>
      </c>
      <c r="L1542" t="s">
        <v>152</v>
      </c>
      <c r="M1542" t="s">
        <v>59</v>
      </c>
      <c r="N1542" t="s">
        <v>47</v>
      </c>
      <c r="O1542" t="s">
        <v>26</v>
      </c>
      <c r="P1542" t="s">
        <v>26</v>
      </c>
      <c r="Q1542" s="3">
        <v>14</v>
      </c>
      <c r="R1542" t="s">
        <v>34</v>
      </c>
      <c r="S1542" t="s">
        <v>88</v>
      </c>
    </row>
    <row r="1543" spans="1:19" x14ac:dyDescent="0.25">
      <c r="A1543">
        <v>1542</v>
      </c>
      <c r="B1543">
        <v>24</v>
      </c>
      <c r="C1543" t="s">
        <v>19</v>
      </c>
      <c r="D1543" t="s">
        <v>68</v>
      </c>
      <c r="E1543" t="s">
        <v>69</v>
      </c>
      <c r="F1543" s="1">
        <v>77</v>
      </c>
      <c r="G1543" t="s">
        <v>115</v>
      </c>
      <c r="H1543" t="s">
        <v>38</v>
      </c>
      <c r="I1543" t="s">
        <v>126</v>
      </c>
      <c r="J1543" t="s">
        <v>25</v>
      </c>
      <c r="K1543" s="2">
        <v>2.9</v>
      </c>
      <c r="L1543" t="s">
        <v>152</v>
      </c>
      <c r="M1543" t="s">
        <v>35</v>
      </c>
      <c r="N1543" t="s">
        <v>76</v>
      </c>
      <c r="O1543" t="s">
        <v>26</v>
      </c>
      <c r="P1543" t="s">
        <v>26</v>
      </c>
      <c r="Q1543" s="3">
        <v>35</v>
      </c>
      <c r="R1543" t="s">
        <v>35</v>
      </c>
      <c r="S1543" t="s">
        <v>77</v>
      </c>
    </row>
    <row r="1544" spans="1:19" x14ac:dyDescent="0.25">
      <c r="A1544">
        <v>1543</v>
      </c>
      <c r="B1544">
        <v>59</v>
      </c>
      <c r="C1544" t="s">
        <v>19</v>
      </c>
      <c r="D1544" t="s">
        <v>20</v>
      </c>
      <c r="E1544" t="s">
        <v>21</v>
      </c>
      <c r="F1544" s="1">
        <v>44</v>
      </c>
      <c r="G1544" t="s">
        <v>78</v>
      </c>
      <c r="H1544" t="s">
        <v>45</v>
      </c>
      <c r="I1544" t="s">
        <v>33</v>
      </c>
      <c r="J1544" t="s">
        <v>25</v>
      </c>
      <c r="K1544" s="2">
        <v>3.5</v>
      </c>
      <c r="L1544" t="s">
        <v>152</v>
      </c>
      <c r="M1544" t="s">
        <v>29</v>
      </c>
      <c r="N1544" t="s">
        <v>47</v>
      </c>
      <c r="O1544" t="s">
        <v>26</v>
      </c>
      <c r="P1544" t="s">
        <v>26</v>
      </c>
      <c r="Q1544" s="3">
        <v>43</v>
      </c>
      <c r="R1544" t="s">
        <v>46</v>
      </c>
      <c r="S1544" t="s">
        <v>41</v>
      </c>
    </row>
    <row r="1545" spans="1:19" x14ac:dyDescent="0.25">
      <c r="A1545">
        <v>1544</v>
      </c>
      <c r="B1545">
        <v>56</v>
      </c>
      <c r="C1545" t="s">
        <v>19</v>
      </c>
      <c r="D1545" t="s">
        <v>36</v>
      </c>
      <c r="E1545" t="s">
        <v>21</v>
      </c>
      <c r="F1545" s="1">
        <v>89</v>
      </c>
      <c r="G1545" t="s">
        <v>150</v>
      </c>
      <c r="H1545" t="s">
        <v>45</v>
      </c>
      <c r="I1545" t="s">
        <v>126</v>
      </c>
      <c r="J1545" t="s">
        <v>58</v>
      </c>
      <c r="K1545" s="2">
        <v>4</v>
      </c>
      <c r="L1545" t="s">
        <v>152</v>
      </c>
      <c r="M1545" t="s">
        <v>34</v>
      </c>
      <c r="N1545" t="s">
        <v>55</v>
      </c>
      <c r="O1545" t="s">
        <v>26</v>
      </c>
      <c r="P1545" t="s">
        <v>26</v>
      </c>
      <c r="Q1545" s="3">
        <v>24</v>
      </c>
      <c r="R1545" t="s">
        <v>29</v>
      </c>
      <c r="S1545" t="s">
        <v>50</v>
      </c>
    </row>
    <row r="1546" spans="1:19" x14ac:dyDescent="0.25">
      <c r="A1546">
        <v>1545</v>
      </c>
      <c r="B1546">
        <v>30</v>
      </c>
      <c r="C1546" t="s">
        <v>19</v>
      </c>
      <c r="D1546" t="s">
        <v>106</v>
      </c>
      <c r="E1546" t="s">
        <v>69</v>
      </c>
      <c r="F1546" s="1">
        <v>24</v>
      </c>
      <c r="G1546" t="s">
        <v>74</v>
      </c>
      <c r="H1546" t="s">
        <v>45</v>
      </c>
      <c r="I1546" t="s">
        <v>33</v>
      </c>
      <c r="J1546" t="s">
        <v>39</v>
      </c>
      <c r="K1546" s="2">
        <v>3.9</v>
      </c>
      <c r="L1546" t="s">
        <v>152</v>
      </c>
      <c r="M1546" t="s">
        <v>46</v>
      </c>
      <c r="N1546" t="s">
        <v>55</v>
      </c>
      <c r="O1546" t="s">
        <v>26</v>
      </c>
      <c r="P1546" t="s">
        <v>26</v>
      </c>
      <c r="Q1546" s="3">
        <v>17</v>
      </c>
      <c r="R1546" t="s">
        <v>59</v>
      </c>
      <c r="S1546" t="s">
        <v>77</v>
      </c>
    </row>
    <row r="1547" spans="1:19" x14ac:dyDescent="0.25">
      <c r="A1547">
        <v>1546</v>
      </c>
      <c r="B1547">
        <v>48</v>
      </c>
      <c r="C1547" t="s">
        <v>19</v>
      </c>
      <c r="D1547" t="s">
        <v>133</v>
      </c>
      <c r="E1547" t="s">
        <v>69</v>
      </c>
      <c r="F1547" s="1">
        <v>43</v>
      </c>
      <c r="G1547" t="s">
        <v>80</v>
      </c>
      <c r="H1547" t="s">
        <v>45</v>
      </c>
      <c r="I1547" t="s">
        <v>94</v>
      </c>
      <c r="J1547" t="s">
        <v>25</v>
      </c>
      <c r="K1547" s="2">
        <v>4.9000000000000004</v>
      </c>
      <c r="L1547" t="s">
        <v>152</v>
      </c>
      <c r="M1547" t="s">
        <v>35</v>
      </c>
      <c r="N1547" t="s">
        <v>76</v>
      </c>
      <c r="O1547" t="s">
        <v>26</v>
      </c>
      <c r="P1547" t="s">
        <v>26</v>
      </c>
      <c r="Q1547" s="3">
        <v>49</v>
      </c>
      <c r="R1547" t="s">
        <v>34</v>
      </c>
      <c r="S1547" t="s">
        <v>50</v>
      </c>
    </row>
    <row r="1548" spans="1:19" x14ac:dyDescent="0.25">
      <c r="A1548">
        <v>1547</v>
      </c>
      <c r="B1548">
        <v>60</v>
      </c>
      <c r="C1548" t="s">
        <v>19</v>
      </c>
      <c r="D1548" t="s">
        <v>51</v>
      </c>
      <c r="E1548" t="s">
        <v>43</v>
      </c>
      <c r="F1548" s="1">
        <v>51</v>
      </c>
      <c r="G1548" t="s">
        <v>48</v>
      </c>
      <c r="H1548" t="s">
        <v>92</v>
      </c>
      <c r="I1548" t="s">
        <v>75</v>
      </c>
      <c r="J1548" t="s">
        <v>54</v>
      </c>
      <c r="K1548" s="2">
        <v>3.8</v>
      </c>
      <c r="L1548" t="s">
        <v>152</v>
      </c>
      <c r="M1548" t="s">
        <v>27</v>
      </c>
      <c r="N1548" t="s">
        <v>28</v>
      </c>
      <c r="O1548" t="s">
        <v>26</v>
      </c>
      <c r="P1548" t="s">
        <v>26</v>
      </c>
      <c r="Q1548" s="3">
        <v>17</v>
      </c>
      <c r="R1548" t="s">
        <v>34</v>
      </c>
      <c r="S1548" t="s">
        <v>50</v>
      </c>
    </row>
    <row r="1549" spans="1:19" x14ac:dyDescent="0.25">
      <c r="A1549">
        <v>1548</v>
      </c>
      <c r="B1549">
        <v>46</v>
      </c>
      <c r="C1549" t="s">
        <v>19</v>
      </c>
      <c r="D1549" t="s">
        <v>124</v>
      </c>
      <c r="E1549" t="s">
        <v>69</v>
      </c>
      <c r="F1549" s="1">
        <v>46</v>
      </c>
      <c r="G1549" t="s">
        <v>131</v>
      </c>
      <c r="H1549" t="s">
        <v>23</v>
      </c>
      <c r="I1549" t="s">
        <v>86</v>
      </c>
      <c r="J1549" t="s">
        <v>54</v>
      </c>
      <c r="K1549" s="2">
        <v>3.5</v>
      </c>
      <c r="L1549" t="s">
        <v>152</v>
      </c>
      <c r="M1549" t="s">
        <v>46</v>
      </c>
      <c r="N1549" t="s">
        <v>55</v>
      </c>
      <c r="O1549" t="s">
        <v>26</v>
      </c>
      <c r="P1549" t="s">
        <v>26</v>
      </c>
      <c r="Q1549" s="3">
        <v>40</v>
      </c>
      <c r="R1549" t="s">
        <v>35</v>
      </c>
      <c r="S1549" t="s">
        <v>60</v>
      </c>
    </row>
    <row r="1550" spans="1:19" x14ac:dyDescent="0.25">
      <c r="A1550">
        <v>1549</v>
      </c>
      <c r="B1550">
        <v>69</v>
      </c>
      <c r="C1550" t="s">
        <v>19</v>
      </c>
      <c r="D1550" t="s">
        <v>82</v>
      </c>
      <c r="E1550" t="s">
        <v>21</v>
      </c>
      <c r="F1550" s="1">
        <v>32</v>
      </c>
      <c r="G1550" t="s">
        <v>128</v>
      </c>
      <c r="H1550" t="s">
        <v>45</v>
      </c>
      <c r="I1550" t="s">
        <v>67</v>
      </c>
      <c r="J1550" t="s">
        <v>54</v>
      </c>
      <c r="K1550" s="2">
        <v>3.7</v>
      </c>
      <c r="L1550" t="s">
        <v>152</v>
      </c>
      <c r="M1550" t="s">
        <v>46</v>
      </c>
      <c r="N1550" t="s">
        <v>76</v>
      </c>
      <c r="O1550" t="s">
        <v>26</v>
      </c>
      <c r="P1550" t="s">
        <v>26</v>
      </c>
      <c r="Q1550" s="3">
        <v>43</v>
      </c>
      <c r="R1550" t="s">
        <v>34</v>
      </c>
      <c r="S1550" t="s">
        <v>41</v>
      </c>
    </row>
    <row r="1551" spans="1:19" x14ac:dyDescent="0.25">
      <c r="A1551">
        <v>1550</v>
      </c>
      <c r="B1551">
        <v>19</v>
      </c>
      <c r="C1551" t="s">
        <v>19</v>
      </c>
      <c r="D1551" t="s">
        <v>51</v>
      </c>
      <c r="E1551" t="s">
        <v>43</v>
      </c>
      <c r="F1551" s="1">
        <v>55</v>
      </c>
      <c r="G1551" t="s">
        <v>111</v>
      </c>
      <c r="H1551" t="s">
        <v>45</v>
      </c>
      <c r="I1551" t="s">
        <v>94</v>
      </c>
      <c r="J1551" t="s">
        <v>39</v>
      </c>
      <c r="K1551" s="2">
        <v>2.9</v>
      </c>
      <c r="L1551" t="s">
        <v>152</v>
      </c>
      <c r="M1551" t="s">
        <v>35</v>
      </c>
      <c r="N1551" t="s">
        <v>72</v>
      </c>
      <c r="O1551" t="s">
        <v>26</v>
      </c>
      <c r="P1551" t="s">
        <v>26</v>
      </c>
      <c r="Q1551" s="3">
        <v>19</v>
      </c>
      <c r="R1551" t="s">
        <v>59</v>
      </c>
      <c r="S1551" t="s">
        <v>97</v>
      </c>
    </row>
    <row r="1552" spans="1:19" x14ac:dyDescent="0.25">
      <c r="A1552">
        <v>1551</v>
      </c>
      <c r="B1552">
        <v>66</v>
      </c>
      <c r="C1552" t="s">
        <v>19</v>
      </c>
      <c r="D1552" t="s">
        <v>89</v>
      </c>
      <c r="E1552" t="s">
        <v>69</v>
      </c>
      <c r="F1552" s="1">
        <v>26</v>
      </c>
      <c r="G1552" t="s">
        <v>74</v>
      </c>
      <c r="H1552" t="s">
        <v>38</v>
      </c>
      <c r="I1552" t="s">
        <v>94</v>
      </c>
      <c r="J1552" t="s">
        <v>54</v>
      </c>
      <c r="K1552" s="2">
        <v>2.8</v>
      </c>
      <c r="L1552" t="s">
        <v>152</v>
      </c>
      <c r="M1552" t="s">
        <v>59</v>
      </c>
      <c r="N1552" t="s">
        <v>40</v>
      </c>
      <c r="O1552" t="s">
        <v>26</v>
      </c>
      <c r="P1552" t="s">
        <v>26</v>
      </c>
      <c r="Q1552" s="3">
        <v>40</v>
      </c>
      <c r="R1552" t="s">
        <v>34</v>
      </c>
      <c r="S1552" t="s">
        <v>60</v>
      </c>
    </row>
    <row r="1553" spans="1:19" x14ac:dyDescent="0.25">
      <c r="A1553">
        <v>1552</v>
      </c>
      <c r="B1553">
        <v>64</v>
      </c>
      <c r="C1553" t="s">
        <v>19</v>
      </c>
      <c r="D1553" t="s">
        <v>68</v>
      </c>
      <c r="E1553" t="s">
        <v>69</v>
      </c>
      <c r="F1553" s="1">
        <v>29</v>
      </c>
      <c r="G1553" t="s">
        <v>148</v>
      </c>
      <c r="H1553" t="s">
        <v>45</v>
      </c>
      <c r="I1553" t="s">
        <v>79</v>
      </c>
      <c r="J1553" t="s">
        <v>54</v>
      </c>
      <c r="K1553" s="2">
        <v>3.7</v>
      </c>
      <c r="L1553" t="s">
        <v>152</v>
      </c>
      <c r="M1553" t="s">
        <v>59</v>
      </c>
      <c r="N1553" t="s">
        <v>72</v>
      </c>
      <c r="O1553" t="s">
        <v>26</v>
      </c>
      <c r="P1553" t="s">
        <v>26</v>
      </c>
      <c r="Q1553" s="3">
        <v>13</v>
      </c>
      <c r="R1553" t="s">
        <v>27</v>
      </c>
      <c r="S1553" t="s">
        <v>88</v>
      </c>
    </row>
    <row r="1554" spans="1:19" x14ac:dyDescent="0.25">
      <c r="A1554">
        <v>1553</v>
      </c>
      <c r="B1554">
        <v>54</v>
      </c>
      <c r="C1554" t="s">
        <v>19</v>
      </c>
      <c r="D1554" t="s">
        <v>20</v>
      </c>
      <c r="E1554" t="s">
        <v>21</v>
      </c>
      <c r="F1554" s="1">
        <v>49</v>
      </c>
      <c r="G1554" t="s">
        <v>130</v>
      </c>
      <c r="H1554" t="s">
        <v>23</v>
      </c>
      <c r="I1554" t="s">
        <v>75</v>
      </c>
      <c r="J1554" t="s">
        <v>39</v>
      </c>
      <c r="K1554" s="2">
        <v>3</v>
      </c>
      <c r="L1554" t="s">
        <v>152</v>
      </c>
      <c r="M1554" t="s">
        <v>59</v>
      </c>
      <c r="N1554" t="s">
        <v>28</v>
      </c>
      <c r="O1554" t="s">
        <v>26</v>
      </c>
      <c r="P1554" t="s">
        <v>26</v>
      </c>
      <c r="Q1554" s="3">
        <v>20</v>
      </c>
      <c r="R1554" t="s">
        <v>27</v>
      </c>
      <c r="S1554" t="s">
        <v>88</v>
      </c>
    </row>
    <row r="1555" spans="1:19" x14ac:dyDescent="0.25">
      <c r="A1555">
        <v>1554</v>
      </c>
      <c r="B1555">
        <v>27</v>
      </c>
      <c r="C1555" t="s">
        <v>19</v>
      </c>
      <c r="D1555" t="s">
        <v>20</v>
      </c>
      <c r="E1555" t="s">
        <v>21</v>
      </c>
      <c r="F1555" s="1">
        <v>45</v>
      </c>
      <c r="G1555" t="s">
        <v>80</v>
      </c>
      <c r="H1555" t="s">
        <v>45</v>
      </c>
      <c r="I1555" t="s">
        <v>126</v>
      </c>
      <c r="J1555" t="s">
        <v>39</v>
      </c>
      <c r="K1555" s="2">
        <v>4.8</v>
      </c>
      <c r="L1555" t="s">
        <v>152</v>
      </c>
      <c r="M1555" t="s">
        <v>46</v>
      </c>
      <c r="N1555" t="s">
        <v>40</v>
      </c>
      <c r="O1555" t="s">
        <v>26</v>
      </c>
      <c r="P1555" t="s">
        <v>26</v>
      </c>
      <c r="Q1555" s="3">
        <v>21</v>
      </c>
      <c r="R1555" t="s">
        <v>59</v>
      </c>
      <c r="S1555" t="s">
        <v>60</v>
      </c>
    </row>
    <row r="1556" spans="1:19" x14ac:dyDescent="0.25">
      <c r="A1556">
        <v>1555</v>
      </c>
      <c r="B1556">
        <v>64</v>
      </c>
      <c r="C1556" t="s">
        <v>19</v>
      </c>
      <c r="D1556" t="s">
        <v>61</v>
      </c>
      <c r="E1556" t="s">
        <v>21</v>
      </c>
      <c r="F1556" s="1">
        <v>48</v>
      </c>
      <c r="G1556" t="s">
        <v>140</v>
      </c>
      <c r="H1556" t="s">
        <v>38</v>
      </c>
      <c r="I1556" t="s">
        <v>93</v>
      </c>
      <c r="J1556" t="s">
        <v>25</v>
      </c>
      <c r="K1556" s="2">
        <v>2.7</v>
      </c>
      <c r="L1556" t="s">
        <v>152</v>
      </c>
      <c r="M1556" t="s">
        <v>27</v>
      </c>
      <c r="N1556" t="s">
        <v>55</v>
      </c>
      <c r="O1556" t="s">
        <v>26</v>
      </c>
      <c r="P1556" t="s">
        <v>26</v>
      </c>
      <c r="Q1556" s="3">
        <v>18</v>
      </c>
      <c r="R1556" t="s">
        <v>35</v>
      </c>
      <c r="S1556" t="s">
        <v>77</v>
      </c>
    </row>
    <row r="1557" spans="1:19" x14ac:dyDescent="0.25">
      <c r="A1557">
        <v>1556</v>
      </c>
      <c r="B1557">
        <v>43</v>
      </c>
      <c r="C1557" t="s">
        <v>19</v>
      </c>
      <c r="D1557" t="s">
        <v>61</v>
      </c>
      <c r="E1557" t="s">
        <v>21</v>
      </c>
      <c r="F1557" s="1">
        <v>47</v>
      </c>
      <c r="G1557" t="s">
        <v>123</v>
      </c>
      <c r="H1557" t="s">
        <v>38</v>
      </c>
      <c r="I1557" t="s">
        <v>109</v>
      </c>
      <c r="J1557" t="s">
        <v>25</v>
      </c>
      <c r="K1557" s="2">
        <v>4.5</v>
      </c>
      <c r="L1557" t="s">
        <v>152</v>
      </c>
      <c r="M1557" t="s">
        <v>34</v>
      </c>
      <c r="N1557" t="s">
        <v>40</v>
      </c>
      <c r="O1557" t="s">
        <v>26</v>
      </c>
      <c r="P1557" t="s">
        <v>26</v>
      </c>
      <c r="Q1557" s="3">
        <v>44</v>
      </c>
      <c r="R1557" t="s">
        <v>35</v>
      </c>
      <c r="S1557" t="s">
        <v>60</v>
      </c>
    </row>
    <row r="1558" spans="1:19" x14ac:dyDescent="0.25">
      <c r="A1558">
        <v>1557</v>
      </c>
      <c r="B1558">
        <v>43</v>
      </c>
      <c r="C1558" t="s">
        <v>19</v>
      </c>
      <c r="D1558" t="s">
        <v>104</v>
      </c>
      <c r="E1558" t="s">
        <v>21</v>
      </c>
      <c r="F1558" s="1">
        <v>57</v>
      </c>
      <c r="G1558" t="s">
        <v>90</v>
      </c>
      <c r="H1558" t="s">
        <v>45</v>
      </c>
      <c r="I1558" t="s">
        <v>81</v>
      </c>
      <c r="J1558" t="s">
        <v>58</v>
      </c>
      <c r="K1558" s="2">
        <v>2.7</v>
      </c>
      <c r="L1558" t="s">
        <v>152</v>
      </c>
      <c r="M1558" t="s">
        <v>29</v>
      </c>
      <c r="N1558" t="s">
        <v>55</v>
      </c>
      <c r="O1558" t="s">
        <v>26</v>
      </c>
      <c r="P1558" t="s">
        <v>26</v>
      </c>
      <c r="Q1558" s="3">
        <v>26</v>
      </c>
      <c r="R1558" t="s">
        <v>27</v>
      </c>
      <c r="S1558" t="s">
        <v>60</v>
      </c>
    </row>
    <row r="1559" spans="1:19" x14ac:dyDescent="0.25">
      <c r="A1559">
        <v>1558</v>
      </c>
      <c r="B1559">
        <v>27</v>
      </c>
      <c r="C1559" t="s">
        <v>19</v>
      </c>
      <c r="D1559" t="s">
        <v>132</v>
      </c>
      <c r="E1559" t="s">
        <v>69</v>
      </c>
      <c r="F1559" s="1">
        <v>34</v>
      </c>
      <c r="G1559" t="s">
        <v>147</v>
      </c>
      <c r="H1559" t="s">
        <v>23</v>
      </c>
      <c r="I1559" t="s">
        <v>136</v>
      </c>
      <c r="J1559" t="s">
        <v>58</v>
      </c>
      <c r="K1559" s="2">
        <v>3.5</v>
      </c>
      <c r="L1559" t="s">
        <v>152</v>
      </c>
      <c r="M1559" t="s">
        <v>46</v>
      </c>
      <c r="N1559" t="s">
        <v>47</v>
      </c>
      <c r="O1559" t="s">
        <v>26</v>
      </c>
      <c r="P1559" t="s">
        <v>26</v>
      </c>
      <c r="Q1559" s="3">
        <v>34</v>
      </c>
      <c r="R1559" t="s">
        <v>46</v>
      </c>
      <c r="S1559" t="s">
        <v>60</v>
      </c>
    </row>
    <row r="1560" spans="1:19" x14ac:dyDescent="0.25">
      <c r="A1560">
        <v>1559</v>
      </c>
      <c r="B1560">
        <v>35</v>
      </c>
      <c r="C1560" t="s">
        <v>19</v>
      </c>
      <c r="D1560" t="s">
        <v>89</v>
      </c>
      <c r="E1560" t="s">
        <v>69</v>
      </c>
      <c r="F1560" s="1">
        <v>75</v>
      </c>
      <c r="G1560" t="s">
        <v>130</v>
      </c>
      <c r="H1560" t="s">
        <v>92</v>
      </c>
      <c r="I1560" t="s">
        <v>86</v>
      </c>
      <c r="J1560" t="s">
        <v>58</v>
      </c>
      <c r="K1560" s="2">
        <v>3.5</v>
      </c>
      <c r="L1560" t="s">
        <v>152</v>
      </c>
      <c r="M1560" t="s">
        <v>27</v>
      </c>
      <c r="N1560" t="s">
        <v>28</v>
      </c>
      <c r="O1560" t="s">
        <v>26</v>
      </c>
      <c r="P1560" t="s">
        <v>26</v>
      </c>
      <c r="Q1560" s="3">
        <v>24</v>
      </c>
      <c r="R1560" t="s">
        <v>27</v>
      </c>
      <c r="S1560" t="s">
        <v>97</v>
      </c>
    </row>
    <row r="1561" spans="1:19" x14ac:dyDescent="0.25">
      <c r="A1561">
        <v>1560</v>
      </c>
      <c r="B1561">
        <v>43</v>
      </c>
      <c r="C1561" t="s">
        <v>19</v>
      </c>
      <c r="D1561" t="s">
        <v>119</v>
      </c>
      <c r="E1561" t="s">
        <v>69</v>
      </c>
      <c r="F1561" s="1">
        <v>94</v>
      </c>
      <c r="G1561" t="s">
        <v>48</v>
      </c>
      <c r="H1561" t="s">
        <v>23</v>
      </c>
      <c r="I1561" t="s">
        <v>118</v>
      </c>
      <c r="J1561" t="s">
        <v>58</v>
      </c>
      <c r="K1561" s="2">
        <v>4.5</v>
      </c>
      <c r="L1561" t="s">
        <v>152</v>
      </c>
      <c r="M1561" t="s">
        <v>29</v>
      </c>
      <c r="N1561" t="s">
        <v>76</v>
      </c>
      <c r="O1561" t="s">
        <v>26</v>
      </c>
      <c r="P1561" t="s">
        <v>26</v>
      </c>
      <c r="Q1561" s="3">
        <v>23</v>
      </c>
      <c r="R1561" t="s">
        <v>46</v>
      </c>
      <c r="S1561" t="s">
        <v>30</v>
      </c>
    </row>
    <row r="1562" spans="1:19" x14ac:dyDescent="0.25">
      <c r="A1562">
        <v>1561</v>
      </c>
      <c r="B1562">
        <v>57</v>
      </c>
      <c r="C1562" t="s">
        <v>19</v>
      </c>
      <c r="D1562" t="s">
        <v>124</v>
      </c>
      <c r="E1562" t="s">
        <v>69</v>
      </c>
      <c r="F1562" s="1">
        <v>84</v>
      </c>
      <c r="G1562" t="s">
        <v>48</v>
      </c>
      <c r="H1562" t="s">
        <v>45</v>
      </c>
      <c r="I1562" t="s">
        <v>86</v>
      </c>
      <c r="J1562" t="s">
        <v>25</v>
      </c>
      <c r="K1562" s="2">
        <v>3.8</v>
      </c>
      <c r="L1562" t="s">
        <v>152</v>
      </c>
      <c r="M1562" t="s">
        <v>29</v>
      </c>
      <c r="N1562" t="s">
        <v>40</v>
      </c>
      <c r="O1562" t="s">
        <v>26</v>
      </c>
      <c r="P1562" t="s">
        <v>26</v>
      </c>
      <c r="Q1562" s="3">
        <v>3</v>
      </c>
      <c r="R1562" t="s">
        <v>59</v>
      </c>
      <c r="S1562" t="s">
        <v>41</v>
      </c>
    </row>
    <row r="1563" spans="1:19" x14ac:dyDescent="0.25">
      <c r="A1563">
        <v>1562</v>
      </c>
      <c r="B1563">
        <v>50</v>
      </c>
      <c r="C1563" t="s">
        <v>19</v>
      </c>
      <c r="D1563" t="s">
        <v>119</v>
      </c>
      <c r="E1563" t="s">
        <v>69</v>
      </c>
      <c r="F1563" s="1">
        <v>38</v>
      </c>
      <c r="G1563" t="s">
        <v>91</v>
      </c>
      <c r="H1563" t="s">
        <v>45</v>
      </c>
      <c r="I1563" t="s">
        <v>126</v>
      </c>
      <c r="J1563" t="s">
        <v>54</v>
      </c>
      <c r="K1563" s="2">
        <v>3.8</v>
      </c>
      <c r="L1563" t="s">
        <v>152</v>
      </c>
      <c r="M1563" t="s">
        <v>27</v>
      </c>
      <c r="N1563" t="s">
        <v>55</v>
      </c>
      <c r="O1563" t="s">
        <v>26</v>
      </c>
      <c r="P1563" t="s">
        <v>26</v>
      </c>
      <c r="Q1563" s="3">
        <v>2</v>
      </c>
      <c r="R1563" t="s">
        <v>34</v>
      </c>
      <c r="S1563" t="s">
        <v>60</v>
      </c>
    </row>
    <row r="1564" spans="1:19" x14ac:dyDescent="0.25">
      <c r="A1564">
        <v>1563</v>
      </c>
      <c r="B1564">
        <v>37</v>
      </c>
      <c r="C1564" t="s">
        <v>19</v>
      </c>
      <c r="D1564" t="s">
        <v>119</v>
      </c>
      <c r="E1564" t="s">
        <v>69</v>
      </c>
      <c r="F1564" s="1">
        <v>75</v>
      </c>
      <c r="G1564" t="s">
        <v>90</v>
      </c>
      <c r="H1564" t="s">
        <v>45</v>
      </c>
      <c r="I1564" t="s">
        <v>75</v>
      </c>
      <c r="J1564" t="s">
        <v>25</v>
      </c>
      <c r="K1564" s="2">
        <v>3.2</v>
      </c>
      <c r="L1564" t="s">
        <v>152</v>
      </c>
      <c r="M1564" t="s">
        <v>27</v>
      </c>
      <c r="N1564" t="s">
        <v>47</v>
      </c>
      <c r="O1564" t="s">
        <v>26</v>
      </c>
      <c r="P1564" t="s">
        <v>26</v>
      </c>
      <c r="Q1564" s="3">
        <v>23</v>
      </c>
      <c r="R1564" t="s">
        <v>29</v>
      </c>
      <c r="S1564" t="s">
        <v>77</v>
      </c>
    </row>
    <row r="1565" spans="1:19" x14ac:dyDescent="0.25">
      <c r="A1565">
        <v>1564</v>
      </c>
      <c r="B1565">
        <v>68</v>
      </c>
      <c r="C1565" t="s">
        <v>19</v>
      </c>
      <c r="D1565" t="s">
        <v>95</v>
      </c>
      <c r="E1565" t="s">
        <v>21</v>
      </c>
      <c r="F1565" s="1">
        <v>44</v>
      </c>
      <c r="G1565" t="s">
        <v>111</v>
      </c>
      <c r="H1565" t="s">
        <v>45</v>
      </c>
      <c r="I1565" t="s">
        <v>86</v>
      </c>
      <c r="J1565" t="s">
        <v>58</v>
      </c>
      <c r="K1565" s="2">
        <v>4.3</v>
      </c>
      <c r="L1565" t="s">
        <v>152</v>
      </c>
      <c r="M1565" t="s">
        <v>27</v>
      </c>
      <c r="N1565" t="s">
        <v>47</v>
      </c>
      <c r="O1565" t="s">
        <v>26</v>
      </c>
      <c r="P1565" t="s">
        <v>26</v>
      </c>
      <c r="Q1565" s="3">
        <v>8</v>
      </c>
      <c r="R1565" t="s">
        <v>35</v>
      </c>
      <c r="S1565" t="s">
        <v>41</v>
      </c>
    </row>
    <row r="1566" spans="1:19" x14ac:dyDescent="0.25">
      <c r="A1566">
        <v>1565</v>
      </c>
      <c r="B1566">
        <v>22</v>
      </c>
      <c r="C1566" t="s">
        <v>19</v>
      </c>
      <c r="D1566" t="s">
        <v>132</v>
      </c>
      <c r="E1566" t="s">
        <v>69</v>
      </c>
      <c r="F1566" s="1">
        <v>33</v>
      </c>
      <c r="G1566" t="s">
        <v>99</v>
      </c>
      <c r="H1566" t="s">
        <v>92</v>
      </c>
      <c r="I1566" t="s">
        <v>49</v>
      </c>
      <c r="J1566" t="s">
        <v>54</v>
      </c>
      <c r="K1566" s="2">
        <v>4.5</v>
      </c>
      <c r="L1566" t="s">
        <v>152</v>
      </c>
      <c r="M1566" t="s">
        <v>35</v>
      </c>
      <c r="N1566" t="s">
        <v>47</v>
      </c>
      <c r="O1566" t="s">
        <v>26</v>
      </c>
      <c r="P1566" t="s">
        <v>26</v>
      </c>
      <c r="Q1566" s="3">
        <v>30</v>
      </c>
      <c r="R1566" t="s">
        <v>59</v>
      </c>
      <c r="S1566" t="s">
        <v>97</v>
      </c>
    </row>
    <row r="1567" spans="1:19" x14ac:dyDescent="0.25">
      <c r="A1567">
        <v>1566</v>
      </c>
      <c r="B1567">
        <v>58</v>
      </c>
      <c r="C1567" t="s">
        <v>19</v>
      </c>
      <c r="D1567" t="s">
        <v>89</v>
      </c>
      <c r="E1567" t="s">
        <v>69</v>
      </c>
      <c r="F1567" s="1">
        <v>93</v>
      </c>
      <c r="G1567" t="s">
        <v>135</v>
      </c>
      <c r="H1567" t="s">
        <v>23</v>
      </c>
      <c r="I1567" t="s">
        <v>100</v>
      </c>
      <c r="J1567" t="s">
        <v>58</v>
      </c>
      <c r="K1567" s="2">
        <v>4.2</v>
      </c>
      <c r="L1567" t="s">
        <v>152</v>
      </c>
      <c r="M1567" t="s">
        <v>29</v>
      </c>
      <c r="N1567" t="s">
        <v>40</v>
      </c>
      <c r="O1567" t="s">
        <v>26</v>
      </c>
      <c r="P1567" t="s">
        <v>26</v>
      </c>
      <c r="Q1567" s="3">
        <v>48</v>
      </c>
      <c r="R1567" t="s">
        <v>46</v>
      </c>
      <c r="S1567" t="s">
        <v>50</v>
      </c>
    </row>
    <row r="1568" spans="1:19" x14ac:dyDescent="0.25">
      <c r="A1568">
        <v>1567</v>
      </c>
      <c r="B1568">
        <v>48</v>
      </c>
      <c r="C1568" t="s">
        <v>19</v>
      </c>
      <c r="D1568" t="s">
        <v>51</v>
      </c>
      <c r="E1568" t="s">
        <v>43</v>
      </c>
      <c r="F1568" s="1">
        <v>99</v>
      </c>
      <c r="G1568" t="s">
        <v>52</v>
      </c>
      <c r="H1568" t="s">
        <v>38</v>
      </c>
      <c r="I1568" t="s">
        <v>96</v>
      </c>
      <c r="J1568" t="s">
        <v>25</v>
      </c>
      <c r="K1568" s="2">
        <v>3</v>
      </c>
      <c r="L1568" t="s">
        <v>152</v>
      </c>
      <c r="M1568" t="s">
        <v>27</v>
      </c>
      <c r="N1568" t="s">
        <v>40</v>
      </c>
      <c r="O1568" t="s">
        <v>26</v>
      </c>
      <c r="P1568" t="s">
        <v>26</v>
      </c>
      <c r="Q1568" s="3">
        <v>21</v>
      </c>
      <c r="R1568" t="s">
        <v>35</v>
      </c>
      <c r="S1568" t="s">
        <v>77</v>
      </c>
    </row>
    <row r="1569" spans="1:19" x14ac:dyDescent="0.25">
      <c r="A1569">
        <v>1568</v>
      </c>
      <c r="B1569">
        <v>30</v>
      </c>
      <c r="C1569" t="s">
        <v>19</v>
      </c>
      <c r="D1569" t="s">
        <v>132</v>
      </c>
      <c r="E1569" t="s">
        <v>69</v>
      </c>
      <c r="F1569" s="1">
        <v>33</v>
      </c>
      <c r="G1569" t="s">
        <v>148</v>
      </c>
      <c r="H1569" t="s">
        <v>45</v>
      </c>
      <c r="I1569" t="s">
        <v>49</v>
      </c>
      <c r="J1569" t="s">
        <v>39</v>
      </c>
      <c r="K1569" s="2">
        <v>4.0999999999999996</v>
      </c>
      <c r="L1569" t="s">
        <v>152</v>
      </c>
      <c r="M1569" t="s">
        <v>29</v>
      </c>
      <c r="N1569" t="s">
        <v>55</v>
      </c>
      <c r="O1569" t="s">
        <v>26</v>
      </c>
      <c r="P1569" t="s">
        <v>26</v>
      </c>
      <c r="Q1569" s="3">
        <v>9</v>
      </c>
      <c r="R1569" t="s">
        <v>35</v>
      </c>
      <c r="S1569" t="s">
        <v>88</v>
      </c>
    </row>
    <row r="1570" spans="1:19" x14ac:dyDescent="0.25">
      <c r="A1570">
        <v>1569</v>
      </c>
      <c r="B1570">
        <v>51</v>
      </c>
      <c r="C1570" t="s">
        <v>19</v>
      </c>
      <c r="D1570" t="s">
        <v>51</v>
      </c>
      <c r="E1570" t="s">
        <v>43</v>
      </c>
      <c r="F1570" s="1">
        <v>76</v>
      </c>
      <c r="G1570" t="s">
        <v>149</v>
      </c>
      <c r="H1570" t="s">
        <v>23</v>
      </c>
      <c r="I1570" t="s">
        <v>134</v>
      </c>
      <c r="J1570" t="s">
        <v>39</v>
      </c>
      <c r="K1570" s="2">
        <v>4.5999999999999996</v>
      </c>
      <c r="L1570" t="s">
        <v>152</v>
      </c>
      <c r="M1570" t="s">
        <v>29</v>
      </c>
      <c r="N1570" t="s">
        <v>76</v>
      </c>
      <c r="O1570" t="s">
        <v>26</v>
      </c>
      <c r="P1570" t="s">
        <v>26</v>
      </c>
      <c r="Q1570" s="3">
        <v>8</v>
      </c>
      <c r="R1570" t="s">
        <v>59</v>
      </c>
      <c r="S1570" t="s">
        <v>88</v>
      </c>
    </row>
    <row r="1571" spans="1:19" x14ac:dyDescent="0.25">
      <c r="A1571">
        <v>1570</v>
      </c>
      <c r="B1571">
        <v>20</v>
      </c>
      <c r="C1571" t="s">
        <v>19</v>
      </c>
      <c r="D1571" t="s">
        <v>87</v>
      </c>
      <c r="E1571" t="s">
        <v>21</v>
      </c>
      <c r="F1571" s="1">
        <v>63</v>
      </c>
      <c r="G1571" t="s">
        <v>78</v>
      </c>
      <c r="H1571" t="s">
        <v>45</v>
      </c>
      <c r="I1571" t="s">
        <v>121</v>
      </c>
      <c r="J1571" t="s">
        <v>54</v>
      </c>
      <c r="K1571" s="2">
        <v>2.9</v>
      </c>
      <c r="L1571" t="s">
        <v>152</v>
      </c>
      <c r="M1571" t="s">
        <v>46</v>
      </c>
      <c r="N1571" t="s">
        <v>55</v>
      </c>
      <c r="O1571" t="s">
        <v>26</v>
      </c>
      <c r="P1571" t="s">
        <v>26</v>
      </c>
      <c r="Q1571" s="3">
        <v>29</v>
      </c>
      <c r="R1571" t="s">
        <v>59</v>
      </c>
      <c r="S1571" t="s">
        <v>41</v>
      </c>
    </row>
    <row r="1572" spans="1:19" x14ac:dyDescent="0.25">
      <c r="A1572">
        <v>1571</v>
      </c>
      <c r="B1572">
        <v>30</v>
      </c>
      <c r="C1572" t="s">
        <v>19</v>
      </c>
      <c r="D1572" t="s">
        <v>95</v>
      </c>
      <c r="E1572" t="s">
        <v>21</v>
      </c>
      <c r="F1572" s="1">
        <v>41</v>
      </c>
      <c r="G1572" t="s">
        <v>70</v>
      </c>
      <c r="H1572" t="s">
        <v>23</v>
      </c>
      <c r="I1572" t="s">
        <v>110</v>
      </c>
      <c r="J1572" t="s">
        <v>25</v>
      </c>
      <c r="K1572" s="2">
        <v>4.8</v>
      </c>
      <c r="L1572" t="s">
        <v>152</v>
      </c>
      <c r="M1572" t="s">
        <v>59</v>
      </c>
      <c r="N1572" t="s">
        <v>47</v>
      </c>
      <c r="O1572" t="s">
        <v>26</v>
      </c>
      <c r="P1572" t="s">
        <v>26</v>
      </c>
      <c r="Q1572" s="3">
        <v>3</v>
      </c>
      <c r="R1572" t="s">
        <v>34</v>
      </c>
      <c r="S1572" t="s">
        <v>97</v>
      </c>
    </row>
    <row r="1573" spans="1:19" x14ac:dyDescent="0.25">
      <c r="A1573">
        <v>1572</v>
      </c>
      <c r="B1573">
        <v>28</v>
      </c>
      <c r="C1573" t="s">
        <v>19</v>
      </c>
      <c r="D1573" t="s">
        <v>106</v>
      </c>
      <c r="E1573" t="s">
        <v>69</v>
      </c>
      <c r="F1573" s="1">
        <v>88</v>
      </c>
      <c r="G1573" t="s">
        <v>112</v>
      </c>
      <c r="H1573" t="s">
        <v>23</v>
      </c>
      <c r="I1573" t="s">
        <v>67</v>
      </c>
      <c r="J1573" t="s">
        <v>25</v>
      </c>
      <c r="K1573" s="2">
        <v>4.5</v>
      </c>
      <c r="L1573" t="s">
        <v>152</v>
      </c>
      <c r="M1573" t="s">
        <v>35</v>
      </c>
      <c r="N1573" t="s">
        <v>47</v>
      </c>
      <c r="O1573" t="s">
        <v>26</v>
      </c>
      <c r="P1573" t="s">
        <v>26</v>
      </c>
      <c r="Q1573" s="3">
        <v>11</v>
      </c>
      <c r="R1573" t="s">
        <v>34</v>
      </c>
      <c r="S1573" t="s">
        <v>30</v>
      </c>
    </row>
    <row r="1574" spans="1:19" x14ac:dyDescent="0.25">
      <c r="A1574">
        <v>1573</v>
      </c>
      <c r="B1574">
        <v>37</v>
      </c>
      <c r="C1574" t="s">
        <v>19</v>
      </c>
      <c r="D1574" t="s">
        <v>87</v>
      </c>
      <c r="E1574" t="s">
        <v>21</v>
      </c>
      <c r="F1574" s="1">
        <v>92</v>
      </c>
      <c r="G1574" t="s">
        <v>149</v>
      </c>
      <c r="H1574" t="s">
        <v>23</v>
      </c>
      <c r="I1574" t="s">
        <v>53</v>
      </c>
      <c r="J1574" t="s">
        <v>54</v>
      </c>
      <c r="K1574" s="2">
        <v>3.4</v>
      </c>
      <c r="L1574" t="s">
        <v>152</v>
      </c>
      <c r="M1574" t="s">
        <v>29</v>
      </c>
      <c r="N1574" t="s">
        <v>72</v>
      </c>
      <c r="O1574" t="s">
        <v>26</v>
      </c>
      <c r="P1574" t="s">
        <v>26</v>
      </c>
      <c r="Q1574" s="3">
        <v>16</v>
      </c>
      <c r="R1574" t="s">
        <v>59</v>
      </c>
      <c r="S1574" t="s">
        <v>88</v>
      </c>
    </row>
    <row r="1575" spans="1:19" x14ac:dyDescent="0.25">
      <c r="A1575">
        <v>1574</v>
      </c>
      <c r="B1575">
        <v>36</v>
      </c>
      <c r="C1575" t="s">
        <v>19</v>
      </c>
      <c r="D1575" t="s">
        <v>113</v>
      </c>
      <c r="E1575" t="s">
        <v>21</v>
      </c>
      <c r="F1575" s="1">
        <v>31</v>
      </c>
      <c r="G1575" t="s">
        <v>114</v>
      </c>
      <c r="H1575" t="s">
        <v>23</v>
      </c>
      <c r="I1575" t="s">
        <v>126</v>
      </c>
      <c r="J1575" t="s">
        <v>54</v>
      </c>
      <c r="K1575" s="2">
        <v>4.3</v>
      </c>
      <c r="L1575" t="s">
        <v>152</v>
      </c>
      <c r="M1575" t="s">
        <v>59</v>
      </c>
      <c r="N1575" t="s">
        <v>72</v>
      </c>
      <c r="O1575" t="s">
        <v>26</v>
      </c>
      <c r="P1575" t="s">
        <v>26</v>
      </c>
      <c r="Q1575" s="3">
        <v>25</v>
      </c>
      <c r="R1575" t="s">
        <v>59</v>
      </c>
      <c r="S1575" t="s">
        <v>41</v>
      </c>
    </row>
    <row r="1576" spans="1:19" x14ac:dyDescent="0.25">
      <c r="A1576">
        <v>1575</v>
      </c>
      <c r="B1576">
        <v>18</v>
      </c>
      <c r="C1576" t="s">
        <v>19</v>
      </c>
      <c r="D1576" t="s">
        <v>87</v>
      </c>
      <c r="E1576" t="s">
        <v>21</v>
      </c>
      <c r="F1576" s="1">
        <v>25</v>
      </c>
      <c r="G1576" t="s">
        <v>148</v>
      </c>
      <c r="H1576" t="s">
        <v>38</v>
      </c>
      <c r="I1576" t="s">
        <v>136</v>
      </c>
      <c r="J1576" t="s">
        <v>39</v>
      </c>
      <c r="K1576" s="2">
        <v>4.2</v>
      </c>
      <c r="L1576" t="s">
        <v>152</v>
      </c>
      <c r="M1576" t="s">
        <v>34</v>
      </c>
      <c r="N1576" t="s">
        <v>40</v>
      </c>
      <c r="O1576" t="s">
        <v>26</v>
      </c>
      <c r="P1576" t="s">
        <v>26</v>
      </c>
      <c r="Q1576" s="3">
        <v>32</v>
      </c>
      <c r="R1576" t="s">
        <v>46</v>
      </c>
      <c r="S1576" t="s">
        <v>77</v>
      </c>
    </row>
    <row r="1577" spans="1:19" x14ac:dyDescent="0.25">
      <c r="A1577">
        <v>1576</v>
      </c>
      <c r="B1577">
        <v>52</v>
      </c>
      <c r="C1577" t="s">
        <v>19</v>
      </c>
      <c r="D1577" t="s">
        <v>56</v>
      </c>
      <c r="E1577" t="s">
        <v>21</v>
      </c>
      <c r="F1577" s="1">
        <v>28</v>
      </c>
      <c r="G1577" t="s">
        <v>99</v>
      </c>
      <c r="H1577" t="s">
        <v>45</v>
      </c>
      <c r="I1577" t="s">
        <v>49</v>
      </c>
      <c r="J1577" t="s">
        <v>39</v>
      </c>
      <c r="K1577" s="2">
        <v>3.6</v>
      </c>
      <c r="L1577" t="s">
        <v>152</v>
      </c>
      <c r="M1577" t="s">
        <v>35</v>
      </c>
      <c r="N1577" t="s">
        <v>47</v>
      </c>
      <c r="O1577" t="s">
        <v>26</v>
      </c>
      <c r="P1577" t="s">
        <v>26</v>
      </c>
      <c r="Q1577" s="3">
        <v>28</v>
      </c>
      <c r="R1577" t="s">
        <v>35</v>
      </c>
      <c r="S1577" t="s">
        <v>30</v>
      </c>
    </row>
    <row r="1578" spans="1:19" x14ac:dyDescent="0.25">
      <c r="A1578">
        <v>1577</v>
      </c>
      <c r="B1578">
        <v>56</v>
      </c>
      <c r="C1578" t="s">
        <v>19</v>
      </c>
      <c r="D1578" t="s">
        <v>82</v>
      </c>
      <c r="E1578" t="s">
        <v>21</v>
      </c>
      <c r="F1578" s="1">
        <v>75</v>
      </c>
      <c r="G1578" t="s">
        <v>151</v>
      </c>
      <c r="H1578" t="s">
        <v>45</v>
      </c>
      <c r="I1578" t="s">
        <v>53</v>
      </c>
      <c r="J1578" t="s">
        <v>39</v>
      </c>
      <c r="K1578" s="2">
        <v>3.7</v>
      </c>
      <c r="L1578" t="s">
        <v>152</v>
      </c>
      <c r="M1578" t="s">
        <v>46</v>
      </c>
      <c r="N1578" t="s">
        <v>72</v>
      </c>
      <c r="O1578" t="s">
        <v>26</v>
      </c>
      <c r="P1578" t="s">
        <v>26</v>
      </c>
      <c r="Q1578" s="3">
        <v>36</v>
      </c>
      <c r="R1578" t="s">
        <v>46</v>
      </c>
      <c r="S1578" t="s">
        <v>88</v>
      </c>
    </row>
    <row r="1579" spans="1:19" x14ac:dyDescent="0.25">
      <c r="A1579">
        <v>1578</v>
      </c>
      <c r="B1579">
        <v>68</v>
      </c>
      <c r="C1579" t="s">
        <v>19</v>
      </c>
      <c r="D1579" t="s">
        <v>137</v>
      </c>
      <c r="E1579" t="s">
        <v>43</v>
      </c>
      <c r="F1579" s="1">
        <v>34</v>
      </c>
      <c r="G1579" t="s">
        <v>80</v>
      </c>
      <c r="H1579" t="s">
        <v>38</v>
      </c>
      <c r="I1579" t="s">
        <v>79</v>
      </c>
      <c r="J1579" t="s">
        <v>39</v>
      </c>
      <c r="K1579" s="2">
        <v>4</v>
      </c>
      <c r="L1579" t="s">
        <v>152</v>
      </c>
      <c r="M1579" t="s">
        <v>59</v>
      </c>
      <c r="N1579" t="s">
        <v>55</v>
      </c>
      <c r="O1579" t="s">
        <v>26</v>
      </c>
      <c r="P1579" t="s">
        <v>26</v>
      </c>
      <c r="Q1579" s="3">
        <v>7</v>
      </c>
      <c r="R1579" t="s">
        <v>29</v>
      </c>
      <c r="S1579" t="s">
        <v>30</v>
      </c>
    </row>
    <row r="1580" spans="1:19" x14ac:dyDescent="0.25">
      <c r="A1580">
        <v>1579</v>
      </c>
      <c r="B1580">
        <v>62</v>
      </c>
      <c r="C1580" t="s">
        <v>19</v>
      </c>
      <c r="D1580" t="s">
        <v>95</v>
      </c>
      <c r="E1580" t="s">
        <v>21</v>
      </c>
      <c r="F1580" s="1">
        <v>97</v>
      </c>
      <c r="G1580" t="s">
        <v>99</v>
      </c>
      <c r="H1580" t="s">
        <v>38</v>
      </c>
      <c r="I1580" t="s">
        <v>33</v>
      </c>
      <c r="J1580" t="s">
        <v>25</v>
      </c>
      <c r="K1580" s="2">
        <v>4.9000000000000004</v>
      </c>
      <c r="L1580" t="s">
        <v>152</v>
      </c>
      <c r="M1580" t="s">
        <v>59</v>
      </c>
      <c r="N1580" t="s">
        <v>72</v>
      </c>
      <c r="O1580" t="s">
        <v>26</v>
      </c>
      <c r="P1580" t="s">
        <v>26</v>
      </c>
      <c r="Q1580" s="3">
        <v>2</v>
      </c>
      <c r="R1580" t="s">
        <v>46</v>
      </c>
      <c r="S1580" t="s">
        <v>60</v>
      </c>
    </row>
    <row r="1581" spans="1:19" x14ac:dyDescent="0.25">
      <c r="A1581">
        <v>1580</v>
      </c>
      <c r="B1581">
        <v>35</v>
      </c>
      <c r="C1581" t="s">
        <v>19</v>
      </c>
      <c r="D1581" t="s">
        <v>102</v>
      </c>
      <c r="E1581" t="s">
        <v>65</v>
      </c>
      <c r="F1581" s="1">
        <v>80</v>
      </c>
      <c r="G1581" t="s">
        <v>101</v>
      </c>
      <c r="H1581" t="s">
        <v>45</v>
      </c>
      <c r="I1581" t="s">
        <v>84</v>
      </c>
      <c r="J1581" t="s">
        <v>54</v>
      </c>
      <c r="K1581" s="2">
        <v>3.1</v>
      </c>
      <c r="L1581" t="s">
        <v>152</v>
      </c>
      <c r="M1581" t="s">
        <v>35</v>
      </c>
      <c r="N1581" t="s">
        <v>40</v>
      </c>
      <c r="O1581" t="s">
        <v>26</v>
      </c>
      <c r="P1581" t="s">
        <v>26</v>
      </c>
      <c r="Q1581" s="3">
        <v>6</v>
      </c>
      <c r="R1581" t="s">
        <v>34</v>
      </c>
      <c r="S1581" t="s">
        <v>88</v>
      </c>
    </row>
    <row r="1582" spans="1:19" x14ac:dyDescent="0.25">
      <c r="A1582">
        <v>1581</v>
      </c>
      <c r="B1582">
        <v>65</v>
      </c>
      <c r="C1582" t="s">
        <v>19</v>
      </c>
      <c r="D1582" t="s">
        <v>51</v>
      </c>
      <c r="E1582" t="s">
        <v>43</v>
      </c>
      <c r="F1582" s="1">
        <v>71</v>
      </c>
      <c r="G1582" t="s">
        <v>114</v>
      </c>
      <c r="H1582" t="s">
        <v>23</v>
      </c>
      <c r="I1582" t="s">
        <v>109</v>
      </c>
      <c r="J1582" t="s">
        <v>54</v>
      </c>
      <c r="K1582" s="2">
        <v>3.7</v>
      </c>
      <c r="L1582" t="s">
        <v>152</v>
      </c>
      <c r="M1582" t="s">
        <v>27</v>
      </c>
      <c r="N1582" t="s">
        <v>55</v>
      </c>
      <c r="O1582" t="s">
        <v>26</v>
      </c>
      <c r="P1582" t="s">
        <v>26</v>
      </c>
      <c r="Q1582" s="3">
        <v>30</v>
      </c>
      <c r="R1582" t="s">
        <v>35</v>
      </c>
      <c r="S1582" t="s">
        <v>50</v>
      </c>
    </row>
    <row r="1583" spans="1:19" x14ac:dyDescent="0.25">
      <c r="A1583">
        <v>1582</v>
      </c>
      <c r="B1583">
        <v>69</v>
      </c>
      <c r="C1583" t="s">
        <v>19</v>
      </c>
      <c r="D1583" t="s">
        <v>106</v>
      </c>
      <c r="E1583" t="s">
        <v>69</v>
      </c>
      <c r="F1583" s="1">
        <v>77</v>
      </c>
      <c r="G1583" t="s">
        <v>123</v>
      </c>
      <c r="H1583" t="s">
        <v>23</v>
      </c>
      <c r="I1583" t="s">
        <v>86</v>
      </c>
      <c r="J1583" t="s">
        <v>58</v>
      </c>
      <c r="K1583" s="2">
        <v>4.2</v>
      </c>
      <c r="L1583" t="s">
        <v>152</v>
      </c>
      <c r="M1583" t="s">
        <v>46</v>
      </c>
      <c r="N1583" t="s">
        <v>40</v>
      </c>
      <c r="O1583" t="s">
        <v>26</v>
      </c>
      <c r="P1583" t="s">
        <v>26</v>
      </c>
      <c r="Q1583" s="3">
        <v>46</v>
      </c>
      <c r="R1583" t="s">
        <v>35</v>
      </c>
      <c r="S1583" t="s">
        <v>60</v>
      </c>
    </row>
    <row r="1584" spans="1:19" x14ac:dyDescent="0.25">
      <c r="A1584">
        <v>1583</v>
      </c>
      <c r="B1584">
        <v>28</v>
      </c>
      <c r="C1584" t="s">
        <v>19</v>
      </c>
      <c r="D1584" t="s">
        <v>133</v>
      </c>
      <c r="E1584" t="s">
        <v>69</v>
      </c>
      <c r="F1584" s="1">
        <v>41</v>
      </c>
      <c r="G1584" t="s">
        <v>78</v>
      </c>
      <c r="H1584" t="s">
        <v>23</v>
      </c>
      <c r="I1584" t="s">
        <v>108</v>
      </c>
      <c r="J1584" t="s">
        <v>39</v>
      </c>
      <c r="K1584" s="2">
        <v>2.5</v>
      </c>
      <c r="L1584" t="s">
        <v>152</v>
      </c>
      <c r="M1584" t="s">
        <v>35</v>
      </c>
      <c r="N1584" t="s">
        <v>47</v>
      </c>
      <c r="O1584" t="s">
        <v>26</v>
      </c>
      <c r="P1584" t="s">
        <v>26</v>
      </c>
      <c r="Q1584" s="3">
        <v>39</v>
      </c>
      <c r="R1584" t="s">
        <v>35</v>
      </c>
      <c r="S1584" t="s">
        <v>88</v>
      </c>
    </row>
    <row r="1585" spans="1:19" x14ac:dyDescent="0.25">
      <c r="A1585">
        <v>1584</v>
      </c>
      <c r="B1585">
        <v>37</v>
      </c>
      <c r="C1585" t="s">
        <v>19</v>
      </c>
      <c r="D1585" t="s">
        <v>119</v>
      </c>
      <c r="E1585" t="s">
        <v>69</v>
      </c>
      <c r="F1585" s="1">
        <v>92</v>
      </c>
      <c r="G1585" t="s">
        <v>128</v>
      </c>
      <c r="H1585" t="s">
        <v>92</v>
      </c>
      <c r="I1585" t="s">
        <v>134</v>
      </c>
      <c r="J1585" t="s">
        <v>54</v>
      </c>
      <c r="K1585" s="2">
        <v>4.3</v>
      </c>
      <c r="L1585" t="s">
        <v>152</v>
      </c>
      <c r="M1585" t="s">
        <v>35</v>
      </c>
      <c r="N1585" t="s">
        <v>47</v>
      </c>
      <c r="O1585" t="s">
        <v>26</v>
      </c>
      <c r="P1585" t="s">
        <v>26</v>
      </c>
      <c r="Q1585" s="3">
        <v>8</v>
      </c>
      <c r="R1585" t="s">
        <v>29</v>
      </c>
      <c r="S1585" t="s">
        <v>50</v>
      </c>
    </row>
    <row r="1586" spans="1:19" x14ac:dyDescent="0.25">
      <c r="A1586">
        <v>1585</v>
      </c>
      <c r="B1586">
        <v>41</v>
      </c>
      <c r="C1586" t="s">
        <v>19</v>
      </c>
      <c r="D1586" t="s">
        <v>20</v>
      </c>
      <c r="E1586" t="s">
        <v>21</v>
      </c>
      <c r="F1586" s="1">
        <v>95</v>
      </c>
      <c r="G1586" t="s">
        <v>78</v>
      </c>
      <c r="H1586" t="s">
        <v>38</v>
      </c>
      <c r="I1586" t="s">
        <v>67</v>
      </c>
      <c r="J1586" t="s">
        <v>39</v>
      </c>
      <c r="K1586" s="2">
        <v>3.1</v>
      </c>
      <c r="L1586" t="s">
        <v>152</v>
      </c>
      <c r="M1586" t="s">
        <v>29</v>
      </c>
      <c r="N1586" t="s">
        <v>76</v>
      </c>
      <c r="O1586" t="s">
        <v>26</v>
      </c>
      <c r="P1586" t="s">
        <v>26</v>
      </c>
      <c r="Q1586" s="3">
        <v>46</v>
      </c>
      <c r="R1586" t="s">
        <v>27</v>
      </c>
      <c r="S1586" t="s">
        <v>60</v>
      </c>
    </row>
    <row r="1587" spans="1:19" x14ac:dyDescent="0.25">
      <c r="A1587">
        <v>1586</v>
      </c>
      <c r="B1587">
        <v>37</v>
      </c>
      <c r="C1587" t="s">
        <v>19</v>
      </c>
      <c r="D1587" t="s">
        <v>31</v>
      </c>
      <c r="E1587" t="s">
        <v>21</v>
      </c>
      <c r="F1587" s="1">
        <v>25</v>
      </c>
      <c r="G1587" t="s">
        <v>90</v>
      </c>
      <c r="H1587" t="s">
        <v>45</v>
      </c>
      <c r="I1587" t="s">
        <v>63</v>
      </c>
      <c r="J1587" t="s">
        <v>58</v>
      </c>
      <c r="K1587" s="2">
        <v>3</v>
      </c>
      <c r="L1587" t="s">
        <v>152</v>
      </c>
      <c r="M1587" t="s">
        <v>35</v>
      </c>
      <c r="N1587" t="s">
        <v>47</v>
      </c>
      <c r="O1587" t="s">
        <v>26</v>
      </c>
      <c r="P1587" t="s">
        <v>26</v>
      </c>
      <c r="Q1587" s="3">
        <v>40</v>
      </c>
      <c r="R1587" t="s">
        <v>59</v>
      </c>
      <c r="S1587" t="s">
        <v>30</v>
      </c>
    </row>
    <row r="1588" spans="1:19" x14ac:dyDescent="0.25">
      <c r="A1588">
        <v>1587</v>
      </c>
      <c r="B1588">
        <v>25</v>
      </c>
      <c r="C1588" t="s">
        <v>19</v>
      </c>
      <c r="D1588" t="s">
        <v>137</v>
      </c>
      <c r="E1588" t="s">
        <v>43</v>
      </c>
      <c r="F1588" s="1">
        <v>77</v>
      </c>
      <c r="G1588" t="s">
        <v>101</v>
      </c>
      <c r="H1588" t="s">
        <v>45</v>
      </c>
      <c r="I1588" t="s">
        <v>75</v>
      </c>
      <c r="J1588" t="s">
        <v>58</v>
      </c>
      <c r="K1588" s="2">
        <v>4</v>
      </c>
      <c r="L1588" t="s">
        <v>152</v>
      </c>
      <c r="M1588" t="s">
        <v>59</v>
      </c>
      <c r="N1588" t="s">
        <v>28</v>
      </c>
      <c r="O1588" t="s">
        <v>26</v>
      </c>
      <c r="P1588" t="s">
        <v>26</v>
      </c>
      <c r="Q1588" s="3">
        <v>21</v>
      </c>
      <c r="R1588" t="s">
        <v>34</v>
      </c>
      <c r="S1588" t="s">
        <v>41</v>
      </c>
    </row>
    <row r="1589" spans="1:19" x14ac:dyDescent="0.25">
      <c r="A1589">
        <v>1588</v>
      </c>
      <c r="B1589">
        <v>41</v>
      </c>
      <c r="C1589" t="s">
        <v>19</v>
      </c>
      <c r="D1589" t="s">
        <v>125</v>
      </c>
      <c r="E1589" t="s">
        <v>21</v>
      </c>
      <c r="F1589" s="1">
        <v>99</v>
      </c>
      <c r="G1589" t="s">
        <v>90</v>
      </c>
      <c r="H1589" t="s">
        <v>45</v>
      </c>
      <c r="I1589" t="s">
        <v>118</v>
      </c>
      <c r="J1589" t="s">
        <v>54</v>
      </c>
      <c r="K1589" s="2">
        <v>3.5</v>
      </c>
      <c r="L1589" t="s">
        <v>152</v>
      </c>
      <c r="M1589" t="s">
        <v>29</v>
      </c>
      <c r="N1589" t="s">
        <v>40</v>
      </c>
      <c r="O1589" t="s">
        <v>26</v>
      </c>
      <c r="P1589" t="s">
        <v>26</v>
      </c>
      <c r="Q1589" s="3">
        <v>33</v>
      </c>
      <c r="R1589" t="s">
        <v>27</v>
      </c>
      <c r="S1589" t="s">
        <v>30</v>
      </c>
    </row>
    <row r="1590" spans="1:19" x14ac:dyDescent="0.25">
      <c r="A1590">
        <v>1589</v>
      </c>
      <c r="B1590">
        <v>48</v>
      </c>
      <c r="C1590" t="s">
        <v>19</v>
      </c>
      <c r="D1590" t="s">
        <v>133</v>
      </c>
      <c r="E1590" t="s">
        <v>69</v>
      </c>
      <c r="F1590" s="1">
        <v>24</v>
      </c>
      <c r="G1590" t="s">
        <v>129</v>
      </c>
      <c r="H1590" t="s">
        <v>23</v>
      </c>
      <c r="I1590" t="s">
        <v>109</v>
      </c>
      <c r="J1590" t="s">
        <v>25</v>
      </c>
      <c r="K1590" s="2">
        <v>3.2</v>
      </c>
      <c r="L1590" t="s">
        <v>152</v>
      </c>
      <c r="M1590" t="s">
        <v>35</v>
      </c>
      <c r="N1590" t="s">
        <v>47</v>
      </c>
      <c r="O1590" t="s">
        <v>26</v>
      </c>
      <c r="P1590" t="s">
        <v>26</v>
      </c>
      <c r="Q1590" s="3">
        <v>3</v>
      </c>
      <c r="R1590" t="s">
        <v>29</v>
      </c>
      <c r="S1590" t="s">
        <v>88</v>
      </c>
    </row>
    <row r="1591" spans="1:19" x14ac:dyDescent="0.25">
      <c r="A1591">
        <v>1590</v>
      </c>
      <c r="B1591">
        <v>42</v>
      </c>
      <c r="C1591" t="s">
        <v>19</v>
      </c>
      <c r="D1591" t="s">
        <v>51</v>
      </c>
      <c r="E1591" t="s">
        <v>43</v>
      </c>
      <c r="F1591" s="1">
        <v>72</v>
      </c>
      <c r="G1591" t="s">
        <v>123</v>
      </c>
      <c r="H1591" t="s">
        <v>45</v>
      </c>
      <c r="I1591" t="s">
        <v>67</v>
      </c>
      <c r="J1591" t="s">
        <v>54</v>
      </c>
      <c r="K1591" s="2">
        <v>2.7</v>
      </c>
      <c r="L1591" t="s">
        <v>152</v>
      </c>
      <c r="M1591" t="s">
        <v>29</v>
      </c>
      <c r="N1591" t="s">
        <v>76</v>
      </c>
      <c r="O1591" t="s">
        <v>26</v>
      </c>
      <c r="P1591" t="s">
        <v>26</v>
      </c>
      <c r="Q1591" s="3">
        <v>48</v>
      </c>
      <c r="R1591" t="s">
        <v>35</v>
      </c>
      <c r="S1591" t="s">
        <v>41</v>
      </c>
    </row>
    <row r="1592" spans="1:19" x14ac:dyDescent="0.25">
      <c r="A1592">
        <v>1591</v>
      </c>
      <c r="B1592">
        <v>54</v>
      </c>
      <c r="C1592" t="s">
        <v>19</v>
      </c>
      <c r="D1592" t="s">
        <v>36</v>
      </c>
      <c r="E1592" t="s">
        <v>21</v>
      </c>
      <c r="F1592" s="1">
        <v>80</v>
      </c>
      <c r="G1592" t="s">
        <v>150</v>
      </c>
      <c r="H1592" t="s">
        <v>38</v>
      </c>
      <c r="I1592" t="s">
        <v>71</v>
      </c>
      <c r="J1592" t="s">
        <v>25</v>
      </c>
      <c r="K1592" s="2">
        <v>3</v>
      </c>
      <c r="L1592" t="s">
        <v>152</v>
      </c>
      <c r="M1592" t="s">
        <v>35</v>
      </c>
      <c r="N1592" t="s">
        <v>40</v>
      </c>
      <c r="O1592" t="s">
        <v>26</v>
      </c>
      <c r="P1592" t="s">
        <v>26</v>
      </c>
      <c r="Q1592" s="3">
        <v>8</v>
      </c>
      <c r="R1592" t="s">
        <v>46</v>
      </c>
      <c r="S1592" t="s">
        <v>50</v>
      </c>
    </row>
    <row r="1593" spans="1:19" x14ac:dyDescent="0.25">
      <c r="A1593">
        <v>1592</v>
      </c>
      <c r="B1593">
        <v>18</v>
      </c>
      <c r="C1593" t="s">
        <v>19</v>
      </c>
      <c r="D1593" t="s">
        <v>87</v>
      </c>
      <c r="E1593" t="s">
        <v>21</v>
      </c>
      <c r="F1593" s="1">
        <v>100</v>
      </c>
      <c r="G1593" t="s">
        <v>147</v>
      </c>
      <c r="H1593" t="s">
        <v>23</v>
      </c>
      <c r="I1593" t="s">
        <v>81</v>
      </c>
      <c r="J1593" t="s">
        <v>25</v>
      </c>
      <c r="K1593" s="2">
        <v>2.9</v>
      </c>
      <c r="L1593" t="s">
        <v>152</v>
      </c>
      <c r="M1593" t="s">
        <v>34</v>
      </c>
      <c r="N1593" t="s">
        <v>47</v>
      </c>
      <c r="O1593" t="s">
        <v>26</v>
      </c>
      <c r="P1593" t="s">
        <v>26</v>
      </c>
      <c r="Q1593" s="3">
        <v>24</v>
      </c>
      <c r="R1593" t="s">
        <v>46</v>
      </c>
      <c r="S1593" t="s">
        <v>50</v>
      </c>
    </row>
    <row r="1594" spans="1:19" x14ac:dyDescent="0.25">
      <c r="A1594">
        <v>1593</v>
      </c>
      <c r="B1594">
        <v>56</v>
      </c>
      <c r="C1594" t="s">
        <v>19</v>
      </c>
      <c r="D1594" t="s">
        <v>73</v>
      </c>
      <c r="E1594" t="s">
        <v>43</v>
      </c>
      <c r="F1594" s="1">
        <v>83</v>
      </c>
      <c r="G1594" t="s">
        <v>146</v>
      </c>
      <c r="H1594" t="s">
        <v>45</v>
      </c>
      <c r="I1594" t="s">
        <v>109</v>
      </c>
      <c r="J1594" t="s">
        <v>54</v>
      </c>
      <c r="K1594" s="2">
        <v>3.3</v>
      </c>
      <c r="L1594" t="s">
        <v>152</v>
      </c>
      <c r="M1594" t="s">
        <v>27</v>
      </c>
      <c r="N1594" t="s">
        <v>40</v>
      </c>
      <c r="O1594" t="s">
        <v>26</v>
      </c>
      <c r="P1594" t="s">
        <v>26</v>
      </c>
      <c r="Q1594" s="3">
        <v>10</v>
      </c>
      <c r="R1594" t="s">
        <v>34</v>
      </c>
      <c r="S1594" t="s">
        <v>97</v>
      </c>
    </row>
    <row r="1595" spans="1:19" x14ac:dyDescent="0.25">
      <c r="A1595">
        <v>1594</v>
      </c>
      <c r="B1595">
        <v>61</v>
      </c>
      <c r="C1595" t="s">
        <v>19</v>
      </c>
      <c r="D1595" t="s">
        <v>82</v>
      </c>
      <c r="E1595" t="s">
        <v>21</v>
      </c>
      <c r="F1595" s="1">
        <v>95</v>
      </c>
      <c r="G1595" t="s">
        <v>128</v>
      </c>
      <c r="H1595" t="s">
        <v>45</v>
      </c>
      <c r="I1595" t="s">
        <v>94</v>
      </c>
      <c r="J1595" t="s">
        <v>39</v>
      </c>
      <c r="K1595" s="2">
        <v>4.9000000000000004</v>
      </c>
      <c r="L1595" t="s">
        <v>152</v>
      </c>
      <c r="M1595" t="s">
        <v>46</v>
      </c>
      <c r="N1595" t="s">
        <v>72</v>
      </c>
      <c r="O1595" t="s">
        <v>26</v>
      </c>
      <c r="P1595" t="s">
        <v>26</v>
      </c>
      <c r="Q1595" s="3">
        <v>25</v>
      </c>
      <c r="R1595" t="s">
        <v>34</v>
      </c>
      <c r="S1595" t="s">
        <v>88</v>
      </c>
    </row>
    <row r="1596" spans="1:19" x14ac:dyDescent="0.25">
      <c r="A1596">
        <v>1595</v>
      </c>
      <c r="B1596">
        <v>40</v>
      </c>
      <c r="C1596" t="s">
        <v>19</v>
      </c>
      <c r="D1596" t="s">
        <v>68</v>
      </c>
      <c r="E1596" t="s">
        <v>69</v>
      </c>
      <c r="F1596" s="1">
        <v>41</v>
      </c>
      <c r="G1596" t="s">
        <v>112</v>
      </c>
      <c r="H1596" t="s">
        <v>92</v>
      </c>
      <c r="I1596" t="s">
        <v>63</v>
      </c>
      <c r="J1596" t="s">
        <v>54</v>
      </c>
      <c r="K1596" s="2">
        <v>3.7</v>
      </c>
      <c r="L1596" t="s">
        <v>152</v>
      </c>
      <c r="M1596" t="s">
        <v>34</v>
      </c>
      <c r="N1596" t="s">
        <v>76</v>
      </c>
      <c r="O1596" t="s">
        <v>26</v>
      </c>
      <c r="P1596" t="s">
        <v>26</v>
      </c>
      <c r="Q1596" s="3">
        <v>3</v>
      </c>
      <c r="R1596" t="s">
        <v>35</v>
      </c>
      <c r="S1596" t="s">
        <v>30</v>
      </c>
    </row>
    <row r="1597" spans="1:19" x14ac:dyDescent="0.25">
      <c r="A1597">
        <v>1596</v>
      </c>
      <c r="B1597">
        <v>34</v>
      </c>
      <c r="C1597" t="s">
        <v>19</v>
      </c>
      <c r="D1597" t="s">
        <v>132</v>
      </c>
      <c r="E1597" t="s">
        <v>69</v>
      </c>
      <c r="F1597" s="1">
        <v>35</v>
      </c>
      <c r="G1597" t="s">
        <v>150</v>
      </c>
      <c r="H1597" t="s">
        <v>38</v>
      </c>
      <c r="I1597" t="s">
        <v>136</v>
      </c>
      <c r="J1597" t="s">
        <v>39</v>
      </c>
      <c r="K1597" s="2">
        <v>3.5</v>
      </c>
      <c r="L1597" t="s">
        <v>152</v>
      </c>
      <c r="M1597" t="s">
        <v>35</v>
      </c>
      <c r="N1597" t="s">
        <v>55</v>
      </c>
      <c r="O1597" t="s">
        <v>26</v>
      </c>
      <c r="P1597" t="s">
        <v>26</v>
      </c>
      <c r="Q1597" s="3">
        <v>45</v>
      </c>
      <c r="R1597" t="s">
        <v>59</v>
      </c>
      <c r="S1597" t="s">
        <v>30</v>
      </c>
    </row>
    <row r="1598" spans="1:19" x14ac:dyDescent="0.25">
      <c r="A1598">
        <v>1597</v>
      </c>
      <c r="B1598">
        <v>42</v>
      </c>
      <c r="C1598" t="s">
        <v>19</v>
      </c>
      <c r="D1598" t="s">
        <v>106</v>
      </c>
      <c r="E1598" t="s">
        <v>69</v>
      </c>
      <c r="F1598" s="1">
        <v>30</v>
      </c>
      <c r="G1598" t="s">
        <v>91</v>
      </c>
      <c r="H1598" t="s">
        <v>38</v>
      </c>
      <c r="I1598" t="s">
        <v>71</v>
      </c>
      <c r="J1598" t="s">
        <v>58</v>
      </c>
      <c r="K1598" s="2">
        <v>4.7</v>
      </c>
      <c r="L1598" t="s">
        <v>152</v>
      </c>
      <c r="M1598" t="s">
        <v>34</v>
      </c>
      <c r="N1598" t="s">
        <v>76</v>
      </c>
      <c r="O1598" t="s">
        <v>26</v>
      </c>
      <c r="P1598" t="s">
        <v>26</v>
      </c>
      <c r="Q1598" s="3">
        <v>15</v>
      </c>
      <c r="R1598" t="s">
        <v>59</v>
      </c>
      <c r="S1598" t="s">
        <v>88</v>
      </c>
    </row>
    <row r="1599" spans="1:19" x14ac:dyDescent="0.25">
      <c r="A1599">
        <v>1598</v>
      </c>
      <c r="B1599">
        <v>43</v>
      </c>
      <c r="C1599" t="s">
        <v>19</v>
      </c>
      <c r="D1599" t="s">
        <v>124</v>
      </c>
      <c r="E1599" t="s">
        <v>69</v>
      </c>
      <c r="F1599" s="1">
        <v>21</v>
      </c>
      <c r="G1599" t="s">
        <v>91</v>
      </c>
      <c r="H1599" t="s">
        <v>92</v>
      </c>
      <c r="I1599" t="s">
        <v>33</v>
      </c>
      <c r="J1599" t="s">
        <v>25</v>
      </c>
      <c r="K1599" s="2">
        <v>2.6</v>
      </c>
      <c r="L1599" t="s">
        <v>152</v>
      </c>
      <c r="M1599" t="s">
        <v>59</v>
      </c>
      <c r="N1599" t="s">
        <v>76</v>
      </c>
      <c r="O1599" t="s">
        <v>26</v>
      </c>
      <c r="P1599" t="s">
        <v>26</v>
      </c>
      <c r="Q1599" s="3">
        <v>34</v>
      </c>
      <c r="R1599" t="s">
        <v>34</v>
      </c>
      <c r="S1599" t="s">
        <v>60</v>
      </c>
    </row>
    <row r="1600" spans="1:19" x14ac:dyDescent="0.25">
      <c r="A1600">
        <v>1599</v>
      </c>
      <c r="B1600">
        <v>47</v>
      </c>
      <c r="C1600" t="s">
        <v>19</v>
      </c>
      <c r="D1600" t="s">
        <v>106</v>
      </c>
      <c r="E1600" t="s">
        <v>69</v>
      </c>
      <c r="F1600" s="1">
        <v>85</v>
      </c>
      <c r="G1600" t="s">
        <v>99</v>
      </c>
      <c r="H1600" t="s">
        <v>45</v>
      </c>
      <c r="I1600" t="s">
        <v>86</v>
      </c>
      <c r="J1600" t="s">
        <v>58</v>
      </c>
      <c r="K1600" s="2">
        <v>4.0999999999999996</v>
      </c>
      <c r="L1600" t="s">
        <v>152</v>
      </c>
      <c r="M1600" t="s">
        <v>27</v>
      </c>
      <c r="N1600" t="s">
        <v>28</v>
      </c>
      <c r="O1600" t="s">
        <v>26</v>
      </c>
      <c r="P1600" t="s">
        <v>26</v>
      </c>
      <c r="Q1600" s="3">
        <v>21</v>
      </c>
      <c r="R1600" t="s">
        <v>29</v>
      </c>
      <c r="S1600" t="s">
        <v>77</v>
      </c>
    </row>
    <row r="1601" spans="1:19" x14ac:dyDescent="0.25">
      <c r="A1601">
        <v>1600</v>
      </c>
      <c r="B1601">
        <v>48</v>
      </c>
      <c r="C1601" t="s">
        <v>19</v>
      </c>
      <c r="D1601" t="s">
        <v>56</v>
      </c>
      <c r="E1601" t="s">
        <v>21</v>
      </c>
      <c r="F1601" s="1">
        <v>54</v>
      </c>
      <c r="G1601" t="s">
        <v>80</v>
      </c>
      <c r="H1601" t="s">
        <v>45</v>
      </c>
      <c r="I1601" t="s">
        <v>121</v>
      </c>
      <c r="J1601" t="s">
        <v>25</v>
      </c>
      <c r="K1601" s="2">
        <v>2.8</v>
      </c>
      <c r="L1601" t="s">
        <v>152</v>
      </c>
      <c r="M1601" t="s">
        <v>29</v>
      </c>
      <c r="N1601" t="s">
        <v>72</v>
      </c>
      <c r="O1601" t="s">
        <v>26</v>
      </c>
      <c r="P1601" t="s">
        <v>26</v>
      </c>
      <c r="Q1601" s="3">
        <v>22</v>
      </c>
      <c r="R1601" t="s">
        <v>59</v>
      </c>
      <c r="S1601" t="s">
        <v>77</v>
      </c>
    </row>
    <row r="1602" spans="1:19" x14ac:dyDescent="0.25">
      <c r="A1602">
        <v>1601</v>
      </c>
      <c r="B1602">
        <v>20</v>
      </c>
      <c r="C1602" t="s">
        <v>19</v>
      </c>
      <c r="D1602" t="s">
        <v>137</v>
      </c>
      <c r="E1602" t="s">
        <v>43</v>
      </c>
      <c r="F1602" s="1">
        <v>26</v>
      </c>
      <c r="G1602" t="s">
        <v>57</v>
      </c>
      <c r="H1602" t="s">
        <v>38</v>
      </c>
      <c r="I1602" t="s">
        <v>134</v>
      </c>
      <c r="J1602" t="s">
        <v>39</v>
      </c>
      <c r="K1602" s="2">
        <v>4.7</v>
      </c>
      <c r="L1602" t="s">
        <v>152</v>
      </c>
      <c r="M1602" t="s">
        <v>46</v>
      </c>
      <c r="N1602" t="s">
        <v>47</v>
      </c>
      <c r="O1602" t="s">
        <v>26</v>
      </c>
      <c r="P1602" t="s">
        <v>26</v>
      </c>
      <c r="Q1602" s="3">
        <v>24</v>
      </c>
      <c r="R1602" t="s">
        <v>46</v>
      </c>
      <c r="S1602" t="s">
        <v>41</v>
      </c>
    </row>
    <row r="1603" spans="1:19" x14ac:dyDescent="0.25">
      <c r="A1603">
        <v>1602</v>
      </c>
      <c r="B1603">
        <v>65</v>
      </c>
      <c r="C1603" t="s">
        <v>19</v>
      </c>
      <c r="D1603" t="s">
        <v>56</v>
      </c>
      <c r="E1603" t="s">
        <v>21</v>
      </c>
      <c r="F1603" s="1">
        <v>59</v>
      </c>
      <c r="G1603" t="s">
        <v>116</v>
      </c>
      <c r="H1603" t="s">
        <v>92</v>
      </c>
      <c r="I1603" t="s">
        <v>108</v>
      </c>
      <c r="J1603" t="s">
        <v>39</v>
      </c>
      <c r="K1603" s="2">
        <v>2.9</v>
      </c>
      <c r="L1603" t="s">
        <v>152</v>
      </c>
      <c r="M1603" t="s">
        <v>29</v>
      </c>
      <c r="N1603" t="s">
        <v>76</v>
      </c>
      <c r="O1603" t="s">
        <v>26</v>
      </c>
      <c r="P1603" t="s">
        <v>26</v>
      </c>
      <c r="Q1603" s="3">
        <v>33</v>
      </c>
      <c r="R1603" t="s">
        <v>27</v>
      </c>
      <c r="S1603" t="s">
        <v>88</v>
      </c>
    </row>
    <row r="1604" spans="1:19" x14ac:dyDescent="0.25">
      <c r="A1604">
        <v>1603</v>
      </c>
      <c r="B1604">
        <v>54</v>
      </c>
      <c r="C1604" t="s">
        <v>19</v>
      </c>
      <c r="D1604" t="s">
        <v>89</v>
      </c>
      <c r="E1604" t="s">
        <v>69</v>
      </c>
      <c r="F1604" s="1">
        <v>48</v>
      </c>
      <c r="G1604" t="s">
        <v>66</v>
      </c>
      <c r="H1604" t="s">
        <v>38</v>
      </c>
      <c r="I1604" t="s">
        <v>63</v>
      </c>
      <c r="J1604" t="s">
        <v>25</v>
      </c>
      <c r="K1604" s="2">
        <v>2.8</v>
      </c>
      <c r="L1604" t="s">
        <v>152</v>
      </c>
      <c r="M1604" t="s">
        <v>27</v>
      </c>
      <c r="N1604" t="s">
        <v>40</v>
      </c>
      <c r="O1604" t="s">
        <v>26</v>
      </c>
      <c r="P1604" t="s">
        <v>26</v>
      </c>
      <c r="Q1604" s="3">
        <v>13</v>
      </c>
      <c r="R1604" t="s">
        <v>29</v>
      </c>
      <c r="S1604" t="s">
        <v>30</v>
      </c>
    </row>
    <row r="1605" spans="1:19" x14ac:dyDescent="0.25">
      <c r="A1605">
        <v>1604</v>
      </c>
      <c r="B1605">
        <v>23</v>
      </c>
      <c r="C1605" t="s">
        <v>19</v>
      </c>
      <c r="D1605" t="s">
        <v>61</v>
      </c>
      <c r="E1605" t="s">
        <v>21</v>
      </c>
      <c r="F1605" s="1">
        <v>98</v>
      </c>
      <c r="G1605" t="s">
        <v>146</v>
      </c>
      <c r="H1605" t="s">
        <v>23</v>
      </c>
      <c r="I1605" t="s">
        <v>94</v>
      </c>
      <c r="J1605" t="s">
        <v>54</v>
      </c>
      <c r="K1605" s="2">
        <v>4.3</v>
      </c>
      <c r="L1605" t="s">
        <v>152</v>
      </c>
      <c r="M1605" t="s">
        <v>59</v>
      </c>
      <c r="N1605" t="s">
        <v>47</v>
      </c>
      <c r="O1605" t="s">
        <v>26</v>
      </c>
      <c r="P1605" t="s">
        <v>26</v>
      </c>
      <c r="Q1605" s="3">
        <v>17</v>
      </c>
      <c r="R1605" t="s">
        <v>59</v>
      </c>
      <c r="S1605" t="s">
        <v>77</v>
      </c>
    </row>
    <row r="1606" spans="1:19" x14ac:dyDescent="0.25">
      <c r="A1606">
        <v>1605</v>
      </c>
      <c r="B1606">
        <v>18</v>
      </c>
      <c r="C1606" t="s">
        <v>19</v>
      </c>
      <c r="D1606" t="s">
        <v>31</v>
      </c>
      <c r="E1606" t="s">
        <v>21</v>
      </c>
      <c r="F1606" s="1">
        <v>92</v>
      </c>
      <c r="G1606" t="s">
        <v>32</v>
      </c>
      <c r="H1606" t="s">
        <v>45</v>
      </c>
      <c r="I1606" t="s">
        <v>53</v>
      </c>
      <c r="J1606" t="s">
        <v>54</v>
      </c>
      <c r="K1606" s="2">
        <v>4.8</v>
      </c>
      <c r="L1606" t="s">
        <v>152</v>
      </c>
      <c r="M1606" t="s">
        <v>29</v>
      </c>
      <c r="N1606" t="s">
        <v>72</v>
      </c>
      <c r="O1606" t="s">
        <v>26</v>
      </c>
      <c r="P1606" t="s">
        <v>26</v>
      </c>
      <c r="Q1606" s="3">
        <v>25</v>
      </c>
      <c r="R1606" t="s">
        <v>27</v>
      </c>
      <c r="S1606" t="s">
        <v>97</v>
      </c>
    </row>
    <row r="1607" spans="1:19" x14ac:dyDescent="0.25">
      <c r="A1607">
        <v>1606</v>
      </c>
      <c r="B1607">
        <v>70</v>
      </c>
      <c r="C1607" t="s">
        <v>19</v>
      </c>
      <c r="D1607" t="s">
        <v>133</v>
      </c>
      <c r="E1607" t="s">
        <v>69</v>
      </c>
      <c r="F1607" s="1">
        <v>46</v>
      </c>
      <c r="G1607" t="s">
        <v>139</v>
      </c>
      <c r="H1607" t="s">
        <v>45</v>
      </c>
      <c r="I1607" t="s">
        <v>93</v>
      </c>
      <c r="J1607" t="s">
        <v>25</v>
      </c>
      <c r="K1607" s="2">
        <v>3.4</v>
      </c>
      <c r="L1607" t="s">
        <v>152</v>
      </c>
      <c r="M1607" t="s">
        <v>34</v>
      </c>
      <c r="N1607" t="s">
        <v>47</v>
      </c>
      <c r="O1607" t="s">
        <v>26</v>
      </c>
      <c r="P1607" t="s">
        <v>26</v>
      </c>
      <c r="Q1607" s="3">
        <v>15</v>
      </c>
      <c r="R1607" t="s">
        <v>27</v>
      </c>
      <c r="S1607" t="s">
        <v>77</v>
      </c>
    </row>
    <row r="1608" spans="1:19" x14ac:dyDescent="0.25">
      <c r="A1608">
        <v>1607</v>
      </c>
      <c r="B1608">
        <v>55</v>
      </c>
      <c r="C1608" t="s">
        <v>19</v>
      </c>
      <c r="D1608" t="s">
        <v>113</v>
      </c>
      <c r="E1608" t="s">
        <v>21</v>
      </c>
      <c r="F1608" s="1">
        <v>21</v>
      </c>
      <c r="G1608" t="s">
        <v>111</v>
      </c>
      <c r="H1608" t="s">
        <v>38</v>
      </c>
      <c r="I1608" t="s">
        <v>53</v>
      </c>
      <c r="J1608" t="s">
        <v>39</v>
      </c>
      <c r="K1608" s="2">
        <v>4.3</v>
      </c>
      <c r="L1608" t="s">
        <v>152</v>
      </c>
      <c r="M1608" t="s">
        <v>59</v>
      </c>
      <c r="N1608" t="s">
        <v>55</v>
      </c>
      <c r="O1608" t="s">
        <v>26</v>
      </c>
      <c r="P1608" t="s">
        <v>26</v>
      </c>
      <c r="Q1608" s="3">
        <v>4</v>
      </c>
      <c r="R1608" t="s">
        <v>46</v>
      </c>
      <c r="S1608" t="s">
        <v>30</v>
      </c>
    </row>
    <row r="1609" spans="1:19" x14ac:dyDescent="0.25">
      <c r="A1609">
        <v>1608</v>
      </c>
      <c r="B1609">
        <v>49</v>
      </c>
      <c r="C1609" t="s">
        <v>19</v>
      </c>
      <c r="D1609" t="s">
        <v>61</v>
      </c>
      <c r="E1609" t="s">
        <v>21</v>
      </c>
      <c r="F1609" s="1">
        <v>72</v>
      </c>
      <c r="G1609" t="s">
        <v>129</v>
      </c>
      <c r="H1609" t="s">
        <v>38</v>
      </c>
      <c r="I1609" t="s">
        <v>24</v>
      </c>
      <c r="J1609" t="s">
        <v>58</v>
      </c>
      <c r="K1609" s="2">
        <v>2.7</v>
      </c>
      <c r="L1609" t="s">
        <v>152</v>
      </c>
      <c r="M1609" t="s">
        <v>29</v>
      </c>
      <c r="N1609" t="s">
        <v>40</v>
      </c>
      <c r="O1609" t="s">
        <v>26</v>
      </c>
      <c r="P1609" t="s">
        <v>26</v>
      </c>
      <c r="Q1609" s="3">
        <v>43</v>
      </c>
      <c r="R1609" t="s">
        <v>59</v>
      </c>
      <c r="S1609" t="s">
        <v>60</v>
      </c>
    </row>
    <row r="1610" spans="1:19" x14ac:dyDescent="0.25">
      <c r="A1610">
        <v>1609</v>
      </c>
      <c r="B1610">
        <v>26</v>
      </c>
      <c r="C1610" t="s">
        <v>19</v>
      </c>
      <c r="D1610" t="s">
        <v>42</v>
      </c>
      <c r="E1610" t="s">
        <v>43</v>
      </c>
      <c r="F1610" s="1">
        <v>58</v>
      </c>
      <c r="G1610" t="s">
        <v>145</v>
      </c>
      <c r="H1610" t="s">
        <v>92</v>
      </c>
      <c r="I1610" t="s">
        <v>109</v>
      </c>
      <c r="J1610" t="s">
        <v>58</v>
      </c>
      <c r="K1610" s="2">
        <v>4.5999999999999996</v>
      </c>
      <c r="L1610" t="s">
        <v>152</v>
      </c>
      <c r="M1610" t="s">
        <v>35</v>
      </c>
      <c r="N1610" t="s">
        <v>47</v>
      </c>
      <c r="O1610" t="s">
        <v>26</v>
      </c>
      <c r="P1610" t="s">
        <v>26</v>
      </c>
      <c r="Q1610" s="3">
        <v>12</v>
      </c>
      <c r="R1610" t="s">
        <v>34</v>
      </c>
      <c r="S1610" t="s">
        <v>77</v>
      </c>
    </row>
    <row r="1611" spans="1:19" x14ac:dyDescent="0.25">
      <c r="A1611">
        <v>1610</v>
      </c>
      <c r="B1611">
        <v>33</v>
      </c>
      <c r="C1611" t="s">
        <v>19</v>
      </c>
      <c r="D1611" t="s">
        <v>56</v>
      </c>
      <c r="E1611" t="s">
        <v>21</v>
      </c>
      <c r="F1611" s="1">
        <v>93</v>
      </c>
      <c r="G1611" t="s">
        <v>107</v>
      </c>
      <c r="H1611" t="s">
        <v>38</v>
      </c>
      <c r="I1611" t="s">
        <v>110</v>
      </c>
      <c r="J1611" t="s">
        <v>58</v>
      </c>
      <c r="K1611" s="2">
        <v>4.0999999999999996</v>
      </c>
      <c r="L1611" t="s">
        <v>152</v>
      </c>
      <c r="M1611" t="s">
        <v>27</v>
      </c>
      <c r="N1611" t="s">
        <v>55</v>
      </c>
      <c r="O1611" t="s">
        <v>26</v>
      </c>
      <c r="P1611" t="s">
        <v>26</v>
      </c>
      <c r="Q1611" s="3">
        <v>3</v>
      </c>
      <c r="R1611" t="s">
        <v>29</v>
      </c>
      <c r="S1611" t="s">
        <v>88</v>
      </c>
    </row>
    <row r="1612" spans="1:19" x14ac:dyDescent="0.25">
      <c r="A1612">
        <v>1611</v>
      </c>
      <c r="B1612">
        <v>20</v>
      </c>
      <c r="C1612" t="s">
        <v>19</v>
      </c>
      <c r="D1612" t="s">
        <v>125</v>
      </c>
      <c r="E1612" t="s">
        <v>21</v>
      </c>
      <c r="F1612" s="1">
        <v>31</v>
      </c>
      <c r="G1612" t="s">
        <v>122</v>
      </c>
      <c r="H1612" t="s">
        <v>23</v>
      </c>
      <c r="I1612" t="s">
        <v>75</v>
      </c>
      <c r="J1612" t="s">
        <v>39</v>
      </c>
      <c r="K1612" s="2">
        <v>3.4</v>
      </c>
      <c r="L1612" t="s">
        <v>152</v>
      </c>
      <c r="M1612" t="s">
        <v>27</v>
      </c>
      <c r="N1612" t="s">
        <v>72</v>
      </c>
      <c r="O1612" t="s">
        <v>26</v>
      </c>
      <c r="P1612" t="s">
        <v>26</v>
      </c>
      <c r="Q1612" s="3">
        <v>1</v>
      </c>
      <c r="R1612" t="s">
        <v>46</v>
      </c>
      <c r="S1612" t="s">
        <v>50</v>
      </c>
    </row>
    <row r="1613" spans="1:19" x14ac:dyDescent="0.25">
      <c r="A1613">
        <v>1612</v>
      </c>
      <c r="B1613">
        <v>41</v>
      </c>
      <c r="C1613" t="s">
        <v>19</v>
      </c>
      <c r="D1613" t="s">
        <v>95</v>
      </c>
      <c r="E1613" t="s">
        <v>21</v>
      </c>
      <c r="F1613" s="1">
        <v>26</v>
      </c>
      <c r="G1613" t="s">
        <v>74</v>
      </c>
      <c r="H1613" t="s">
        <v>23</v>
      </c>
      <c r="I1613" t="s">
        <v>134</v>
      </c>
      <c r="J1613" t="s">
        <v>25</v>
      </c>
      <c r="K1613" s="2">
        <v>4.5</v>
      </c>
      <c r="L1613" t="s">
        <v>152</v>
      </c>
      <c r="M1613" t="s">
        <v>46</v>
      </c>
      <c r="N1613" t="s">
        <v>47</v>
      </c>
      <c r="O1613" t="s">
        <v>26</v>
      </c>
      <c r="P1613" t="s">
        <v>26</v>
      </c>
      <c r="Q1613" s="3">
        <v>6</v>
      </c>
      <c r="R1613" t="s">
        <v>59</v>
      </c>
      <c r="S1613" t="s">
        <v>88</v>
      </c>
    </row>
    <row r="1614" spans="1:19" x14ac:dyDescent="0.25">
      <c r="A1614">
        <v>1613</v>
      </c>
      <c r="B1614">
        <v>18</v>
      </c>
      <c r="C1614" t="s">
        <v>19</v>
      </c>
      <c r="D1614" t="s">
        <v>87</v>
      </c>
      <c r="E1614" t="s">
        <v>21</v>
      </c>
      <c r="F1614" s="1">
        <v>68</v>
      </c>
      <c r="G1614" t="s">
        <v>150</v>
      </c>
      <c r="H1614" t="s">
        <v>45</v>
      </c>
      <c r="I1614" t="s">
        <v>126</v>
      </c>
      <c r="J1614" t="s">
        <v>54</v>
      </c>
      <c r="K1614" s="2">
        <v>4.4000000000000004</v>
      </c>
      <c r="L1614" t="s">
        <v>152</v>
      </c>
      <c r="M1614" t="s">
        <v>34</v>
      </c>
      <c r="N1614" t="s">
        <v>55</v>
      </c>
      <c r="O1614" t="s">
        <v>26</v>
      </c>
      <c r="P1614" t="s">
        <v>26</v>
      </c>
      <c r="Q1614" s="3">
        <v>26</v>
      </c>
      <c r="R1614" t="s">
        <v>29</v>
      </c>
      <c r="S1614" t="s">
        <v>88</v>
      </c>
    </row>
    <row r="1615" spans="1:19" x14ac:dyDescent="0.25">
      <c r="A1615">
        <v>1614</v>
      </c>
      <c r="B1615">
        <v>26</v>
      </c>
      <c r="C1615" t="s">
        <v>19</v>
      </c>
      <c r="D1615" t="s">
        <v>106</v>
      </c>
      <c r="E1615" t="s">
        <v>69</v>
      </c>
      <c r="F1615" s="1">
        <v>31</v>
      </c>
      <c r="G1615" t="s">
        <v>115</v>
      </c>
      <c r="H1615" t="s">
        <v>38</v>
      </c>
      <c r="I1615" t="s">
        <v>94</v>
      </c>
      <c r="J1615" t="s">
        <v>54</v>
      </c>
      <c r="K1615" s="2">
        <v>4</v>
      </c>
      <c r="L1615" t="s">
        <v>152</v>
      </c>
      <c r="M1615" t="s">
        <v>27</v>
      </c>
      <c r="N1615" t="s">
        <v>47</v>
      </c>
      <c r="O1615" t="s">
        <v>26</v>
      </c>
      <c r="P1615" t="s">
        <v>26</v>
      </c>
      <c r="Q1615" s="3">
        <v>6</v>
      </c>
      <c r="R1615" t="s">
        <v>27</v>
      </c>
      <c r="S1615" t="s">
        <v>30</v>
      </c>
    </row>
    <row r="1616" spans="1:19" x14ac:dyDescent="0.25">
      <c r="A1616">
        <v>1615</v>
      </c>
      <c r="B1616">
        <v>30</v>
      </c>
      <c r="C1616" t="s">
        <v>19</v>
      </c>
      <c r="D1616" t="s">
        <v>113</v>
      </c>
      <c r="E1616" t="s">
        <v>21</v>
      </c>
      <c r="F1616" s="1">
        <v>41</v>
      </c>
      <c r="G1616" t="s">
        <v>111</v>
      </c>
      <c r="H1616" t="s">
        <v>38</v>
      </c>
      <c r="I1616" t="s">
        <v>24</v>
      </c>
      <c r="J1616" t="s">
        <v>54</v>
      </c>
      <c r="K1616" s="2">
        <v>3.4</v>
      </c>
      <c r="L1616" t="s">
        <v>152</v>
      </c>
      <c r="M1616" t="s">
        <v>35</v>
      </c>
      <c r="N1616" t="s">
        <v>40</v>
      </c>
      <c r="O1616" t="s">
        <v>26</v>
      </c>
      <c r="P1616" t="s">
        <v>26</v>
      </c>
      <c r="Q1616" s="3">
        <v>22</v>
      </c>
      <c r="R1616" t="s">
        <v>35</v>
      </c>
      <c r="S1616" t="s">
        <v>77</v>
      </c>
    </row>
    <row r="1617" spans="1:19" x14ac:dyDescent="0.25">
      <c r="A1617">
        <v>1616</v>
      </c>
      <c r="B1617">
        <v>64</v>
      </c>
      <c r="C1617" t="s">
        <v>19</v>
      </c>
      <c r="D1617" t="s">
        <v>106</v>
      </c>
      <c r="E1617" t="s">
        <v>69</v>
      </c>
      <c r="F1617" s="1">
        <v>62</v>
      </c>
      <c r="G1617" t="s">
        <v>85</v>
      </c>
      <c r="H1617" t="s">
        <v>45</v>
      </c>
      <c r="I1617" t="s">
        <v>126</v>
      </c>
      <c r="J1617" t="s">
        <v>58</v>
      </c>
      <c r="K1617" s="2">
        <v>3.2</v>
      </c>
      <c r="L1617" t="s">
        <v>152</v>
      </c>
      <c r="M1617" t="s">
        <v>46</v>
      </c>
      <c r="N1617" t="s">
        <v>55</v>
      </c>
      <c r="O1617" t="s">
        <v>26</v>
      </c>
      <c r="P1617" t="s">
        <v>26</v>
      </c>
      <c r="Q1617" s="3">
        <v>45</v>
      </c>
      <c r="R1617" t="s">
        <v>35</v>
      </c>
      <c r="S1617" t="s">
        <v>77</v>
      </c>
    </row>
    <row r="1618" spans="1:19" x14ac:dyDescent="0.25">
      <c r="A1618">
        <v>1617</v>
      </c>
      <c r="B1618">
        <v>26</v>
      </c>
      <c r="C1618" t="s">
        <v>19</v>
      </c>
      <c r="D1618" t="s">
        <v>124</v>
      </c>
      <c r="E1618" t="s">
        <v>69</v>
      </c>
      <c r="F1618" s="1">
        <v>41</v>
      </c>
      <c r="G1618" t="s">
        <v>112</v>
      </c>
      <c r="H1618" t="s">
        <v>45</v>
      </c>
      <c r="I1618" t="s">
        <v>96</v>
      </c>
      <c r="J1618" t="s">
        <v>39</v>
      </c>
      <c r="K1618" s="2">
        <v>3.4</v>
      </c>
      <c r="L1618" t="s">
        <v>152</v>
      </c>
      <c r="M1618" t="s">
        <v>34</v>
      </c>
      <c r="N1618" t="s">
        <v>55</v>
      </c>
      <c r="O1618" t="s">
        <v>26</v>
      </c>
      <c r="P1618" t="s">
        <v>26</v>
      </c>
      <c r="Q1618" s="3">
        <v>50</v>
      </c>
      <c r="R1618" t="s">
        <v>35</v>
      </c>
      <c r="S1618" t="s">
        <v>60</v>
      </c>
    </row>
    <row r="1619" spans="1:19" x14ac:dyDescent="0.25">
      <c r="A1619">
        <v>1618</v>
      </c>
      <c r="B1619">
        <v>43</v>
      </c>
      <c r="C1619" t="s">
        <v>19</v>
      </c>
      <c r="D1619" t="s">
        <v>20</v>
      </c>
      <c r="E1619" t="s">
        <v>21</v>
      </c>
      <c r="F1619" s="1">
        <v>64</v>
      </c>
      <c r="G1619" t="s">
        <v>150</v>
      </c>
      <c r="H1619" t="s">
        <v>45</v>
      </c>
      <c r="I1619" t="s">
        <v>100</v>
      </c>
      <c r="J1619" t="s">
        <v>25</v>
      </c>
      <c r="K1619" s="2">
        <v>4.3</v>
      </c>
      <c r="L1619" t="s">
        <v>152</v>
      </c>
      <c r="M1619" t="s">
        <v>46</v>
      </c>
      <c r="N1619" t="s">
        <v>55</v>
      </c>
      <c r="O1619" t="s">
        <v>26</v>
      </c>
      <c r="P1619" t="s">
        <v>26</v>
      </c>
      <c r="Q1619" s="3">
        <v>50</v>
      </c>
      <c r="R1619" t="s">
        <v>27</v>
      </c>
      <c r="S1619" t="s">
        <v>30</v>
      </c>
    </row>
    <row r="1620" spans="1:19" x14ac:dyDescent="0.25">
      <c r="A1620">
        <v>1619</v>
      </c>
      <c r="B1620">
        <v>63</v>
      </c>
      <c r="C1620" t="s">
        <v>19</v>
      </c>
      <c r="D1620" t="s">
        <v>42</v>
      </c>
      <c r="E1620" t="s">
        <v>43</v>
      </c>
      <c r="F1620" s="1">
        <v>72</v>
      </c>
      <c r="G1620" t="s">
        <v>151</v>
      </c>
      <c r="H1620" t="s">
        <v>23</v>
      </c>
      <c r="I1620" t="s">
        <v>75</v>
      </c>
      <c r="J1620" t="s">
        <v>54</v>
      </c>
      <c r="K1620" s="2">
        <v>5</v>
      </c>
      <c r="L1620" t="s">
        <v>152</v>
      </c>
      <c r="M1620" t="s">
        <v>29</v>
      </c>
      <c r="N1620" t="s">
        <v>55</v>
      </c>
      <c r="O1620" t="s">
        <v>26</v>
      </c>
      <c r="P1620" t="s">
        <v>26</v>
      </c>
      <c r="Q1620" s="3">
        <v>39</v>
      </c>
      <c r="R1620" t="s">
        <v>59</v>
      </c>
      <c r="S1620" t="s">
        <v>60</v>
      </c>
    </row>
    <row r="1621" spans="1:19" x14ac:dyDescent="0.25">
      <c r="A1621">
        <v>1620</v>
      </c>
      <c r="B1621">
        <v>57</v>
      </c>
      <c r="C1621" t="s">
        <v>19</v>
      </c>
      <c r="D1621" t="s">
        <v>68</v>
      </c>
      <c r="E1621" t="s">
        <v>69</v>
      </c>
      <c r="F1621" s="1">
        <v>78</v>
      </c>
      <c r="G1621" t="s">
        <v>78</v>
      </c>
      <c r="H1621" t="s">
        <v>23</v>
      </c>
      <c r="I1621" t="s">
        <v>118</v>
      </c>
      <c r="J1621" t="s">
        <v>25</v>
      </c>
      <c r="K1621" s="2">
        <v>3.5</v>
      </c>
      <c r="L1621" t="s">
        <v>152</v>
      </c>
      <c r="M1621" t="s">
        <v>35</v>
      </c>
      <c r="N1621" t="s">
        <v>76</v>
      </c>
      <c r="O1621" t="s">
        <v>26</v>
      </c>
      <c r="P1621" t="s">
        <v>26</v>
      </c>
      <c r="Q1621" s="3">
        <v>50</v>
      </c>
      <c r="R1621" t="s">
        <v>29</v>
      </c>
      <c r="S1621" t="s">
        <v>77</v>
      </c>
    </row>
    <row r="1622" spans="1:19" x14ac:dyDescent="0.25">
      <c r="A1622">
        <v>1621</v>
      </c>
      <c r="B1622">
        <v>25</v>
      </c>
      <c r="C1622" t="s">
        <v>19</v>
      </c>
      <c r="D1622" t="s">
        <v>124</v>
      </c>
      <c r="E1622" t="s">
        <v>69</v>
      </c>
      <c r="F1622" s="1">
        <v>47</v>
      </c>
      <c r="G1622" t="s">
        <v>141</v>
      </c>
      <c r="H1622" t="s">
        <v>45</v>
      </c>
      <c r="I1622" t="s">
        <v>63</v>
      </c>
      <c r="J1622" t="s">
        <v>25</v>
      </c>
      <c r="K1622" s="2">
        <v>3.1</v>
      </c>
      <c r="L1622" t="s">
        <v>152</v>
      </c>
      <c r="M1622" t="s">
        <v>34</v>
      </c>
      <c r="N1622" t="s">
        <v>72</v>
      </c>
      <c r="O1622" t="s">
        <v>26</v>
      </c>
      <c r="P1622" t="s">
        <v>26</v>
      </c>
      <c r="Q1622" s="3">
        <v>27</v>
      </c>
      <c r="R1622" t="s">
        <v>46</v>
      </c>
      <c r="S1622" t="s">
        <v>97</v>
      </c>
    </row>
    <row r="1623" spans="1:19" x14ac:dyDescent="0.25">
      <c r="A1623">
        <v>1622</v>
      </c>
      <c r="B1623">
        <v>68</v>
      </c>
      <c r="C1623" t="s">
        <v>19</v>
      </c>
      <c r="D1623" t="s">
        <v>119</v>
      </c>
      <c r="E1623" t="s">
        <v>69</v>
      </c>
      <c r="F1623" s="1">
        <v>46</v>
      </c>
      <c r="G1623" t="s">
        <v>123</v>
      </c>
      <c r="H1623" t="s">
        <v>23</v>
      </c>
      <c r="I1623" t="s">
        <v>24</v>
      </c>
      <c r="J1623" t="s">
        <v>54</v>
      </c>
      <c r="K1623" s="2">
        <v>3.9</v>
      </c>
      <c r="L1623" t="s">
        <v>152</v>
      </c>
      <c r="M1623" t="s">
        <v>29</v>
      </c>
      <c r="N1623" t="s">
        <v>72</v>
      </c>
      <c r="O1623" t="s">
        <v>26</v>
      </c>
      <c r="P1623" t="s">
        <v>26</v>
      </c>
      <c r="Q1623" s="3">
        <v>38</v>
      </c>
      <c r="R1623" t="s">
        <v>59</v>
      </c>
      <c r="S1623" t="s">
        <v>30</v>
      </c>
    </row>
    <row r="1624" spans="1:19" x14ac:dyDescent="0.25">
      <c r="A1624">
        <v>1623</v>
      </c>
      <c r="B1624">
        <v>31</v>
      </c>
      <c r="C1624" t="s">
        <v>19</v>
      </c>
      <c r="D1624" t="s">
        <v>61</v>
      </c>
      <c r="E1624" t="s">
        <v>21</v>
      </c>
      <c r="F1624" s="1">
        <v>43</v>
      </c>
      <c r="G1624" t="s">
        <v>70</v>
      </c>
      <c r="H1624" t="s">
        <v>38</v>
      </c>
      <c r="I1624" t="s">
        <v>110</v>
      </c>
      <c r="J1624" t="s">
        <v>25</v>
      </c>
      <c r="K1624" s="2">
        <v>4</v>
      </c>
      <c r="L1624" t="s">
        <v>152</v>
      </c>
      <c r="M1624" t="s">
        <v>46</v>
      </c>
      <c r="N1624" t="s">
        <v>76</v>
      </c>
      <c r="O1624" t="s">
        <v>26</v>
      </c>
      <c r="P1624" t="s">
        <v>26</v>
      </c>
      <c r="Q1624" s="3">
        <v>37</v>
      </c>
      <c r="R1624" t="s">
        <v>34</v>
      </c>
      <c r="S1624" t="s">
        <v>97</v>
      </c>
    </row>
    <row r="1625" spans="1:19" x14ac:dyDescent="0.25">
      <c r="A1625">
        <v>1624</v>
      </c>
      <c r="B1625">
        <v>64</v>
      </c>
      <c r="C1625" t="s">
        <v>19</v>
      </c>
      <c r="D1625" t="s">
        <v>132</v>
      </c>
      <c r="E1625" t="s">
        <v>69</v>
      </c>
      <c r="F1625" s="1">
        <v>58</v>
      </c>
      <c r="G1625" t="s">
        <v>116</v>
      </c>
      <c r="H1625" t="s">
        <v>45</v>
      </c>
      <c r="I1625" t="s">
        <v>109</v>
      </c>
      <c r="J1625" t="s">
        <v>54</v>
      </c>
      <c r="K1625" s="2">
        <v>3.5</v>
      </c>
      <c r="L1625" t="s">
        <v>152</v>
      </c>
      <c r="M1625" t="s">
        <v>29</v>
      </c>
      <c r="N1625" t="s">
        <v>47</v>
      </c>
      <c r="O1625" t="s">
        <v>26</v>
      </c>
      <c r="P1625" t="s">
        <v>26</v>
      </c>
      <c r="Q1625" s="3">
        <v>50</v>
      </c>
      <c r="R1625" t="s">
        <v>59</v>
      </c>
      <c r="S1625" t="s">
        <v>50</v>
      </c>
    </row>
    <row r="1626" spans="1:19" x14ac:dyDescent="0.25">
      <c r="A1626">
        <v>1625</v>
      </c>
      <c r="B1626">
        <v>38</v>
      </c>
      <c r="C1626" t="s">
        <v>19</v>
      </c>
      <c r="D1626" t="s">
        <v>31</v>
      </c>
      <c r="E1626" t="s">
        <v>21</v>
      </c>
      <c r="F1626" s="1">
        <v>32</v>
      </c>
      <c r="G1626" t="s">
        <v>103</v>
      </c>
      <c r="H1626" t="s">
        <v>45</v>
      </c>
      <c r="I1626" t="s">
        <v>53</v>
      </c>
      <c r="J1626" t="s">
        <v>25</v>
      </c>
      <c r="K1626" s="2">
        <v>3.6</v>
      </c>
      <c r="L1626" t="s">
        <v>152</v>
      </c>
      <c r="M1626" t="s">
        <v>29</v>
      </c>
      <c r="N1626" t="s">
        <v>40</v>
      </c>
      <c r="O1626" t="s">
        <v>26</v>
      </c>
      <c r="P1626" t="s">
        <v>26</v>
      </c>
      <c r="Q1626" s="3">
        <v>40</v>
      </c>
      <c r="R1626" t="s">
        <v>46</v>
      </c>
      <c r="S1626" t="s">
        <v>97</v>
      </c>
    </row>
    <row r="1627" spans="1:19" x14ac:dyDescent="0.25">
      <c r="A1627">
        <v>1626</v>
      </c>
      <c r="B1627">
        <v>34</v>
      </c>
      <c r="C1627" t="s">
        <v>19</v>
      </c>
      <c r="D1627" t="s">
        <v>87</v>
      </c>
      <c r="E1627" t="s">
        <v>21</v>
      </c>
      <c r="F1627" s="1">
        <v>45</v>
      </c>
      <c r="G1627" t="s">
        <v>148</v>
      </c>
      <c r="H1627" t="s">
        <v>23</v>
      </c>
      <c r="I1627" t="s">
        <v>118</v>
      </c>
      <c r="J1627" t="s">
        <v>25</v>
      </c>
      <c r="K1627" s="2">
        <v>3</v>
      </c>
      <c r="L1627" t="s">
        <v>152</v>
      </c>
      <c r="M1627" t="s">
        <v>46</v>
      </c>
      <c r="N1627" t="s">
        <v>47</v>
      </c>
      <c r="O1627" t="s">
        <v>26</v>
      </c>
      <c r="P1627" t="s">
        <v>26</v>
      </c>
      <c r="Q1627" s="3">
        <v>3</v>
      </c>
      <c r="R1627" t="s">
        <v>46</v>
      </c>
      <c r="S1627" t="s">
        <v>77</v>
      </c>
    </row>
    <row r="1628" spans="1:19" x14ac:dyDescent="0.25">
      <c r="A1628">
        <v>1627</v>
      </c>
      <c r="B1628">
        <v>32</v>
      </c>
      <c r="C1628" t="s">
        <v>19</v>
      </c>
      <c r="D1628" t="s">
        <v>51</v>
      </c>
      <c r="E1628" t="s">
        <v>43</v>
      </c>
      <c r="F1628" s="1">
        <v>35</v>
      </c>
      <c r="G1628" t="s">
        <v>107</v>
      </c>
      <c r="H1628" t="s">
        <v>23</v>
      </c>
      <c r="I1628" t="s">
        <v>121</v>
      </c>
      <c r="J1628" t="s">
        <v>54</v>
      </c>
      <c r="K1628" s="2">
        <v>2.6</v>
      </c>
      <c r="L1628" t="s">
        <v>152</v>
      </c>
      <c r="M1628" t="s">
        <v>34</v>
      </c>
      <c r="N1628" t="s">
        <v>47</v>
      </c>
      <c r="O1628" t="s">
        <v>26</v>
      </c>
      <c r="P1628" t="s">
        <v>26</v>
      </c>
      <c r="Q1628" s="3">
        <v>45</v>
      </c>
      <c r="R1628" t="s">
        <v>27</v>
      </c>
      <c r="S1628" t="s">
        <v>77</v>
      </c>
    </row>
    <row r="1629" spans="1:19" x14ac:dyDescent="0.25">
      <c r="A1629">
        <v>1628</v>
      </c>
      <c r="B1629">
        <v>69</v>
      </c>
      <c r="C1629" t="s">
        <v>19</v>
      </c>
      <c r="D1629" t="s">
        <v>89</v>
      </c>
      <c r="E1629" t="s">
        <v>69</v>
      </c>
      <c r="F1629" s="1">
        <v>21</v>
      </c>
      <c r="G1629" t="s">
        <v>32</v>
      </c>
      <c r="H1629" t="s">
        <v>45</v>
      </c>
      <c r="I1629" t="s">
        <v>79</v>
      </c>
      <c r="J1629" t="s">
        <v>25</v>
      </c>
      <c r="K1629" s="2">
        <v>2.9</v>
      </c>
      <c r="L1629" t="s">
        <v>152</v>
      </c>
      <c r="M1629" t="s">
        <v>29</v>
      </c>
      <c r="N1629" t="s">
        <v>47</v>
      </c>
      <c r="O1629" t="s">
        <v>26</v>
      </c>
      <c r="P1629" t="s">
        <v>26</v>
      </c>
      <c r="Q1629" s="3">
        <v>8</v>
      </c>
      <c r="R1629" t="s">
        <v>27</v>
      </c>
      <c r="S1629" t="s">
        <v>50</v>
      </c>
    </row>
    <row r="1630" spans="1:19" x14ac:dyDescent="0.25">
      <c r="A1630">
        <v>1629</v>
      </c>
      <c r="B1630">
        <v>45</v>
      </c>
      <c r="C1630" t="s">
        <v>19</v>
      </c>
      <c r="D1630" t="s">
        <v>82</v>
      </c>
      <c r="E1630" t="s">
        <v>21</v>
      </c>
      <c r="F1630" s="1">
        <v>64</v>
      </c>
      <c r="G1630" t="s">
        <v>37</v>
      </c>
      <c r="H1630" t="s">
        <v>38</v>
      </c>
      <c r="I1630" t="s">
        <v>86</v>
      </c>
      <c r="J1630" t="s">
        <v>25</v>
      </c>
      <c r="K1630" s="2">
        <v>3.1</v>
      </c>
      <c r="L1630" t="s">
        <v>152</v>
      </c>
      <c r="M1630" t="s">
        <v>46</v>
      </c>
      <c r="N1630" t="s">
        <v>47</v>
      </c>
      <c r="O1630" t="s">
        <v>26</v>
      </c>
      <c r="P1630" t="s">
        <v>26</v>
      </c>
      <c r="Q1630" s="3">
        <v>7</v>
      </c>
      <c r="R1630" t="s">
        <v>35</v>
      </c>
      <c r="S1630" t="s">
        <v>88</v>
      </c>
    </row>
    <row r="1631" spans="1:19" x14ac:dyDescent="0.25">
      <c r="A1631">
        <v>1630</v>
      </c>
      <c r="B1631">
        <v>35</v>
      </c>
      <c r="C1631" t="s">
        <v>19</v>
      </c>
      <c r="D1631" t="s">
        <v>20</v>
      </c>
      <c r="E1631" t="s">
        <v>21</v>
      </c>
      <c r="F1631" s="1">
        <v>88</v>
      </c>
      <c r="G1631" t="s">
        <v>114</v>
      </c>
      <c r="H1631" t="s">
        <v>38</v>
      </c>
      <c r="I1631" t="s">
        <v>67</v>
      </c>
      <c r="J1631" t="s">
        <v>39</v>
      </c>
      <c r="K1631" s="2">
        <v>3.3</v>
      </c>
      <c r="L1631" t="s">
        <v>152</v>
      </c>
      <c r="M1631" t="s">
        <v>27</v>
      </c>
      <c r="N1631" t="s">
        <v>47</v>
      </c>
      <c r="O1631" t="s">
        <v>26</v>
      </c>
      <c r="P1631" t="s">
        <v>26</v>
      </c>
      <c r="Q1631" s="3">
        <v>13</v>
      </c>
      <c r="R1631" t="s">
        <v>29</v>
      </c>
      <c r="S1631" t="s">
        <v>60</v>
      </c>
    </row>
    <row r="1632" spans="1:19" x14ac:dyDescent="0.25">
      <c r="A1632">
        <v>1631</v>
      </c>
      <c r="B1632">
        <v>63</v>
      </c>
      <c r="C1632" t="s">
        <v>19</v>
      </c>
      <c r="D1632" t="s">
        <v>73</v>
      </c>
      <c r="E1632" t="s">
        <v>43</v>
      </c>
      <c r="F1632" s="1">
        <v>48</v>
      </c>
      <c r="G1632" t="s">
        <v>127</v>
      </c>
      <c r="H1632" t="s">
        <v>45</v>
      </c>
      <c r="I1632" t="s">
        <v>81</v>
      </c>
      <c r="J1632" t="s">
        <v>54</v>
      </c>
      <c r="K1632" s="2">
        <v>2.9</v>
      </c>
      <c r="L1632" t="s">
        <v>152</v>
      </c>
      <c r="M1632" t="s">
        <v>59</v>
      </c>
      <c r="N1632" t="s">
        <v>76</v>
      </c>
      <c r="O1632" t="s">
        <v>26</v>
      </c>
      <c r="P1632" t="s">
        <v>26</v>
      </c>
      <c r="Q1632" s="3">
        <v>29</v>
      </c>
      <c r="R1632" t="s">
        <v>29</v>
      </c>
      <c r="S1632" t="s">
        <v>97</v>
      </c>
    </row>
    <row r="1633" spans="1:19" x14ac:dyDescent="0.25">
      <c r="A1633">
        <v>1632</v>
      </c>
      <c r="B1633">
        <v>65</v>
      </c>
      <c r="C1633" t="s">
        <v>19</v>
      </c>
      <c r="D1633" t="s">
        <v>31</v>
      </c>
      <c r="E1633" t="s">
        <v>21</v>
      </c>
      <c r="F1633" s="1">
        <v>36</v>
      </c>
      <c r="G1633" t="s">
        <v>116</v>
      </c>
      <c r="H1633" t="s">
        <v>23</v>
      </c>
      <c r="I1633" t="s">
        <v>84</v>
      </c>
      <c r="J1633" t="s">
        <v>54</v>
      </c>
      <c r="K1633" s="2">
        <v>3.9</v>
      </c>
      <c r="L1633" t="s">
        <v>152</v>
      </c>
      <c r="M1633" t="s">
        <v>46</v>
      </c>
      <c r="N1633" t="s">
        <v>72</v>
      </c>
      <c r="O1633" t="s">
        <v>26</v>
      </c>
      <c r="P1633" t="s">
        <v>26</v>
      </c>
      <c r="Q1633" s="3">
        <v>7</v>
      </c>
      <c r="R1633" t="s">
        <v>34</v>
      </c>
      <c r="S1633" t="s">
        <v>30</v>
      </c>
    </row>
    <row r="1634" spans="1:19" x14ac:dyDescent="0.25">
      <c r="A1634">
        <v>1633</v>
      </c>
      <c r="B1634">
        <v>35</v>
      </c>
      <c r="C1634" t="s">
        <v>19</v>
      </c>
      <c r="D1634" t="s">
        <v>143</v>
      </c>
      <c r="E1634" t="s">
        <v>69</v>
      </c>
      <c r="F1634" s="1">
        <v>28</v>
      </c>
      <c r="G1634" t="s">
        <v>48</v>
      </c>
      <c r="H1634" t="s">
        <v>38</v>
      </c>
      <c r="I1634" t="s">
        <v>53</v>
      </c>
      <c r="J1634" t="s">
        <v>54</v>
      </c>
      <c r="K1634" s="2">
        <v>4.7</v>
      </c>
      <c r="L1634" t="s">
        <v>152</v>
      </c>
      <c r="M1634" t="s">
        <v>46</v>
      </c>
      <c r="N1634" t="s">
        <v>72</v>
      </c>
      <c r="O1634" t="s">
        <v>26</v>
      </c>
      <c r="P1634" t="s">
        <v>26</v>
      </c>
      <c r="Q1634" s="3">
        <v>50</v>
      </c>
      <c r="R1634" t="s">
        <v>59</v>
      </c>
      <c r="S1634" t="s">
        <v>97</v>
      </c>
    </row>
    <row r="1635" spans="1:19" x14ac:dyDescent="0.25">
      <c r="A1635">
        <v>1634</v>
      </c>
      <c r="B1635">
        <v>54</v>
      </c>
      <c r="C1635" t="s">
        <v>19</v>
      </c>
      <c r="D1635" t="s">
        <v>125</v>
      </c>
      <c r="E1635" t="s">
        <v>21</v>
      </c>
      <c r="F1635" s="1">
        <v>80</v>
      </c>
      <c r="G1635" t="s">
        <v>114</v>
      </c>
      <c r="H1635" t="s">
        <v>45</v>
      </c>
      <c r="I1635" t="s">
        <v>100</v>
      </c>
      <c r="J1635" t="s">
        <v>39</v>
      </c>
      <c r="K1635" s="2">
        <v>4.4000000000000004</v>
      </c>
      <c r="L1635" t="s">
        <v>152</v>
      </c>
      <c r="M1635" t="s">
        <v>34</v>
      </c>
      <c r="N1635" t="s">
        <v>72</v>
      </c>
      <c r="O1635" t="s">
        <v>26</v>
      </c>
      <c r="P1635" t="s">
        <v>26</v>
      </c>
      <c r="Q1635" s="3">
        <v>33</v>
      </c>
      <c r="R1635" t="s">
        <v>59</v>
      </c>
      <c r="S1635" t="s">
        <v>77</v>
      </c>
    </row>
    <row r="1636" spans="1:19" x14ac:dyDescent="0.25">
      <c r="A1636">
        <v>1635</v>
      </c>
      <c r="B1636">
        <v>28</v>
      </c>
      <c r="C1636" t="s">
        <v>19</v>
      </c>
      <c r="D1636" t="s">
        <v>64</v>
      </c>
      <c r="E1636" t="s">
        <v>65</v>
      </c>
      <c r="F1636" s="1">
        <v>23</v>
      </c>
      <c r="G1636" t="s">
        <v>131</v>
      </c>
      <c r="H1636" t="s">
        <v>38</v>
      </c>
      <c r="I1636" t="s">
        <v>121</v>
      </c>
      <c r="J1636" t="s">
        <v>54</v>
      </c>
      <c r="K1636" s="2">
        <v>3.6</v>
      </c>
      <c r="L1636" t="s">
        <v>152</v>
      </c>
      <c r="M1636" t="s">
        <v>59</v>
      </c>
      <c r="N1636" t="s">
        <v>76</v>
      </c>
      <c r="O1636" t="s">
        <v>26</v>
      </c>
      <c r="P1636" t="s">
        <v>26</v>
      </c>
      <c r="Q1636" s="3">
        <v>30</v>
      </c>
      <c r="R1636" t="s">
        <v>35</v>
      </c>
      <c r="S1636" t="s">
        <v>97</v>
      </c>
    </row>
    <row r="1637" spans="1:19" x14ac:dyDescent="0.25">
      <c r="A1637">
        <v>1636</v>
      </c>
      <c r="B1637">
        <v>68</v>
      </c>
      <c r="C1637" t="s">
        <v>19</v>
      </c>
      <c r="D1637" t="s">
        <v>89</v>
      </c>
      <c r="E1637" t="s">
        <v>69</v>
      </c>
      <c r="F1637" s="1">
        <v>24</v>
      </c>
      <c r="G1637" t="s">
        <v>98</v>
      </c>
      <c r="H1637" t="s">
        <v>23</v>
      </c>
      <c r="I1637" t="s">
        <v>84</v>
      </c>
      <c r="J1637" t="s">
        <v>54</v>
      </c>
      <c r="K1637" s="2">
        <v>3.2</v>
      </c>
      <c r="L1637" t="s">
        <v>152</v>
      </c>
      <c r="M1637" t="s">
        <v>35</v>
      </c>
      <c r="N1637" t="s">
        <v>55</v>
      </c>
      <c r="O1637" t="s">
        <v>26</v>
      </c>
      <c r="P1637" t="s">
        <v>26</v>
      </c>
      <c r="Q1637" s="3">
        <v>40</v>
      </c>
      <c r="R1637" t="s">
        <v>35</v>
      </c>
      <c r="S1637" t="s">
        <v>50</v>
      </c>
    </row>
    <row r="1638" spans="1:19" x14ac:dyDescent="0.25">
      <c r="A1638">
        <v>1637</v>
      </c>
      <c r="B1638">
        <v>58</v>
      </c>
      <c r="C1638" t="s">
        <v>19</v>
      </c>
      <c r="D1638" t="s">
        <v>137</v>
      </c>
      <c r="E1638" t="s">
        <v>43</v>
      </c>
      <c r="F1638" s="1">
        <v>22</v>
      </c>
      <c r="G1638" t="s">
        <v>114</v>
      </c>
      <c r="H1638" t="s">
        <v>23</v>
      </c>
      <c r="I1638" t="s">
        <v>96</v>
      </c>
      <c r="J1638" t="s">
        <v>58</v>
      </c>
      <c r="K1638" s="2">
        <v>4</v>
      </c>
      <c r="L1638" t="s">
        <v>152</v>
      </c>
      <c r="M1638" t="s">
        <v>27</v>
      </c>
      <c r="N1638" t="s">
        <v>40</v>
      </c>
      <c r="O1638" t="s">
        <v>26</v>
      </c>
      <c r="P1638" t="s">
        <v>26</v>
      </c>
      <c r="Q1638" s="3">
        <v>49</v>
      </c>
      <c r="R1638" t="s">
        <v>35</v>
      </c>
      <c r="S1638" t="s">
        <v>30</v>
      </c>
    </row>
    <row r="1639" spans="1:19" x14ac:dyDescent="0.25">
      <c r="A1639">
        <v>1638</v>
      </c>
      <c r="B1639">
        <v>35</v>
      </c>
      <c r="C1639" t="s">
        <v>19</v>
      </c>
      <c r="D1639" t="s">
        <v>82</v>
      </c>
      <c r="E1639" t="s">
        <v>21</v>
      </c>
      <c r="F1639" s="1">
        <v>21</v>
      </c>
      <c r="G1639" t="s">
        <v>37</v>
      </c>
      <c r="H1639" t="s">
        <v>45</v>
      </c>
      <c r="I1639" t="s">
        <v>100</v>
      </c>
      <c r="J1639" t="s">
        <v>39</v>
      </c>
      <c r="K1639" s="2">
        <v>3.5</v>
      </c>
      <c r="L1639" t="s">
        <v>152</v>
      </c>
      <c r="M1639" t="s">
        <v>34</v>
      </c>
      <c r="N1639" t="s">
        <v>47</v>
      </c>
      <c r="O1639" t="s">
        <v>26</v>
      </c>
      <c r="P1639" t="s">
        <v>26</v>
      </c>
      <c r="Q1639" s="3">
        <v>32</v>
      </c>
      <c r="R1639" t="s">
        <v>29</v>
      </c>
      <c r="S1639" t="s">
        <v>30</v>
      </c>
    </row>
    <row r="1640" spans="1:19" x14ac:dyDescent="0.25">
      <c r="A1640">
        <v>1639</v>
      </c>
      <c r="B1640">
        <v>68</v>
      </c>
      <c r="C1640" t="s">
        <v>19</v>
      </c>
      <c r="D1640" t="s">
        <v>102</v>
      </c>
      <c r="E1640" t="s">
        <v>65</v>
      </c>
      <c r="F1640" s="1">
        <v>51</v>
      </c>
      <c r="G1640" t="s">
        <v>122</v>
      </c>
      <c r="H1640" t="s">
        <v>45</v>
      </c>
      <c r="I1640" t="s">
        <v>94</v>
      </c>
      <c r="J1640" t="s">
        <v>39</v>
      </c>
      <c r="K1640" s="2">
        <v>4.5999999999999996</v>
      </c>
      <c r="L1640" t="s">
        <v>152</v>
      </c>
      <c r="M1640" t="s">
        <v>46</v>
      </c>
      <c r="N1640" t="s">
        <v>40</v>
      </c>
      <c r="O1640" t="s">
        <v>26</v>
      </c>
      <c r="P1640" t="s">
        <v>26</v>
      </c>
      <c r="Q1640" s="3">
        <v>18</v>
      </c>
      <c r="R1640" t="s">
        <v>29</v>
      </c>
      <c r="S1640" t="s">
        <v>41</v>
      </c>
    </row>
    <row r="1641" spans="1:19" x14ac:dyDescent="0.25">
      <c r="A1641">
        <v>1640</v>
      </c>
      <c r="B1641">
        <v>41</v>
      </c>
      <c r="C1641" t="s">
        <v>19</v>
      </c>
      <c r="D1641" t="s">
        <v>143</v>
      </c>
      <c r="E1641" t="s">
        <v>69</v>
      </c>
      <c r="F1641" s="1">
        <v>65</v>
      </c>
      <c r="G1641" t="s">
        <v>70</v>
      </c>
      <c r="H1641" t="s">
        <v>23</v>
      </c>
      <c r="I1641" t="s">
        <v>144</v>
      </c>
      <c r="J1641" t="s">
        <v>54</v>
      </c>
      <c r="K1641" s="2">
        <v>3.3</v>
      </c>
      <c r="L1641" t="s">
        <v>152</v>
      </c>
      <c r="M1641" t="s">
        <v>34</v>
      </c>
      <c r="N1641" t="s">
        <v>40</v>
      </c>
      <c r="O1641" t="s">
        <v>26</v>
      </c>
      <c r="P1641" t="s">
        <v>26</v>
      </c>
      <c r="Q1641" s="3">
        <v>50</v>
      </c>
      <c r="R1641" t="s">
        <v>46</v>
      </c>
      <c r="S1641" t="s">
        <v>50</v>
      </c>
    </row>
    <row r="1642" spans="1:19" x14ac:dyDescent="0.25">
      <c r="A1642">
        <v>1641</v>
      </c>
      <c r="B1642">
        <v>65</v>
      </c>
      <c r="C1642" t="s">
        <v>19</v>
      </c>
      <c r="D1642" t="s">
        <v>119</v>
      </c>
      <c r="E1642" t="s">
        <v>69</v>
      </c>
      <c r="F1642" s="1">
        <v>51</v>
      </c>
      <c r="G1642" t="s">
        <v>122</v>
      </c>
      <c r="H1642" t="s">
        <v>38</v>
      </c>
      <c r="I1642" t="s">
        <v>136</v>
      </c>
      <c r="J1642" t="s">
        <v>39</v>
      </c>
      <c r="K1642" s="2">
        <v>4</v>
      </c>
      <c r="L1642" t="s">
        <v>152</v>
      </c>
      <c r="M1642" t="s">
        <v>59</v>
      </c>
      <c r="N1642" t="s">
        <v>72</v>
      </c>
      <c r="O1642" t="s">
        <v>26</v>
      </c>
      <c r="P1642" t="s">
        <v>26</v>
      </c>
      <c r="Q1642" s="3">
        <v>13</v>
      </c>
      <c r="R1642" t="s">
        <v>46</v>
      </c>
      <c r="S1642" t="s">
        <v>41</v>
      </c>
    </row>
    <row r="1643" spans="1:19" x14ac:dyDescent="0.25">
      <c r="A1643">
        <v>1642</v>
      </c>
      <c r="B1643">
        <v>50</v>
      </c>
      <c r="C1643" t="s">
        <v>19</v>
      </c>
      <c r="D1643" t="s">
        <v>104</v>
      </c>
      <c r="E1643" t="s">
        <v>21</v>
      </c>
      <c r="F1643" s="1">
        <v>32</v>
      </c>
      <c r="G1643" t="s">
        <v>112</v>
      </c>
      <c r="H1643" t="s">
        <v>23</v>
      </c>
      <c r="I1643" t="s">
        <v>84</v>
      </c>
      <c r="J1643" t="s">
        <v>54</v>
      </c>
      <c r="K1643" s="2">
        <v>3.4</v>
      </c>
      <c r="L1643" t="s">
        <v>152</v>
      </c>
      <c r="M1643" t="s">
        <v>34</v>
      </c>
      <c r="N1643" t="s">
        <v>40</v>
      </c>
      <c r="O1643" t="s">
        <v>26</v>
      </c>
      <c r="P1643" t="s">
        <v>26</v>
      </c>
      <c r="Q1643" s="3">
        <v>1</v>
      </c>
      <c r="R1643" t="s">
        <v>34</v>
      </c>
      <c r="S1643" t="s">
        <v>97</v>
      </c>
    </row>
    <row r="1644" spans="1:19" x14ac:dyDescent="0.25">
      <c r="A1644">
        <v>1643</v>
      </c>
      <c r="B1644">
        <v>18</v>
      </c>
      <c r="C1644" t="s">
        <v>19</v>
      </c>
      <c r="D1644" t="s">
        <v>64</v>
      </c>
      <c r="E1644" t="s">
        <v>65</v>
      </c>
      <c r="F1644" s="1">
        <v>70</v>
      </c>
      <c r="G1644" t="s">
        <v>91</v>
      </c>
      <c r="H1644" t="s">
        <v>45</v>
      </c>
      <c r="I1644" t="s">
        <v>118</v>
      </c>
      <c r="J1644" t="s">
        <v>39</v>
      </c>
      <c r="K1644" s="2">
        <v>4.2</v>
      </c>
      <c r="L1644" t="s">
        <v>152</v>
      </c>
      <c r="M1644" t="s">
        <v>34</v>
      </c>
      <c r="N1644" t="s">
        <v>76</v>
      </c>
      <c r="O1644" t="s">
        <v>26</v>
      </c>
      <c r="P1644" t="s">
        <v>26</v>
      </c>
      <c r="Q1644" s="3">
        <v>16</v>
      </c>
      <c r="R1644" t="s">
        <v>46</v>
      </c>
      <c r="S1644" t="s">
        <v>30</v>
      </c>
    </row>
    <row r="1645" spans="1:19" x14ac:dyDescent="0.25">
      <c r="A1645">
        <v>1644</v>
      </c>
      <c r="B1645">
        <v>38</v>
      </c>
      <c r="C1645" t="s">
        <v>19</v>
      </c>
      <c r="D1645" t="s">
        <v>119</v>
      </c>
      <c r="E1645" t="s">
        <v>69</v>
      </c>
      <c r="F1645" s="1">
        <v>77</v>
      </c>
      <c r="G1645" t="s">
        <v>123</v>
      </c>
      <c r="H1645" t="s">
        <v>23</v>
      </c>
      <c r="I1645" t="s">
        <v>71</v>
      </c>
      <c r="J1645" t="s">
        <v>54</v>
      </c>
      <c r="K1645" s="2">
        <v>3.9</v>
      </c>
      <c r="L1645" t="s">
        <v>152</v>
      </c>
      <c r="M1645" t="s">
        <v>46</v>
      </c>
      <c r="N1645" t="s">
        <v>72</v>
      </c>
      <c r="O1645" t="s">
        <v>26</v>
      </c>
      <c r="P1645" t="s">
        <v>26</v>
      </c>
      <c r="Q1645" s="3">
        <v>6</v>
      </c>
      <c r="R1645" t="s">
        <v>46</v>
      </c>
      <c r="S1645" t="s">
        <v>88</v>
      </c>
    </row>
    <row r="1646" spans="1:19" x14ac:dyDescent="0.25">
      <c r="A1646">
        <v>1645</v>
      </c>
      <c r="B1646">
        <v>68</v>
      </c>
      <c r="C1646" t="s">
        <v>19</v>
      </c>
      <c r="D1646" t="s">
        <v>64</v>
      </c>
      <c r="E1646" t="s">
        <v>65</v>
      </c>
      <c r="F1646" s="1">
        <v>90</v>
      </c>
      <c r="G1646" t="s">
        <v>98</v>
      </c>
      <c r="H1646" t="s">
        <v>38</v>
      </c>
      <c r="I1646" t="s">
        <v>118</v>
      </c>
      <c r="J1646" t="s">
        <v>54</v>
      </c>
      <c r="K1646" s="2">
        <v>3.9</v>
      </c>
      <c r="L1646" t="s">
        <v>152</v>
      </c>
      <c r="M1646" t="s">
        <v>46</v>
      </c>
      <c r="N1646" t="s">
        <v>47</v>
      </c>
      <c r="O1646" t="s">
        <v>26</v>
      </c>
      <c r="P1646" t="s">
        <v>26</v>
      </c>
      <c r="Q1646" s="3">
        <v>21</v>
      </c>
      <c r="R1646" t="s">
        <v>59</v>
      </c>
      <c r="S1646" t="s">
        <v>88</v>
      </c>
    </row>
    <row r="1647" spans="1:19" x14ac:dyDescent="0.25">
      <c r="A1647">
        <v>1646</v>
      </c>
      <c r="B1647">
        <v>53</v>
      </c>
      <c r="C1647" t="s">
        <v>19</v>
      </c>
      <c r="D1647" t="s">
        <v>119</v>
      </c>
      <c r="E1647" t="s">
        <v>69</v>
      </c>
      <c r="F1647" s="1">
        <v>36</v>
      </c>
      <c r="G1647" t="s">
        <v>123</v>
      </c>
      <c r="H1647" t="s">
        <v>23</v>
      </c>
      <c r="I1647" t="s">
        <v>96</v>
      </c>
      <c r="J1647" t="s">
        <v>54</v>
      </c>
      <c r="K1647" s="2">
        <v>2.8</v>
      </c>
      <c r="L1647" t="s">
        <v>152</v>
      </c>
      <c r="M1647" t="s">
        <v>34</v>
      </c>
      <c r="N1647" t="s">
        <v>55</v>
      </c>
      <c r="O1647" t="s">
        <v>26</v>
      </c>
      <c r="P1647" t="s">
        <v>26</v>
      </c>
      <c r="Q1647" s="3">
        <v>36</v>
      </c>
      <c r="R1647" t="s">
        <v>29</v>
      </c>
      <c r="S1647" t="s">
        <v>97</v>
      </c>
    </row>
    <row r="1648" spans="1:19" x14ac:dyDescent="0.25">
      <c r="A1648">
        <v>1647</v>
      </c>
      <c r="B1648">
        <v>58</v>
      </c>
      <c r="C1648" t="s">
        <v>19</v>
      </c>
      <c r="D1648" t="s">
        <v>68</v>
      </c>
      <c r="E1648" t="s">
        <v>69</v>
      </c>
      <c r="F1648" s="1">
        <v>77</v>
      </c>
      <c r="G1648" t="s">
        <v>145</v>
      </c>
      <c r="H1648" t="s">
        <v>38</v>
      </c>
      <c r="I1648" t="s">
        <v>67</v>
      </c>
      <c r="J1648" t="s">
        <v>54</v>
      </c>
      <c r="K1648" s="2">
        <v>3.7</v>
      </c>
      <c r="L1648" t="s">
        <v>152</v>
      </c>
      <c r="M1648" t="s">
        <v>27</v>
      </c>
      <c r="N1648" t="s">
        <v>55</v>
      </c>
      <c r="O1648" t="s">
        <v>26</v>
      </c>
      <c r="P1648" t="s">
        <v>26</v>
      </c>
      <c r="Q1648" s="3">
        <v>20</v>
      </c>
      <c r="R1648" t="s">
        <v>34</v>
      </c>
      <c r="S1648" t="s">
        <v>97</v>
      </c>
    </row>
    <row r="1649" spans="1:19" x14ac:dyDescent="0.25">
      <c r="A1649">
        <v>1648</v>
      </c>
      <c r="B1649">
        <v>34</v>
      </c>
      <c r="C1649" t="s">
        <v>19</v>
      </c>
      <c r="D1649" t="s">
        <v>137</v>
      </c>
      <c r="E1649" t="s">
        <v>43</v>
      </c>
      <c r="F1649" s="1">
        <v>78</v>
      </c>
      <c r="G1649" t="s">
        <v>78</v>
      </c>
      <c r="H1649" t="s">
        <v>45</v>
      </c>
      <c r="I1649" t="s">
        <v>75</v>
      </c>
      <c r="J1649" t="s">
        <v>54</v>
      </c>
      <c r="K1649" s="2">
        <v>4.9000000000000004</v>
      </c>
      <c r="L1649" t="s">
        <v>152</v>
      </c>
      <c r="M1649" t="s">
        <v>27</v>
      </c>
      <c r="N1649" t="s">
        <v>76</v>
      </c>
      <c r="O1649" t="s">
        <v>26</v>
      </c>
      <c r="P1649" t="s">
        <v>26</v>
      </c>
      <c r="Q1649" s="3">
        <v>8</v>
      </c>
      <c r="R1649" t="s">
        <v>59</v>
      </c>
      <c r="S1649" t="s">
        <v>60</v>
      </c>
    </row>
    <row r="1650" spans="1:19" x14ac:dyDescent="0.25">
      <c r="A1650">
        <v>1649</v>
      </c>
      <c r="B1650">
        <v>36</v>
      </c>
      <c r="C1650" t="s">
        <v>19</v>
      </c>
      <c r="D1650" t="s">
        <v>95</v>
      </c>
      <c r="E1650" t="s">
        <v>21</v>
      </c>
      <c r="F1650" s="1">
        <v>69</v>
      </c>
      <c r="G1650" t="s">
        <v>101</v>
      </c>
      <c r="H1650" t="s">
        <v>45</v>
      </c>
      <c r="I1650" t="s">
        <v>24</v>
      </c>
      <c r="J1650" t="s">
        <v>54</v>
      </c>
      <c r="K1650" s="2">
        <v>2.6</v>
      </c>
      <c r="L1650" t="s">
        <v>152</v>
      </c>
      <c r="M1650" t="s">
        <v>34</v>
      </c>
      <c r="N1650" t="s">
        <v>28</v>
      </c>
      <c r="O1650" t="s">
        <v>26</v>
      </c>
      <c r="P1650" t="s">
        <v>26</v>
      </c>
      <c r="Q1650" s="3">
        <v>22</v>
      </c>
      <c r="R1650" t="s">
        <v>27</v>
      </c>
      <c r="S1650" t="s">
        <v>88</v>
      </c>
    </row>
    <row r="1651" spans="1:19" x14ac:dyDescent="0.25">
      <c r="A1651">
        <v>1650</v>
      </c>
      <c r="B1651">
        <v>58</v>
      </c>
      <c r="C1651" t="s">
        <v>19</v>
      </c>
      <c r="D1651" t="s">
        <v>113</v>
      </c>
      <c r="E1651" t="s">
        <v>21</v>
      </c>
      <c r="F1651" s="1">
        <v>63</v>
      </c>
      <c r="G1651" t="s">
        <v>150</v>
      </c>
      <c r="H1651" t="s">
        <v>45</v>
      </c>
      <c r="I1651" t="s">
        <v>53</v>
      </c>
      <c r="J1651" t="s">
        <v>54</v>
      </c>
      <c r="K1651" s="2">
        <v>4.9000000000000004</v>
      </c>
      <c r="L1651" t="s">
        <v>152</v>
      </c>
      <c r="M1651" t="s">
        <v>46</v>
      </c>
      <c r="N1651" t="s">
        <v>40</v>
      </c>
      <c r="O1651" t="s">
        <v>26</v>
      </c>
      <c r="P1651" t="s">
        <v>26</v>
      </c>
      <c r="Q1651" s="3">
        <v>3</v>
      </c>
      <c r="R1651" t="s">
        <v>27</v>
      </c>
      <c r="S1651" t="s">
        <v>60</v>
      </c>
    </row>
    <row r="1652" spans="1:19" x14ac:dyDescent="0.25">
      <c r="A1652">
        <v>1651</v>
      </c>
      <c r="B1652">
        <v>60</v>
      </c>
      <c r="C1652" t="s">
        <v>19</v>
      </c>
      <c r="D1652" t="s">
        <v>119</v>
      </c>
      <c r="E1652" t="s">
        <v>69</v>
      </c>
      <c r="F1652" s="1">
        <v>36</v>
      </c>
      <c r="G1652" t="s">
        <v>74</v>
      </c>
      <c r="H1652" t="s">
        <v>45</v>
      </c>
      <c r="I1652" t="s">
        <v>67</v>
      </c>
      <c r="J1652" t="s">
        <v>25</v>
      </c>
      <c r="K1652" s="2">
        <v>3.4</v>
      </c>
      <c r="L1652" t="s">
        <v>152</v>
      </c>
      <c r="M1652" t="s">
        <v>29</v>
      </c>
      <c r="N1652" t="s">
        <v>47</v>
      </c>
      <c r="O1652" t="s">
        <v>26</v>
      </c>
      <c r="P1652" t="s">
        <v>26</v>
      </c>
      <c r="Q1652" s="3">
        <v>46</v>
      </c>
      <c r="R1652" t="s">
        <v>27</v>
      </c>
      <c r="S1652" t="s">
        <v>30</v>
      </c>
    </row>
    <row r="1653" spans="1:19" x14ac:dyDescent="0.25">
      <c r="A1653">
        <v>1652</v>
      </c>
      <c r="B1653">
        <v>59</v>
      </c>
      <c r="C1653" t="s">
        <v>19</v>
      </c>
      <c r="D1653" t="s">
        <v>64</v>
      </c>
      <c r="E1653" t="s">
        <v>65</v>
      </c>
      <c r="F1653" s="1">
        <v>80</v>
      </c>
      <c r="G1653" t="s">
        <v>105</v>
      </c>
      <c r="H1653" t="s">
        <v>45</v>
      </c>
      <c r="I1653" t="s">
        <v>144</v>
      </c>
      <c r="J1653" t="s">
        <v>25</v>
      </c>
      <c r="K1653" s="2">
        <v>3.9</v>
      </c>
      <c r="L1653" t="s">
        <v>152</v>
      </c>
      <c r="M1653" t="s">
        <v>34</v>
      </c>
      <c r="N1653" t="s">
        <v>55</v>
      </c>
      <c r="O1653" t="s">
        <v>26</v>
      </c>
      <c r="P1653" t="s">
        <v>26</v>
      </c>
      <c r="Q1653" s="3">
        <v>42</v>
      </c>
      <c r="R1653" t="s">
        <v>59</v>
      </c>
      <c r="S1653" t="s">
        <v>88</v>
      </c>
    </row>
    <row r="1654" spans="1:19" x14ac:dyDescent="0.25">
      <c r="A1654">
        <v>1653</v>
      </c>
      <c r="B1654">
        <v>65</v>
      </c>
      <c r="C1654" t="s">
        <v>19</v>
      </c>
      <c r="D1654" t="s">
        <v>31</v>
      </c>
      <c r="E1654" t="s">
        <v>21</v>
      </c>
      <c r="F1654" s="1">
        <v>35</v>
      </c>
      <c r="G1654" t="s">
        <v>130</v>
      </c>
      <c r="H1654" t="s">
        <v>45</v>
      </c>
      <c r="I1654" t="s">
        <v>121</v>
      </c>
      <c r="J1654" t="s">
        <v>54</v>
      </c>
      <c r="K1654" s="2">
        <v>4</v>
      </c>
      <c r="L1654" t="s">
        <v>152</v>
      </c>
      <c r="M1654" t="s">
        <v>35</v>
      </c>
      <c r="N1654" t="s">
        <v>47</v>
      </c>
      <c r="O1654" t="s">
        <v>26</v>
      </c>
      <c r="P1654" t="s">
        <v>26</v>
      </c>
      <c r="Q1654" s="3">
        <v>1</v>
      </c>
      <c r="R1654" t="s">
        <v>34</v>
      </c>
      <c r="S1654" t="s">
        <v>30</v>
      </c>
    </row>
    <row r="1655" spans="1:19" x14ac:dyDescent="0.25">
      <c r="A1655">
        <v>1654</v>
      </c>
      <c r="B1655">
        <v>31</v>
      </c>
      <c r="C1655" t="s">
        <v>19</v>
      </c>
      <c r="D1655" t="s">
        <v>133</v>
      </c>
      <c r="E1655" t="s">
        <v>69</v>
      </c>
      <c r="F1655" s="1">
        <v>93</v>
      </c>
      <c r="G1655" t="s">
        <v>112</v>
      </c>
      <c r="H1655" t="s">
        <v>23</v>
      </c>
      <c r="I1655" t="s">
        <v>67</v>
      </c>
      <c r="J1655" t="s">
        <v>25</v>
      </c>
      <c r="K1655" s="2">
        <v>3</v>
      </c>
      <c r="L1655" t="s">
        <v>152</v>
      </c>
      <c r="M1655" t="s">
        <v>29</v>
      </c>
      <c r="N1655" t="s">
        <v>72</v>
      </c>
      <c r="O1655" t="s">
        <v>26</v>
      </c>
      <c r="P1655" t="s">
        <v>26</v>
      </c>
      <c r="Q1655" s="3">
        <v>29</v>
      </c>
      <c r="R1655" t="s">
        <v>59</v>
      </c>
      <c r="S1655" t="s">
        <v>77</v>
      </c>
    </row>
    <row r="1656" spans="1:19" x14ac:dyDescent="0.25">
      <c r="A1656">
        <v>1655</v>
      </c>
      <c r="B1656">
        <v>43</v>
      </c>
      <c r="C1656" t="s">
        <v>19</v>
      </c>
      <c r="D1656" t="s">
        <v>133</v>
      </c>
      <c r="E1656" t="s">
        <v>69</v>
      </c>
      <c r="F1656" s="1">
        <v>25</v>
      </c>
      <c r="G1656" t="s">
        <v>116</v>
      </c>
      <c r="H1656" t="s">
        <v>23</v>
      </c>
      <c r="I1656" t="s">
        <v>24</v>
      </c>
      <c r="J1656" t="s">
        <v>39</v>
      </c>
      <c r="K1656" s="2">
        <v>2.6</v>
      </c>
      <c r="L1656" t="s">
        <v>152</v>
      </c>
      <c r="M1656" t="s">
        <v>29</v>
      </c>
      <c r="N1656" t="s">
        <v>76</v>
      </c>
      <c r="O1656" t="s">
        <v>26</v>
      </c>
      <c r="P1656" t="s">
        <v>26</v>
      </c>
      <c r="Q1656" s="3">
        <v>14</v>
      </c>
      <c r="R1656" t="s">
        <v>27</v>
      </c>
      <c r="S1656" t="s">
        <v>60</v>
      </c>
    </row>
    <row r="1657" spans="1:19" x14ac:dyDescent="0.25">
      <c r="A1657">
        <v>1656</v>
      </c>
      <c r="B1657">
        <v>37</v>
      </c>
      <c r="C1657" t="s">
        <v>19</v>
      </c>
      <c r="D1657" t="s">
        <v>31</v>
      </c>
      <c r="E1657" t="s">
        <v>21</v>
      </c>
      <c r="F1657" s="1">
        <v>81</v>
      </c>
      <c r="G1657" t="s">
        <v>117</v>
      </c>
      <c r="H1657" t="s">
        <v>23</v>
      </c>
      <c r="I1657" t="s">
        <v>81</v>
      </c>
      <c r="J1657" t="s">
        <v>39</v>
      </c>
      <c r="K1657" s="2">
        <v>3.2</v>
      </c>
      <c r="L1657" t="s">
        <v>152</v>
      </c>
      <c r="M1657" t="s">
        <v>29</v>
      </c>
      <c r="N1657" t="s">
        <v>47</v>
      </c>
      <c r="O1657" t="s">
        <v>26</v>
      </c>
      <c r="P1657" t="s">
        <v>26</v>
      </c>
      <c r="Q1657" s="3">
        <v>4</v>
      </c>
      <c r="R1657" t="s">
        <v>46</v>
      </c>
      <c r="S1657" t="s">
        <v>88</v>
      </c>
    </row>
    <row r="1658" spans="1:19" x14ac:dyDescent="0.25">
      <c r="A1658">
        <v>1657</v>
      </c>
      <c r="B1658">
        <v>21</v>
      </c>
      <c r="C1658" t="s">
        <v>19</v>
      </c>
      <c r="D1658" t="s">
        <v>20</v>
      </c>
      <c r="E1658" t="s">
        <v>21</v>
      </c>
      <c r="F1658" s="1">
        <v>42</v>
      </c>
      <c r="G1658" t="s">
        <v>116</v>
      </c>
      <c r="H1658" t="s">
        <v>23</v>
      </c>
      <c r="I1658" t="s">
        <v>110</v>
      </c>
      <c r="J1658" t="s">
        <v>39</v>
      </c>
      <c r="K1658" s="2">
        <v>2.6</v>
      </c>
      <c r="L1658" t="s">
        <v>152</v>
      </c>
      <c r="M1658" t="s">
        <v>27</v>
      </c>
      <c r="N1658" t="s">
        <v>72</v>
      </c>
      <c r="O1658" t="s">
        <v>26</v>
      </c>
      <c r="P1658" t="s">
        <v>26</v>
      </c>
      <c r="Q1658" s="3">
        <v>41</v>
      </c>
      <c r="R1658" t="s">
        <v>46</v>
      </c>
      <c r="S1658" t="s">
        <v>97</v>
      </c>
    </row>
    <row r="1659" spans="1:19" x14ac:dyDescent="0.25">
      <c r="A1659">
        <v>1658</v>
      </c>
      <c r="B1659">
        <v>69</v>
      </c>
      <c r="C1659" t="s">
        <v>19</v>
      </c>
      <c r="D1659" t="s">
        <v>87</v>
      </c>
      <c r="E1659" t="s">
        <v>21</v>
      </c>
      <c r="F1659" s="1">
        <v>36</v>
      </c>
      <c r="G1659" t="s">
        <v>116</v>
      </c>
      <c r="H1659" t="s">
        <v>23</v>
      </c>
      <c r="I1659" t="s">
        <v>49</v>
      </c>
      <c r="J1659" t="s">
        <v>39</v>
      </c>
      <c r="K1659" s="2">
        <v>3.2</v>
      </c>
      <c r="L1659" t="s">
        <v>152</v>
      </c>
      <c r="M1659" t="s">
        <v>35</v>
      </c>
      <c r="N1659" t="s">
        <v>76</v>
      </c>
      <c r="O1659" t="s">
        <v>26</v>
      </c>
      <c r="P1659" t="s">
        <v>26</v>
      </c>
      <c r="Q1659" s="3">
        <v>4</v>
      </c>
      <c r="R1659" t="s">
        <v>59</v>
      </c>
      <c r="S1659" t="s">
        <v>77</v>
      </c>
    </row>
    <row r="1660" spans="1:19" x14ac:dyDescent="0.25">
      <c r="A1660">
        <v>1659</v>
      </c>
      <c r="B1660">
        <v>32</v>
      </c>
      <c r="C1660" t="s">
        <v>19</v>
      </c>
      <c r="D1660" t="s">
        <v>106</v>
      </c>
      <c r="E1660" t="s">
        <v>69</v>
      </c>
      <c r="F1660" s="1">
        <v>66</v>
      </c>
      <c r="G1660" t="s">
        <v>120</v>
      </c>
      <c r="H1660" t="s">
        <v>38</v>
      </c>
      <c r="I1660" t="s">
        <v>71</v>
      </c>
      <c r="J1660" t="s">
        <v>39</v>
      </c>
      <c r="K1660" s="2">
        <v>4.0999999999999996</v>
      </c>
      <c r="L1660" t="s">
        <v>152</v>
      </c>
      <c r="M1660" t="s">
        <v>59</v>
      </c>
      <c r="N1660" t="s">
        <v>76</v>
      </c>
      <c r="O1660" t="s">
        <v>26</v>
      </c>
      <c r="P1660" t="s">
        <v>26</v>
      </c>
      <c r="Q1660" s="3">
        <v>47</v>
      </c>
      <c r="R1660" t="s">
        <v>35</v>
      </c>
      <c r="S1660" t="s">
        <v>41</v>
      </c>
    </row>
    <row r="1661" spans="1:19" x14ac:dyDescent="0.25">
      <c r="A1661">
        <v>1660</v>
      </c>
      <c r="B1661">
        <v>53</v>
      </c>
      <c r="C1661" t="s">
        <v>19</v>
      </c>
      <c r="D1661" t="s">
        <v>143</v>
      </c>
      <c r="E1661" t="s">
        <v>69</v>
      </c>
      <c r="F1661" s="1">
        <v>37</v>
      </c>
      <c r="G1661" t="s">
        <v>140</v>
      </c>
      <c r="H1661" t="s">
        <v>45</v>
      </c>
      <c r="I1661" t="s">
        <v>94</v>
      </c>
      <c r="J1661" t="s">
        <v>58</v>
      </c>
      <c r="K1661" s="2">
        <v>3.9</v>
      </c>
      <c r="L1661" t="s">
        <v>152</v>
      </c>
      <c r="M1661" t="s">
        <v>34</v>
      </c>
      <c r="N1661" t="s">
        <v>47</v>
      </c>
      <c r="O1661" t="s">
        <v>26</v>
      </c>
      <c r="P1661" t="s">
        <v>26</v>
      </c>
      <c r="Q1661" s="3">
        <v>44</v>
      </c>
      <c r="R1661" t="s">
        <v>29</v>
      </c>
      <c r="S1661" t="s">
        <v>50</v>
      </c>
    </row>
    <row r="1662" spans="1:19" x14ac:dyDescent="0.25">
      <c r="A1662">
        <v>1661</v>
      </c>
      <c r="B1662">
        <v>59</v>
      </c>
      <c r="C1662" t="s">
        <v>19</v>
      </c>
      <c r="D1662" t="s">
        <v>113</v>
      </c>
      <c r="E1662" t="s">
        <v>21</v>
      </c>
      <c r="F1662" s="1">
        <v>45</v>
      </c>
      <c r="G1662" t="s">
        <v>62</v>
      </c>
      <c r="H1662" t="s">
        <v>23</v>
      </c>
      <c r="I1662" t="s">
        <v>134</v>
      </c>
      <c r="J1662" t="s">
        <v>25</v>
      </c>
      <c r="K1662" s="2">
        <v>4.0999999999999996</v>
      </c>
      <c r="L1662" t="s">
        <v>152</v>
      </c>
      <c r="M1662" t="s">
        <v>29</v>
      </c>
      <c r="N1662" t="s">
        <v>55</v>
      </c>
      <c r="O1662" t="s">
        <v>26</v>
      </c>
      <c r="P1662" t="s">
        <v>26</v>
      </c>
      <c r="Q1662" s="3">
        <v>37</v>
      </c>
      <c r="R1662" t="s">
        <v>29</v>
      </c>
      <c r="S1662" t="s">
        <v>88</v>
      </c>
    </row>
    <row r="1663" spans="1:19" x14ac:dyDescent="0.25">
      <c r="A1663">
        <v>1662</v>
      </c>
      <c r="B1663">
        <v>64</v>
      </c>
      <c r="C1663" t="s">
        <v>19</v>
      </c>
      <c r="D1663" t="s">
        <v>143</v>
      </c>
      <c r="E1663" t="s">
        <v>69</v>
      </c>
      <c r="F1663" s="1">
        <v>86</v>
      </c>
      <c r="G1663" t="s">
        <v>146</v>
      </c>
      <c r="H1663" t="s">
        <v>38</v>
      </c>
      <c r="I1663" t="s">
        <v>118</v>
      </c>
      <c r="J1663" t="s">
        <v>54</v>
      </c>
      <c r="K1663" s="2">
        <v>2.7</v>
      </c>
      <c r="L1663" t="s">
        <v>152</v>
      </c>
      <c r="M1663" t="s">
        <v>27</v>
      </c>
      <c r="N1663" t="s">
        <v>72</v>
      </c>
      <c r="O1663" t="s">
        <v>26</v>
      </c>
      <c r="P1663" t="s">
        <v>26</v>
      </c>
      <c r="Q1663" s="3">
        <v>21</v>
      </c>
      <c r="R1663" t="s">
        <v>59</v>
      </c>
      <c r="S1663" t="s">
        <v>60</v>
      </c>
    </row>
    <row r="1664" spans="1:19" x14ac:dyDescent="0.25">
      <c r="A1664">
        <v>1663</v>
      </c>
      <c r="B1664">
        <v>63</v>
      </c>
      <c r="C1664" t="s">
        <v>19</v>
      </c>
      <c r="D1664" t="s">
        <v>89</v>
      </c>
      <c r="E1664" t="s">
        <v>69</v>
      </c>
      <c r="F1664" s="1">
        <v>24</v>
      </c>
      <c r="G1664" t="s">
        <v>130</v>
      </c>
      <c r="H1664" t="s">
        <v>45</v>
      </c>
      <c r="I1664" t="s">
        <v>79</v>
      </c>
      <c r="J1664" t="s">
        <v>25</v>
      </c>
      <c r="K1664" s="2">
        <v>4.5999999999999996</v>
      </c>
      <c r="L1664" t="s">
        <v>152</v>
      </c>
      <c r="M1664" t="s">
        <v>59</v>
      </c>
      <c r="N1664" t="s">
        <v>40</v>
      </c>
      <c r="O1664" t="s">
        <v>26</v>
      </c>
      <c r="P1664" t="s">
        <v>26</v>
      </c>
      <c r="Q1664" s="3">
        <v>46</v>
      </c>
      <c r="R1664" t="s">
        <v>59</v>
      </c>
      <c r="S1664" t="s">
        <v>30</v>
      </c>
    </row>
    <row r="1665" spans="1:19" x14ac:dyDescent="0.25">
      <c r="A1665">
        <v>1664</v>
      </c>
      <c r="B1665">
        <v>43</v>
      </c>
      <c r="C1665" t="s">
        <v>19</v>
      </c>
      <c r="D1665" t="s">
        <v>56</v>
      </c>
      <c r="E1665" t="s">
        <v>21</v>
      </c>
      <c r="F1665" s="1">
        <v>22</v>
      </c>
      <c r="G1665" t="s">
        <v>32</v>
      </c>
      <c r="H1665" t="s">
        <v>92</v>
      </c>
      <c r="I1665" t="s">
        <v>81</v>
      </c>
      <c r="J1665" t="s">
        <v>54</v>
      </c>
      <c r="K1665" s="2">
        <v>3.5</v>
      </c>
      <c r="L1665" t="s">
        <v>152</v>
      </c>
      <c r="M1665" t="s">
        <v>35</v>
      </c>
      <c r="N1665" t="s">
        <v>55</v>
      </c>
      <c r="O1665" t="s">
        <v>26</v>
      </c>
      <c r="P1665" t="s">
        <v>26</v>
      </c>
      <c r="Q1665" s="3">
        <v>1</v>
      </c>
      <c r="R1665" t="s">
        <v>35</v>
      </c>
      <c r="S1665" t="s">
        <v>77</v>
      </c>
    </row>
    <row r="1666" spans="1:19" x14ac:dyDescent="0.25">
      <c r="A1666">
        <v>1665</v>
      </c>
      <c r="B1666">
        <v>19</v>
      </c>
      <c r="C1666" t="s">
        <v>19</v>
      </c>
      <c r="D1666" t="s">
        <v>68</v>
      </c>
      <c r="E1666" t="s">
        <v>69</v>
      </c>
      <c r="F1666" s="1">
        <v>53</v>
      </c>
      <c r="G1666" t="s">
        <v>148</v>
      </c>
      <c r="H1666" t="s">
        <v>45</v>
      </c>
      <c r="I1666" t="s">
        <v>75</v>
      </c>
      <c r="J1666" t="s">
        <v>39</v>
      </c>
      <c r="K1666" s="2">
        <v>5</v>
      </c>
      <c r="L1666" t="s">
        <v>152</v>
      </c>
      <c r="M1666" t="s">
        <v>46</v>
      </c>
      <c r="N1666" t="s">
        <v>47</v>
      </c>
      <c r="O1666" t="s">
        <v>26</v>
      </c>
      <c r="P1666" t="s">
        <v>26</v>
      </c>
      <c r="Q1666" s="3">
        <v>35</v>
      </c>
      <c r="R1666" t="s">
        <v>46</v>
      </c>
      <c r="S1666" t="s">
        <v>41</v>
      </c>
    </row>
    <row r="1667" spans="1:19" x14ac:dyDescent="0.25">
      <c r="A1667">
        <v>1666</v>
      </c>
      <c r="B1667">
        <v>40</v>
      </c>
      <c r="C1667" t="s">
        <v>19</v>
      </c>
      <c r="D1667" t="s">
        <v>102</v>
      </c>
      <c r="E1667" t="s">
        <v>65</v>
      </c>
      <c r="F1667" s="1">
        <v>41</v>
      </c>
      <c r="G1667" t="s">
        <v>130</v>
      </c>
      <c r="H1667" t="s">
        <v>23</v>
      </c>
      <c r="I1667" t="s">
        <v>71</v>
      </c>
      <c r="J1667" t="s">
        <v>58</v>
      </c>
      <c r="K1667" s="2">
        <v>3.4</v>
      </c>
      <c r="L1667" t="s">
        <v>152</v>
      </c>
      <c r="M1667" t="s">
        <v>35</v>
      </c>
      <c r="N1667" t="s">
        <v>47</v>
      </c>
      <c r="O1667" t="s">
        <v>26</v>
      </c>
      <c r="P1667" t="s">
        <v>26</v>
      </c>
      <c r="Q1667" s="3">
        <v>49</v>
      </c>
      <c r="R1667" t="s">
        <v>29</v>
      </c>
      <c r="S1667" t="s">
        <v>88</v>
      </c>
    </row>
    <row r="1668" spans="1:19" x14ac:dyDescent="0.25">
      <c r="A1668">
        <v>1667</v>
      </c>
      <c r="B1668">
        <v>51</v>
      </c>
      <c r="C1668" t="s">
        <v>19</v>
      </c>
      <c r="D1668" t="s">
        <v>87</v>
      </c>
      <c r="E1668" t="s">
        <v>21</v>
      </c>
      <c r="F1668" s="1">
        <v>64</v>
      </c>
      <c r="G1668" t="s">
        <v>74</v>
      </c>
      <c r="H1668" t="s">
        <v>45</v>
      </c>
      <c r="I1668" t="s">
        <v>144</v>
      </c>
      <c r="J1668" t="s">
        <v>54</v>
      </c>
      <c r="K1668" s="2">
        <v>3.1</v>
      </c>
      <c r="L1668" t="s">
        <v>152</v>
      </c>
      <c r="M1668" t="s">
        <v>35</v>
      </c>
      <c r="N1668" t="s">
        <v>76</v>
      </c>
      <c r="O1668" t="s">
        <v>26</v>
      </c>
      <c r="P1668" t="s">
        <v>26</v>
      </c>
      <c r="Q1668" s="3">
        <v>47</v>
      </c>
      <c r="R1668" t="s">
        <v>46</v>
      </c>
      <c r="S1668" t="s">
        <v>50</v>
      </c>
    </row>
    <row r="1669" spans="1:19" x14ac:dyDescent="0.25">
      <c r="A1669">
        <v>1668</v>
      </c>
      <c r="B1669">
        <v>51</v>
      </c>
      <c r="C1669" t="s">
        <v>19</v>
      </c>
      <c r="D1669" t="s">
        <v>68</v>
      </c>
      <c r="E1669" t="s">
        <v>69</v>
      </c>
      <c r="F1669" s="1">
        <v>40</v>
      </c>
      <c r="G1669" t="s">
        <v>101</v>
      </c>
      <c r="H1669" t="s">
        <v>23</v>
      </c>
      <c r="I1669" t="s">
        <v>110</v>
      </c>
      <c r="J1669" t="s">
        <v>25</v>
      </c>
      <c r="K1669" s="2">
        <v>3.4</v>
      </c>
      <c r="L1669" t="s">
        <v>152</v>
      </c>
      <c r="M1669" t="s">
        <v>34</v>
      </c>
      <c r="N1669" t="s">
        <v>72</v>
      </c>
      <c r="O1669" t="s">
        <v>26</v>
      </c>
      <c r="P1669" t="s">
        <v>26</v>
      </c>
      <c r="Q1669" s="3">
        <v>24</v>
      </c>
      <c r="R1669" t="s">
        <v>34</v>
      </c>
      <c r="S1669" t="s">
        <v>97</v>
      </c>
    </row>
    <row r="1670" spans="1:19" x14ac:dyDescent="0.25">
      <c r="A1670">
        <v>1669</v>
      </c>
      <c r="B1670">
        <v>66</v>
      </c>
      <c r="C1670" t="s">
        <v>19</v>
      </c>
      <c r="D1670" t="s">
        <v>20</v>
      </c>
      <c r="E1670" t="s">
        <v>21</v>
      </c>
      <c r="F1670" s="1">
        <v>33</v>
      </c>
      <c r="G1670" t="s">
        <v>140</v>
      </c>
      <c r="H1670" t="s">
        <v>23</v>
      </c>
      <c r="I1670" t="s">
        <v>63</v>
      </c>
      <c r="J1670" t="s">
        <v>54</v>
      </c>
      <c r="K1670" s="2">
        <v>4</v>
      </c>
      <c r="L1670" t="s">
        <v>152</v>
      </c>
      <c r="M1670" t="s">
        <v>27</v>
      </c>
      <c r="N1670" t="s">
        <v>55</v>
      </c>
      <c r="O1670" t="s">
        <v>26</v>
      </c>
      <c r="P1670" t="s">
        <v>26</v>
      </c>
      <c r="Q1670" s="3">
        <v>28</v>
      </c>
      <c r="R1670" t="s">
        <v>59</v>
      </c>
      <c r="S1670" t="s">
        <v>30</v>
      </c>
    </row>
    <row r="1671" spans="1:19" x14ac:dyDescent="0.25">
      <c r="A1671">
        <v>1670</v>
      </c>
      <c r="B1671">
        <v>42</v>
      </c>
      <c r="C1671" t="s">
        <v>19</v>
      </c>
      <c r="D1671" t="s">
        <v>113</v>
      </c>
      <c r="E1671" t="s">
        <v>21</v>
      </c>
      <c r="F1671" s="1">
        <v>59</v>
      </c>
      <c r="G1671" t="s">
        <v>150</v>
      </c>
      <c r="H1671" t="s">
        <v>23</v>
      </c>
      <c r="I1671" t="s">
        <v>33</v>
      </c>
      <c r="J1671" t="s">
        <v>25</v>
      </c>
      <c r="K1671" s="2">
        <v>2.7</v>
      </c>
      <c r="L1671" t="s">
        <v>152</v>
      </c>
      <c r="M1671" t="s">
        <v>46</v>
      </c>
      <c r="N1671" t="s">
        <v>76</v>
      </c>
      <c r="O1671" t="s">
        <v>26</v>
      </c>
      <c r="P1671" t="s">
        <v>26</v>
      </c>
      <c r="Q1671" s="3">
        <v>22</v>
      </c>
      <c r="R1671" t="s">
        <v>34</v>
      </c>
      <c r="S1671" t="s">
        <v>60</v>
      </c>
    </row>
    <row r="1672" spans="1:19" x14ac:dyDescent="0.25">
      <c r="A1672">
        <v>1671</v>
      </c>
      <c r="B1672">
        <v>22</v>
      </c>
      <c r="C1672" t="s">
        <v>19</v>
      </c>
      <c r="D1672" t="s">
        <v>95</v>
      </c>
      <c r="E1672" t="s">
        <v>21</v>
      </c>
      <c r="F1672" s="1">
        <v>73</v>
      </c>
      <c r="G1672" t="s">
        <v>140</v>
      </c>
      <c r="H1672" t="s">
        <v>23</v>
      </c>
      <c r="I1672" t="s">
        <v>109</v>
      </c>
      <c r="J1672" t="s">
        <v>58</v>
      </c>
      <c r="K1672" s="2">
        <v>3.6</v>
      </c>
      <c r="L1672" t="s">
        <v>152</v>
      </c>
      <c r="M1672" t="s">
        <v>29</v>
      </c>
      <c r="N1672" t="s">
        <v>40</v>
      </c>
      <c r="O1672" t="s">
        <v>26</v>
      </c>
      <c r="P1672" t="s">
        <v>26</v>
      </c>
      <c r="Q1672" s="3">
        <v>20</v>
      </c>
      <c r="R1672" t="s">
        <v>35</v>
      </c>
      <c r="S1672" t="s">
        <v>41</v>
      </c>
    </row>
    <row r="1673" spans="1:19" x14ac:dyDescent="0.25">
      <c r="A1673">
        <v>1672</v>
      </c>
      <c r="B1673">
        <v>31</v>
      </c>
      <c r="C1673" t="s">
        <v>19</v>
      </c>
      <c r="D1673" t="s">
        <v>104</v>
      </c>
      <c r="E1673" t="s">
        <v>21</v>
      </c>
      <c r="F1673" s="1">
        <v>22</v>
      </c>
      <c r="G1673" t="s">
        <v>140</v>
      </c>
      <c r="H1673" t="s">
        <v>45</v>
      </c>
      <c r="I1673" t="s">
        <v>79</v>
      </c>
      <c r="J1673" t="s">
        <v>25</v>
      </c>
      <c r="K1673" s="2">
        <v>4</v>
      </c>
      <c r="L1673" t="s">
        <v>152</v>
      </c>
      <c r="M1673" t="s">
        <v>46</v>
      </c>
      <c r="N1673" t="s">
        <v>40</v>
      </c>
      <c r="O1673" t="s">
        <v>26</v>
      </c>
      <c r="P1673" t="s">
        <v>26</v>
      </c>
      <c r="Q1673" s="3">
        <v>25</v>
      </c>
      <c r="R1673" t="s">
        <v>34</v>
      </c>
      <c r="S1673" t="s">
        <v>41</v>
      </c>
    </row>
    <row r="1674" spans="1:19" x14ac:dyDescent="0.25">
      <c r="A1674">
        <v>1673</v>
      </c>
      <c r="B1674">
        <v>18</v>
      </c>
      <c r="C1674" t="s">
        <v>19</v>
      </c>
      <c r="D1674" t="s">
        <v>137</v>
      </c>
      <c r="E1674" t="s">
        <v>43</v>
      </c>
      <c r="F1674" s="1">
        <v>73</v>
      </c>
      <c r="G1674" t="s">
        <v>131</v>
      </c>
      <c r="H1674" t="s">
        <v>23</v>
      </c>
      <c r="I1674" t="s">
        <v>81</v>
      </c>
      <c r="J1674" t="s">
        <v>58</v>
      </c>
      <c r="K1674" s="2">
        <v>3.8</v>
      </c>
      <c r="L1674" t="s">
        <v>152</v>
      </c>
      <c r="M1674" t="s">
        <v>59</v>
      </c>
      <c r="N1674" t="s">
        <v>40</v>
      </c>
      <c r="O1674" t="s">
        <v>26</v>
      </c>
      <c r="P1674" t="s">
        <v>26</v>
      </c>
      <c r="Q1674" s="3">
        <v>15</v>
      </c>
      <c r="R1674" t="s">
        <v>29</v>
      </c>
      <c r="S1674" t="s">
        <v>60</v>
      </c>
    </row>
    <row r="1675" spans="1:19" x14ac:dyDescent="0.25">
      <c r="A1675">
        <v>1674</v>
      </c>
      <c r="B1675">
        <v>21</v>
      </c>
      <c r="C1675" t="s">
        <v>19</v>
      </c>
      <c r="D1675" t="s">
        <v>20</v>
      </c>
      <c r="E1675" t="s">
        <v>21</v>
      </c>
      <c r="F1675" s="1">
        <v>62</v>
      </c>
      <c r="G1675" t="s">
        <v>78</v>
      </c>
      <c r="H1675" t="s">
        <v>45</v>
      </c>
      <c r="I1675" t="s">
        <v>84</v>
      </c>
      <c r="J1675" t="s">
        <v>58</v>
      </c>
      <c r="K1675" s="2">
        <v>3.4</v>
      </c>
      <c r="L1675" t="s">
        <v>152</v>
      </c>
      <c r="M1675" t="s">
        <v>59</v>
      </c>
      <c r="N1675" t="s">
        <v>47</v>
      </c>
      <c r="O1675" t="s">
        <v>26</v>
      </c>
      <c r="P1675" t="s">
        <v>26</v>
      </c>
      <c r="Q1675" s="3">
        <v>49</v>
      </c>
      <c r="R1675" t="s">
        <v>29</v>
      </c>
      <c r="S1675" t="s">
        <v>77</v>
      </c>
    </row>
    <row r="1676" spans="1:19" x14ac:dyDescent="0.25">
      <c r="A1676">
        <v>1675</v>
      </c>
      <c r="B1676">
        <v>35</v>
      </c>
      <c r="C1676" t="s">
        <v>19</v>
      </c>
      <c r="D1676" t="s">
        <v>64</v>
      </c>
      <c r="E1676" t="s">
        <v>65</v>
      </c>
      <c r="F1676" s="1">
        <v>56</v>
      </c>
      <c r="G1676" t="s">
        <v>120</v>
      </c>
      <c r="H1676" t="s">
        <v>45</v>
      </c>
      <c r="I1676" t="s">
        <v>100</v>
      </c>
      <c r="J1676" t="s">
        <v>25</v>
      </c>
      <c r="K1676" s="2">
        <v>3.2</v>
      </c>
      <c r="L1676" t="s">
        <v>152</v>
      </c>
      <c r="M1676" t="s">
        <v>46</v>
      </c>
      <c r="N1676" t="s">
        <v>40</v>
      </c>
      <c r="O1676" t="s">
        <v>26</v>
      </c>
      <c r="P1676" t="s">
        <v>26</v>
      </c>
      <c r="Q1676" s="3">
        <v>10</v>
      </c>
      <c r="R1676" t="s">
        <v>59</v>
      </c>
      <c r="S1676" t="s">
        <v>30</v>
      </c>
    </row>
    <row r="1677" spans="1:19" x14ac:dyDescent="0.25">
      <c r="A1677">
        <v>1676</v>
      </c>
      <c r="B1677">
        <v>35</v>
      </c>
      <c r="C1677" t="s">
        <v>19</v>
      </c>
      <c r="D1677" t="s">
        <v>95</v>
      </c>
      <c r="E1677" t="s">
        <v>21</v>
      </c>
      <c r="F1677" s="1">
        <v>90</v>
      </c>
      <c r="G1677" t="s">
        <v>112</v>
      </c>
      <c r="H1677" t="s">
        <v>45</v>
      </c>
      <c r="I1677" t="s">
        <v>118</v>
      </c>
      <c r="J1677" t="s">
        <v>39</v>
      </c>
      <c r="K1677" s="2">
        <v>4.7</v>
      </c>
      <c r="L1677" t="s">
        <v>152</v>
      </c>
      <c r="M1677" t="s">
        <v>29</v>
      </c>
      <c r="N1677" t="s">
        <v>47</v>
      </c>
      <c r="O1677" t="s">
        <v>26</v>
      </c>
      <c r="P1677" t="s">
        <v>26</v>
      </c>
      <c r="Q1677" s="3">
        <v>21</v>
      </c>
      <c r="R1677" t="s">
        <v>27</v>
      </c>
      <c r="S1677" t="s">
        <v>50</v>
      </c>
    </row>
    <row r="1678" spans="1:19" x14ac:dyDescent="0.25">
      <c r="A1678">
        <v>1677</v>
      </c>
      <c r="B1678">
        <v>27</v>
      </c>
      <c r="C1678" t="s">
        <v>19</v>
      </c>
      <c r="D1678" t="s">
        <v>89</v>
      </c>
      <c r="E1678" t="s">
        <v>69</v>
      </c>
      <c r="F1678" s="1">
        <v>44</v>
      </c>
      <c r="G1678" t="s">
        <v>66</v>
      </c>
      <c r="H1678" t="s">
        <v>45</v>
      </c>
      <c r="I1678" t="s">
        <v>109</v>
      </c>
      <c r="J1678" t="s">
        <v>25</v>
      </c>
      <c r="K1678" s="2">
        <v>3.1</v>
      </c>
      <c r="L1678" t="s">
        <v>152</v>
      </c>
      <c r="M1678" t="s">
        <v>46</v>
      </c>
      <c r="N1678" t="s">
        <v>47</v>
      </c>
      <c r="O1678" t="s">
        <v>26</v>
      </c>
      <c r="P1678" t="s">
        <v>26</v>
      </c>
      <c r="Q1678" s="3">
        <v>34</v>
      </c>
      <c r="R1678" t="s">
        <v>34</v>
      </c>
      <c r="S1678" t="s">
        <v>41</v>
      </c>
    </row>
    <row r="1679" spans="1:19" x14ac:dyDescent="0.25">
      <c r="A1679">
        <v>1678</v>
      </c>
      <c r="B1679">
        <v>65</v>
      </c>
      <c r="C1679" t="s">
        <v>19</v>
      </c>
      <c r="D1679" t="s">
        <v>36</v>
      </c>
      <c r="E1679" t="s">
        <v>21</v>
      </c>
      <c r="F1679" s="1">
        <v>35</v>
      </c>
      <c r="G1679" t="s">
        <v>48</v>
      </c>
      <c r="H1679" t="s">
        <v>23</v>
      </c>
      <c r="I1679" t="s">
        <v>67</v>
      </c>
      <c r="J1679" t="s">
        <v>54</v>
      </c>
      <c r="K1679" s="2">
        <v>3.3</v>
      </c>
      <c r="L1679" t="s">
        <v>152</v>
      </c>
      <c r="M1679" t="s">
        <v>46</v>
      </c>
      <c r="N1679" t="s">
        <v>47</v>
      </c>
      <c r="O1679" t="s">
        <v>152</v>
      </c>
      <c r="P1679" t="s">
        <v>152</v>
      </c>
      <c r="Q1679" s="3">
        <v>41</v>
      </c>
      <c r="R1679" t="s">
        <v>59</v>
      </c>
      <c r="S1679" t="s">
        <v>41</v>
      </c>
    </row>
    <row r="1680" spans="1:19" x14ac:dyDescent="0.25">
      <c r="A1680">
        <v>1679</v>
      </c>
      <c r="B1680">
        <v>41</v>
      </c>
      <c r="C1680" t="s">
        <v>19</v>
      </c>
      <c r="D1680" t="s">
        <v>95</v>
      </c>
      <c r="E1680" t="s">
        <v>21</v>
      </c>
      <c r="F1680" s="1">
        <v>71</v>
      </c>
      <c r="G1680" t="s">
        <v>123</v>
      </c>
      <c r="H1680" t="s">
        <v>38</v>
      </c>
      <c r="I1680" t="s">
        <v>136</v>
      </c>
      <c r="J1680" t="s">
        <v>54</v>
      </c>
      <c r="K1680" s="2">
        <v>4.8</v>
      </c>
      <c r="L1680" t="s">
        <v>152</v>
      </c>
      <c r="M1680" t="s">
        <v>46</v>
      </c>
      <c r="N1680" t="s">
        <v>72</v>
      </c>
      <c r="O1680" t="s">
        <v>152</v>
      </c>
      <c r="P1680" t="s">
        <v>152</v>
      </c>
      <c r="Q1680" s="3">
        <v>30</v>
      </c>
      <c r="R1680" t="s">
        <v>29</v>
      </c>
      <c r="S1680" t="s">
        <v>30</v>
      </c>
    </row>
    <row r="1681" spans="1:19" x14ac:dyDescent="0.25">
      <c r="A1681">
        <v>1680</v>
      </c>
      <c r="B1681">
        <v>60</v>
      </c>
      <c r="C1681" t="s">
        <v>19</v>
      </c>
      <c r="D1681" t="s">
        <v>82</v>
      </c>
      <c r="E1681" t="s">
        <v>21</v>
      </c>
      <c r="F1681" s="1">
        <v>52</v>
      </c>
      <c r="G1681" t="s">
        <v>37</v>
      </c>
      <c r="H1681" t="s">
        <v>38</v>
      </c>
      <c r="I1681" t="s">
        <v>94</v>
      </c>
      <c r="J1681" t="s">
        <v>58</v>
      </c>
      <c r="K1681" s="2">
        <v>4.5</v>
      </c>
      <c r="L1681" t="s">
        <v>152</v>
      </c>
      <c r="M1681" t="s">
        <v>46</v>
      </c>
      <c r="N1681" t="s">
        <v>47</v>
      </c>
      <c r="O1681" t="s">
        <v>152</v>
      </c>
      <c r="P1681" t="s">
        <v>152</v>
      </c>
      <c r="Q1681" s="3">
        <v>24</v>
      </c>
      <c r="R1681" t="s">
        <v>59</v>
      </c>
      <c r="S1681" t="s">
        <v>77</v>
      </c>
    </row>
    <row r="1682" spans="1:19" x14ac:dyDescent="0.25">
      <c r="A1682">
        <v>1681</v>
      </c>
      <c r="B1682">
        <v>61</v>
      </c>
      <c r="C1682" t="s">
        <v>19</v>
      </c>
      <c r="D1682" t="s">
        <v>73</v>
      </c>
      <c r="E1682" t="s">
        <v>43</v>
      </c>
      <c r="F1682" s="1">
        <v>37</v>
      </c>
      <c r="G1682" t="s">
        <v>62</v>
      </c>
      <c r="H1682" t="s">
        <v>45</v>
      </c>
      <c r="I1682" t="s">
        <v>79</v>
      </c>
      <c r="J1682" t="s">
        <v>54</v>
      </c>
      <c r="K1682" s="2">
        <v>3.4</v>
      </c>
      <c r="L1682" t="s">
        <v>152</v>
      </c>
      <c r="M1682" t="s">
        <v>27</v>
      </c>
      <c r="N1682" t="s">
        <v>76</v>
      </c>
      <c r="O1682" t="s">
        <v>152</v>
      </c>
      <c r="P1682" t="s">
        <v>152</v>
      </c>
      <c r="Q1682" s="3">
        <v>6</v>
      </c>
      <c r="R1682" t="s">
        <v>27</v>
      </c>
      <c r="S1682" t="s">
        <v>50</v>
      </c>
    </row>
    <row r="1683" spans="1:19" x14ac:dyDescent="0.25">
      <c r="A1683">
        <v>1682</v>
      </c>
      <c r="B1683">
        <v>24</v>
      </c>
      <c r="C1683" t="s">
        <v>19</v>
      </c>
      <c r="D1683" t="s">
        <v>51</v>
      </c>
      <c r="E1683" t="s">
        <v>43</v>
      </c>
      <c r="F1683" s="1">
        <v>95</v>
      </c>
      <c r="G1683" t="s">
        <v>141</v>
      </c>
      <c r="H1683" t="s">
        <v>23</v>
      </c>
      <c r="I1683" t="s">
        <v>96</v>
      </c>
      <c r="J1683" t="s">
        <v>25</v>
      </c>
      <c r="K1683" s="2">
        <v>3.7</v>
      </c>
      <c r="L1683" t="s">
        <v>152</v>
      </c>
      <c r="M1683" t="s">
        <v>35</v>
      </c>
      <c r="N1683" t="s">
        <v>72</v>
      </c>
      <c r="O1683" t="s">
        <v>152</v>
      </c>
      <c r="P1683" t="s">
        <v>152</v>
      </c>
      <c r="Q1683" s="3">
        <v>14</v>
      </c>
      <c r="R1683" t="s">
        <v>27</v>
      </c>
      <c r="S1683" t="s">
        <v>77</v>
      </c>
    </row>
    <row r="1684" spans="1:19" x14ac:dyDescent="0.25">
      <c r="A1684">
        <v>1683</v>
      </c>
      <c r="B1684">
        <v>65</v>
      </c>
      <c r="C1684" t="s">
        <v>19</v>
      </c>
      <c r="D1684" t="s">
        <v>125</v>
      </c>
      <c r="E1684" t="s">
        <v>21</v>
      </c>
      <c r="F1684" s="1">
        <v>97</v>
      </c>
      <c r="G1684" t="s">
        <v>85</v>
      </c>
      <c r="H1684" t="s">
        <v>45</v>
      </c>
      <c r="I1684" t="s">
        <v>134</v>
      </c>
      <c r="J1684" t="s">
        <v>58</v>
      </c>
      <c r="K1684" s="2">
        <v>4.9000000000000004</v>
      </c>
      <c r="L1684" t="s">
        <v>152</v>
      </c>
      <c r="M1684" t="s">
        <v>29</v>
      </c>
      <c r="N1684" t="s">
        <v>72</v>
      </c>
      <c r="O1684" t="s">
        <v>152</v>
      </c>
      <c r="P1684" t="s">
        <v>152</v>
      </c>
      <c r="Q1684" s="3">
        <v>37</v>
      </c>
      <c r="R1684" t="s">
        <v>27</v>
      </c>
      <c r="S1684" t="s">
        <v>77</v>
      </c>
    </row>
    <row r="1685" spans="1:19" x14ac:dyDescent="0.25">
      <c r="A1685">
        <v>1684</v>
      </c>
      <c r="B1685">
        <v>23</v>
      </c>
      <c r="C1685" t="s">
        <v>19</v>
      </c>
      <c r="D1685" t="s">
        <v>64</v>
      </c>
      <c r="E1685" t="s">
        <v>65</v>
      </c>
      <c r="F1685" s="1">
        <v>57</v>
      </c>
      <c r="G1685" t="s">
        <v>74</v>
      </c>
      <c r="H1685" t="s">
        <v>38</v>
      </c>
      <c r="I1685" t="s">
        <v>93</v>
      </c>
      <c r="J1685" t="s">
        <v>39</v>
      </c>
      <c r="K1685" s="2">
        <v>3.5</v>
      </c>
      <c r="L1685" t="s">
        <v>152</v>
      </c>
      <c r="M1685" t="s">
        <v>59</v>
      </c>
      <c r="N1685" t="s">
        <v>47</v>
      </c>
      <c r="O1685" t="s">
        <v>152</v>
      </c>
      <c r="P1685" t="s">
        <v>152</v>
      </c>
      <c r="Q1685" s="3">
        <v>37</v>
      </c>
      <c r="R1685" t="s">
        <v>29</v>
      </c>
      <c r="S1685" t="s">
        <v>60</v>
      </c>
    </row>
    <row r="1686" spans="1:19" x14ac:dyDescent="0.25">
      <c r="A1686">
        <v>1685</v>
      </c>
      <c r="B1686">
        <v>30</v>
      </c>
      <c r="C1686" t="s">
        <v>19</v>
      </c>
      <c r="D1686" t="s">
        <v>56</v>
      </c>
      <c r="E1686" t="s">
        <v>21</v>
      </c>
      <c r="F1686" s="1">
        <v>93</v>
      </c>
      <c r="G1686" t="s">
        <v>130</v>
      </c>
      <c r="H1686" t="s">
        <v>45</v>
      </c>
      <c r="I1686" t="s">
        <v>126</v>
      </c>
      <c r="J1686" t="s">
        <v>39</v>
      </c>
      <c r="K1686" s="2">
        <v>4.5999999999999996</v>
      </c>
      <c r="L1686" t="s">
        <v>152</v>
      </c>
      <c r="M1686" t="s">
        <v>35</v>
      </c>
      <c r="N1686" t="s">
        <v>55</v>
      </c>
      <c r="O1686" t="s">
        <v>152</v>
      </c>
      <c r="P1686" t="s">
        <v>152</v>
      </c>
      <c r="Q1686" s="3">
        <v>28</v>
      </c>
      <c r="R1686" t="s">
        <v>46</v>
      </c>
      <c r="S1686" t="s">
        <v>41</v>
      </c>
    </row>
    <row r="1687" spans="1:19" x14ac:dyDescent="0.25">
      <c r="A1687">
        <v>1686</v>
      </c>
      <c r="B1687">
        <v>33</v>
      </c>
      <c r="C1687" t="s">
        <v>19</v>
      </c>
      <c r="D1687" t="s">
        <v>20</v>
      </c>
      <c r="E1687" t="s">
        <v>21</v>
      </c>
      <c r="F1687" s="1">
        <v>48</v>
      </c>
      <c r="G1687" t="s">
        <v>148</v>
      </c>
      <c r="H1687" t="s">
        <v>45</v>
      </c>
      <c r="I1687" t="s">
        <v>71</v>
      </c>
      <c r="J1687" t="s">
        <v>25</v>
      </c>
      <c r="K1687" s="2">
        <v>4.5999999999999996</v>
      </c>
      <c r="L1687" t="s">
        <v>152</v>
      </c>
      <c r="M1687" t="s">
        <v>29</v>
      </c>
      <c r="N1687" t="s">
        <v>55</v>
      </c>
      <c r="O1687" t="s">
        <v>152</v>
      </c>
      <c r="P1687" t="s">
        <v>152</v>
      </c>
      <c r="Q1687" s="3">
        <v>43</v>
      </c>
      <c r="R1687" t="s">
        <v>46</v>
      </c>
      <c r="S1687" t="s">
        <v>77</v>
      </c>
    </row>
    <row r="1688" spans="1:19" x14ac:dyDescent="0.25">
      <c r="A1688">
        <v>1687</v>
      </c>
      <c r="B1688">
        <v>22</v>
      </c>
      <c r="C1688" t="s">
        <v>19</v>
      </c>
      <c r="D1688" t="s">
        <v>143</v>
      </c>
      <c r="E1688" t="s">
        <v>69</v>
      </c>
      <c r="F1688" s="1">
        <v>75</v>
      </c>
      <c r="G1688" t="s">
        <v>115</v>
      </c>
      <c r="H1688" t="s">
        <v>23</v>
      </c>
      <c r="I1688" t="s">
        <v>108</v>
      </c>
      <c r="J1688" t="s">
        <v>58</v>
      </c>
      <c r="K1688" s="2">
        <v>4.2</v>
      </c>
      <c r="L1688" t="s">
        <v>152</v>
      </c>
      <c r="M1688" t="s">
        <v>27</v>
      </c>
      <c r="N1688" t="s">
        <v>76</v>
      </c>
      <c r="O1688" t="s">
        <v>152</v>
      </c>
      <c r="P1688" t="s">
        <v>152</v>
      </c>
      <c r="Q1688" s="3">
        <v>25</v>
      </c>
      <c r="R1688" t="s">
        <v>35</v>
      </c>
      <c r="S1688" t="s">
        <v>50</v>
      </c>
    </row>
    <row r="1689" spans="1:19" x14ac:dyDescent="0.25">
      <c r="A1689">
        <v>1688</v>
      </c>
      <c r="B1689">
        <v>67</v>
      </c>
      <c r="C1689" t="s">
        <v>19</v>
      </c>
      <c r="D1689" t="s">
        <v>87</v>
      </c>
      <c r="E1689" t="s">
        <v>21</v>
      </c>
      <c r="F1689" s="1">
        <v>70</v>
      </c>
      <c r="G1689" t="s">
        <v>142</v>
      </c>
      <c r="H1689" t="s">
        <v>38</v>
      </c>
      <c r="I1689" t="s">
        <v>136</v>
      </c>
      <c r="J1689" t="s">
        <v>25</v>
      </c>
      <c r="K1689" s="2">
        <v>3.7</v>
      </c>
      <c r="L1689" t="s">
        <v>152</v>
      </c>
      <c r="M1689" t="s">
        <v>29</v>
      </c>
      <c r="N1689" t="s">
        <v>40</v>
      </c>
      <c r="O1689" t="s">
        <v>152</v>
      </c>
      <c r="P1689" t="s">
        <v>152</v>
      </c>
      <c r="Q1689" s="3">
        <v>4</v>
      </c>
      <c r="R1689" t="s">
        <v>46</v>
      </c>
      <c r="S1689" t="s">
        <v>50</v>
      </c>
    </row>
    <row r="1690" spans="1:19" x14ac:dyDescent="0.25">
      <c r="A1690">
        <v>1689</v>
      </c>
      <c r="B1690">
        <v>28</v>
      </c>
      <c r="C1690" t="s">
        <v>19</v>
      </c>
      <c r="D1690" t="s">
        <v>68</v>
      </c>
      <c r="E1690" t="s">
        <v>69</v>
      </c>
      <c r="F1690" s="1">
        <v>26</v>
      </c>
      <c r="G1690" t="s">
        <v>91</v>
      </c>
      <c r="H1690" t="s">
        <v>38</v>
      </c>
      <c r="I1690" t="s">
        <v>100</v>
      </c>
      <c r="J1690" t="s">
        <v>25</v>
      </c>
      <c r="K1690" s="2">
        <v>3</v>
      </c>
      <c r="L1690" t="s">
        <v>152</v>
      </c>
      <c r="M1690" t="s">
        <v>27</v>
      </c>
      <c r="N1690" t="s">
        <v>47</v>
      </c>
      <c r="O1690" t="s">
        <v>152</v>
      </c>
      <c r="P1690" t="s">
        <v>152</v>
      </c>
      <c r="Q1690" s="3">
        <v>13</v>
      </c>
      <c r="R1690" t="s">
        <v>29</v>
      </c>
      <c r="S1690" t="s">
        <v>30</v>
      </c>
    </row>
    <row r="1691" spans="1:19" x14ac:dyDescent="0.25">
      <c r="A1691">
        <v>1690</v>
      </c>
      <c r="B1691">
        <v>32</v>
      </c>
      <c r="C1691" t="s">
        <v>19</v>
      </c>
      <c r="D1691" t="s">
        <v>56</v>
      </c>
      <c r="E1691" t="s">
        <v>21</v>
      </c>
      <c r="F1691" s="1">
        <v>73</v>
      </c>
      <c r="G1691" t="s">
        <v>98</v>
      </c>
      <c r="H1691" t="s">
        <v>23</v>
      </c>
      <c r="I1691" t="s">
        <v>49</v>
      </c>
      <c r="J1691" t="s">
        <v>25</v>
      </c>
      <c r="K1691" s="2">
        <v>4.5999999999999996</v>
      </c>
      <c r="L1691" t="s">
        <v>152</v>
      </c>
      <c r="M1691" t="s">
        <v>27</v>
      </c>
      <c r="N1691" t="s">
        <v>76</v>
      </c>
      <c r="O1691" t="s">
        <v>152</v>
      </c>
      <c r="P1691" t="s">
        <v>152</v>
      </c>
      <c r="Q1691" s="3">
        <v>32</v>
      </c>
      <c r="R1691" t="s">
        <v>34</v>
      </c>
      <c r="S1691" t="s">
        <v>88</v>
      </c>
    </row>
    <row r="1692" spans="1:19" x14ac:dyDescent="0.25">
      <c r="A1692">
        <v>1691</v>
      </c>
      <c r="B1692">
        <v>40</v>
      </c>
      <c r="C1692" t="s">
        <v>19</v>
      </c>
      <c r="D1692" t="s">
        <v>64</v>
      </c>
      <c r="E1692" t="s">
        <v>65</v>
      </c>
      <c r="F1692" s="1">
        <v>30</v>
      </c>
      <c r="G1692" t="s">
        <v>107</v>
      </c>
      <c r="H1692" t="s">
        <v>45</v>
      </c>
      <c r="I1692" t="s">
        <v>94</v>
      </c>
      <c r="J1692" t="s">
        <v>54</v>
      </c>
      <c r="K1692" s="2">
        <v>3.2</v>
      </c>
      <c r="L1692" t="s">
        <v>152</v>
      </c>
      <c r="M1692" t="s">
        <v>35</v>
      </c>
      <c r="N1692" t="s">
        <v>40</v>
      </c>
      <c r="O1692" t="s">
        <v>152</v>
      </c>
      <c r="P1692" t="s">
        <v>152</v>
      </c>
      <c r="Q1692" s="3">
        <v>1</v>
      </c>
      <c r="R1692" t="s">
        <v>35</v>
      </c>
      <c r="S1692" t="s">
        <v>50</v>
      </c>
    </row>
    <row r="1693" spans="1:19" x14ac:dyDescent="0.25">
      <c r="A1693">
        <v>1692</v>
      </c>
      <c r="B1693">
        <v>64</v>
      </c>
      <c r="C1693" t="s">
        <v>19</v>
      </c>
      <c r="D1693" t="s">
        <v>73</v>
      </c>
      <c r="E1693" t="s">
        <v>43</v>
      </c>
      <c r="F1693" s="1">
        <v>61</v>
      </c>
      <c r="G1693" t="s">
        <v>139</v>
      </c>
      <c r="H1693" t="s">
        <v>23</v>
      </c>
      <c r="I1693" t="s">
        <v>144</v>
      </c>
      <c r="J1693" t="s">
        <v>54</v>
      </c>
      <c r="K1693" s="2">
        <v>3.5</v>
      </c>
      <c r="L1693" t="s">
        <v>152</v>
      </c>
      <c r="M1693" t="s">
        <v>27</v>
      </c>
      <c r="N1693" t="s">
        <v>47</v>
      </c>
      <c r="O1693" t="s">
        <v>152</v>
      </c>
      <c r="P1693" t="s">
        <v>152</v>
      </c>
      <c r="Q1693" s="3">
        <v>4</v>
      </c>
      <c r="R1693" t="s">
        <v>35</v>
      </c>
      <c r="S1693" t="s">
        <v>50</v>
      </c>
    </row>
    <row r="1694" spans="1:19" x14ac:dyDescent="0.25">
      <c r="A1694">
        <v>1693</v>
      </c>
      <c r="B1694">
        <v>56</v>
      </c>
      <c r="C1694" t="s">
        <v>19</v>
      </c>
      <c r="D1694" t="s">
        <v>68</v>
      </c>
      <c r="E1694" t="s">
        <v>69</v>
      </c>
      <c r="F1694" s="1">
        <v>75</v>
      </c>
      <c r="G1694" t="s">
        <v>140</v>
      </c>
      <c r="H1694" t="s">
        <v>45</v>
      </c>
      <c r="I1694" t="s">
        <v>118</v>
      </c>
      <c r="J1694" t="s">
        <v>25</v>
      </c>
      <c r="K1694" s="2">
        <v>2.6</v>
      </c>
      <c r="L1694" t="s">
        <v>152</v>
      </c>
      <c r="M1694" t="s">
        <v>59</v>
      </c>
      <c r="N1694" t="s">
        <v>55</v>
      </c>
      <c r="O1694" t="s">
        <v>152</v>
      </c>
      <c r="P1694" t="s">
        <v>152</v>
      </c>
      <c r="Q1694" s="3">
        <v>33</v>
      </c>
      <c r="R1694" t="s">
        <v>35</v>
      </c>
      <c r="S1694" t="s">
        <v>77</v>
      </c>
    </row>
    <row r="1695" spans="1:19" x14ac:dyDescent="0.25">
      <c r="A1695">
        <v>1694</v>
      </c>
      <c r="B1695">
        <v>63</v>
      </c>
      <c r="C1695" t="s">
        <v>19</v>
      </c>
      <c r="D1695" t="s">
        <v>102</v>
      </c>
      <c r="E1695" t="s">
        <v>65</v>
      </c>
      <c r="F1695" s="1">
        <v>88</v>
      </c>
      <c r="G1695" t="s">
        <v>122</v>
      </c>
      <c r="H1695" t="s">
        <v>92</v>
      </c>
      <c r="I1695" t="s">
        <v>79</v>
      </c>
      <c r="J1695" t="s">
        <v>58</v>
      </c>
      <c r="K1695" s="2">
        <v>4.9000000000000004</v>
      </c>
      <c r="L1695" t="s">
        <v>152</v>
      </c>
      <c r="M1695" t="s">
        <v>29</v>
      </c>
      <c r="N1695" t="s">
        <v>55</v>
      </c>
      <c r="O1695" t="s">
        <v>152</v>
      </c>
      <c r="P1695" t="s">
        <v>152</v>
      </c>
      <c r="Q1695" s="3">
        <v>45</v>
      </c>
      <c r="R1695" t="s">
        <v>34</v>
      </c>
      <c r="S1695" t="s">
        <v>30</v>
      </c>
    </row>
    <row r="1696" spans="1:19" x14ac:dyDescent="0.25">
      <c r="A1696">
        <v>1695</v>
      </c>
      <c r="B1696">
        <v>20</v>
      </c>
      <c r="C1696" t="s">
        <v>19</v>
      </c>
      <c r="D1696" t="s">
        <v>56</v>
      </c>
      <c r="E1696" t="s">
        <v>21</v>
      </c>
      <c r="F1696" s="1">
        <v>67</v>
      </c>
      <c r="G1696" t="s">
        <v>91</v>
      </c>
      <c r="H1696" t="s">
        <v>45</v>
      </c>
      <c r="I1696" t="s">
        <v>49</v>
      </c>
      <c r="J1696" t="s">
        <v>54</v>
      </c>
      <c r="K1696" s="2">
        <v>2.7</v>
      </c>
      <c r="L1696" t="s">
        <v>152</v>
      </c>
      <c r="M1696" t="s">
        <v>27</v>
      </c>
      <c r="N1696" t="s">
        <v>28</v>
      </c>
      <c r="O1696" t="s">
        <v>152</v>
      </c>
      <c r="P1696" t="s">
        <v>152</v>
      </c>
      <c r="Q1696" s="3">
        <v>20</v>
      </c>
      <c r="R1696" t="s">
        <v>59</v>
      </c>
      <c r="S1696" t="s">
        <v>30</v>
      </c>
    </row>
    <row r="1697" spans="1:19" x14ac:dyDescent="0.25">
      <c r="A1697">
        <v>1696</v>
      </c>
      <c r="B1697">
        <v>54</v>
      </c>
      <c r="C1697" t="s">
        <v>19</v>
      </c>
      <c r="D1697" t="s">
        <v>124</v>
      </c>
      <c r="E1697" t="s">
        <v>69</v>
      </c>
      <c r="F1697" s="1">
        <v>95</v>
      </c>
      <c r="G1697" t="s">
        <v>145</v>
      </c>
      <c r="H1697" t="s">
        <v>38</v>
      </c>
      <c r="I1697" t="s">
        <v>134</v>
      </c>
      <c r="J1697" t="s">
        <v>58</v>
      </c>
      <c r="K1697" s="2">
        <v>4.7</v>
      </c>
      <c r="L1697" t="s">
        <v>152</v>
      </c>
      <c r="M1697" t="s">
        <v>29</v>
      </c>
      <c r="N1697" t="s">
        <v>72</v>
      </c>
      <c r="O1697" t="s">
        <v>152</v>
      </c>
      <c r="P1697" t="s">
        <v>152</v>
      </c>
      <c r="Q1697" s="3">
        <v>1</v>
      </c>
      <c r="R1697" t="s">
        <v>46</v>
      </c>
      <c r="S1697" t="s">
        <v>30</v>
      </c>
    </row>
    <row r="1698" spans="1:19" x14ac:dyDescent="0.25">
      <c r="A1698">
        <v>1697</v>
      </c>
      <c r="B1698">
        <v>31</v>
      </c>
      <c r="C1698" t="s">
        <v>19</v>
      </c>
      <c r="D1698" t="s">
        <v>89</v>
      </c>
      <c r="E1698" t="s">
        <v>69</v>
      </c>
      <c r="F1698" s="1">
        <v>69</v>
      </c>
      <c r="G1698" t="s">
        <v>66</v>
      </c>
      <c r="H1698" t="s">
        <v>38</v>
      </c>
      <c r="I1698" t="s">
        <v>49</v>
      </c>
      <c r="J1698" t="s">
        <v>39</v>
      </c>
      <c r="K1698" s="2">
        <v>4</v>
      </c>
      <c r="L1698" t="s">
        <v>152</v>
      </c>
      <c r="M1698" t="s">
        <v>34</v>
      </c>
      <c r="N1698" t="s">
        <v>40</v>
      </c>
      <c r="O1698" t="s">
        <v>152</v>
      </c>
      <c r="P1698" t="s">
        <v>152</v>
      </c>
      <c r="Q1698" s="3">
        <v>7</v>
      </c>
      <c r="R1698" t="s">
        <v>27</v>
      </c>
      <c r="S1698" t="s">
        <v>77</v>
      </c>
    </row>
    <row r="1699" spans="1:19" x14ac:dyDescent="0.25">
      <c r="A1699">
        <v>1698</v>
      </c>
      <c r="B1699">
        <v>36</v>
      </c>
      <c r="C1699" t="s">
        <v>19</v>
      </c>
      <c r="D1699" t="s">
        <v>56</v>
      </c>
      <c r="E1699" t="s">
        <v>21</v>
      </c>
      <c r="F1699" s="1">
        <v>87</v>
      </c>
      <c r="G1699" t="s">
        <v>131</v>
      </c>
      <c r="H1699" t="s">
        <v>23</v>
      </c>
      <c r="I1699" t="s">
        <v>93</v>
      </c>
      <c r="J1699" t="s">
        <v>58</v>
      </c>
      <c r="K1699" s="2">
        <v>3.5</v>
      </c>
      <c r="L1699" t="s">
        <v>152</v>
      </c>
      <c r="M1699" t="s">
        <v>29</v>
      </c>
      <c r="N1699" t="s">
        <v>47</v>
      </c>
      <c r="O1699" t="s">
        <v>152</v>
      </c>
      <c r="P1699" t="s">
        <v>152</v>
      </c>
      <c r="Q1699" s="3">
        <v>48</v>
      </c>
      <c r="R1699" t="s">
        <v>27</v>
      </c>
      <c r="S1699" t="s">
        <v>97</v>
      </c>
    </row>
    <row r="1700" spans="1:19" x14ac:dyDescent="0.25">
      <c r="A1700">
        <v>1699</v>
      </c>
      <c r="B1700">
        <v>25</v>
      </c>
      <c r="C1700" t="s">
        <v>19</v>
      </c>
      <c r="D1700" t="s">
        <v>133</v>
      </c>
      <c r="E1700" t="s">
        <v>69</v>
      </c>
      <c r="F1700" s="1">
        <v>41</v>
      </c>
      <c r="G1700" t="s">
        <v>146</v>
      </c>
      <c r="H1700" t="s">
        <v>92</v>
      </c>
      <c r="I1700" t="s">
        <v>49</v>
      </c>
      <c r="J1700" t="s">
        <v>25</v>
      </c>
      <c r="K1700" s="2">
        <v>4.8</v>
      </c>
      <c r="L1700" t="s">
        <v>152</v>
      </c>
      <c r="M1700" t="s">
        <v>27</v>
      </c>
      <c r="N1700" t="s">
        <v>55</v>
      </c>
      <c r="O1700" t="s">
        <v>152</v>
      </c>
      <c r="P1700" t="s">
        <v>152</v>
      </c>
      <c r="Q1700" s="3">
        <v>46</v>
      </c>
      <c r="R1700" t="s">
        <v>34</v>
      </c>
      <c r="S1700" t="s">
        <v>60</v>
      </c>
    </row>
    <row r="1701" spans="1:19" x14ac:dyDescent="0.25">
      <c r="A1701">
        <v>1700</v>
      </c>
      <c r="B1701">
        <v>20</v>
      </c>
      <c r="C1701" t="s">
        <v>19</v>
      </c>
      <c r="D1701" t="s">
        <v>31</v>
      </c>
      <c r="E1701" t="s">
        <v>21</v>
      </c>
      <c r="F1701" s="1">
        <v>67</v>
      </c>
      <c r="G1701" t="s">
        <v>114</v>
      </c>
      <c r="H1701" t="s">
        <v>23</v>
      </c>
      <c r="I1701" t="s">
        <v>86</v>
      </c>
      <c r="J1701" t="s">
        <v>39</v>
      </c>
      <c r="K1701" s="2">
        <v>4</v>
      </c>
      <c r="L1701" t="s">
        <v>152</v>
      </c>
      <c r="M1701" t="s">
        <v>34</v>
      </c>
      <c r="N1701" t="s">
        <v>40</v>
      </c>
      <c r="O1701" t="s">
        <v>152</v>
      </c>
      <c r="P1701" t="s">
        <v>152</v>
      </c>
      <c r="Q1701" s="3">
        <v>34</v>
      </c>
      <c r="R1701" t="s">
        <v>59</v>
      </c>
      <c r="S1701" t="s">
        <v>50</v>
      </c>
    </row>
    <row r="1702" spans="1:19" x14ac:dyDescent="0.25">
      <c r="A1702">
        <v>1701</v>
      </c>
      <c r="B1702">
        <v>62</v>
      </c>
      <c r="C1702" t="s">
        <v>19</v>
      </c>
      <c r="D1702" t="s">
        <v>104</v>
      </c>
      <c r="E1702" t="s">
        <v>21</v>
      </c>
      <c r="F1702" s="1">
        <v>70</v>
      </c>
      <c r="G1702" t="s">
        <v>66</v>
      </c>
      <c r="H1702" t="s">
        <v>23</v>
      </c>
      <c r="I1702" t="s">
        <v>94</v>
      </c>
      <c r="J1702" t="s">
        <v>58</v>
      </c>
      <c r="K1702" s="2">
        <v>4.0999999999999996</v>
      </c>
      <c r="L1702" t="s">
        <v>152</v>
      </c>
      <c r="M1702" t="s">
        <v>27</v>
      </c>
      <c r="N1702" t="s">
        <v>28</v>
      </c>
      <c r="O1702" t="s">
        <v>152</v>
      </c>
      <c r="P1702" t="s">
        <v>152</v>
      </c>
      <c r="Q1702" s="3">
        <v>36</v>
      </c>
      <c r="R1702" t="s">
        <v>34</v>
      </c>
      <c r="S1702" t="s">
        <v>88</v>
      </c>
    </row>
    <row r="1703" spans="1:19" x14ac:dyDescent="0.25">
      <c r="A1703">
        <v>1702</v>
      </c>
      <c r="B1703">
        <v>69</v>
      </c>
      <c r="C1703" t="s">
        <v>19</v>
      </c>
      <c r="D1703" t="s">
        <v>68</v>
      </c>
      <c r="E1703" t="s">
        <v>69</v>
      </c>
      <c r="F1703" s="1">
        <v>41</v>
      </c>
      <c r="G1703" t="s">
        <v>91</v>
      </c>
      <c r="H1703" t="s">
        <v>92</v>
      </c>
      <c r="I1703" t="s">
        <v>144</v>
      </c>
      <c r="J1703" t="s">
        <v>25</v>
      </c>
      <c r="K1703" s="2">
        <v>3.8</v>
      </c>
      <c r="L1703" t="s">
        <v>152</v>
      </c>
      <c r="M1703" t="s">
        <v>46</v>
      </c>
      <c r="N1703" t="s">
        <v>47</v>
      </c>
      <c r="O1703" t="s">
        <v>152</v>
      </c>
      <c r="P1703" t="s">
        <v>152</v>
      </c>
      <c r="Q1703" s="3">
        <v>44</v>
      </c>
      <c r="R1703" t="s">
        <v>59</v>
      </c>
      <c r="S1703" t="s">
        <v>97</v>
      </c>
    </row>
    <row r="1704" spans="1:19" x14ac:dyDescent="0.25">
      <c r="A1704">
        <v>1703</v>
      </c>
      <c r="B1704">
        <v>54</v>
      </c>
      <c r="C1704" t="s">
        <v>19</v>
      </c>
      <c r="D1704" t="s">
        <v>36</v>
      </c>
      <c r="E1704" t="s">
        <v>21</v>
      </c>
      <c r="F1704" s="1">
        <v>83</v>
      </c>
      <c r="G1704" t="s">
        <v>90</v>
      </c>
      <c r="H1704" t="s">
        <v>92</v>
      </c>
      <c r="I1704" t="s">
        <v>134</v>
      </c>
      <c r="J1704" t="s">
        <v>54</v>
      </c>
      <c r="K1704" s="2">
        <v>5</v>
      </c>
      <c r="L1704" t="s">
        <v>152</v>
      </c>
      <c r="M1704" t="s">
        <v>59</v>
      </c>
      <c r="N1704" t="s">
        <v>28</v>
      </c>
      <c r="O1704" t="s">
        <v>152</v>
      </c>
      <c r="P1704" t="s">
        <v>152</v>
      </c>
      <c r="Q1704" s="3">
        <v>48</v>
      </c>
      <c r="R1704" t="s">
        <v>34</v>
      </c>
      <c r="S1704" t="s">
        <v>41</v>
      </c>
    </row>
    <row r="1705" spans="1:19" x14ac:dyDescent="0.25">
      <c r="A1705">
        <v>1704</v>
      </c>
      <c r="B1705">
        <v>39</v>
      </c>
      <c r="C1705" t="s">
        <v>19</v>
      </c>
      <c r="D1705" t="s">
        <v>132</v>
      </c>
      <c r="E1705" t="s">
        <v>69</v>
      </c>
      <c r="F1705" s="1">
        <v>22</v>
      </c>
      <c r="G1705" t="s">
        <v>99</v>
      </c>
      <c r="H1705" t="s">
        <v>45</v>
      </c>
      <c r="I1705" t="s">
        <v>94</v>
      </c>
      <c r="J1705" t="s">
        <v>39</v>
      </c>
      <c r="K1705" s="2">
        <v>4</v>
      </c>
      <c r="L1705" t="s">
        <v>152</v>
      </c>
      <c r="M1705" t="s">
        <v>29</v>
      </c>
      <c r="N1705" t="s">
        <v>47</v>
      </c>
      <c r="O1705" t="s">
        <v>152</v>
      </c>
      <c r="P1705" t="s">
        <v>152</v>
      </c>
      <c r="Q1705" s="3">
        <v>12</v>
      </c>
      <c r="R1705" t="s">
        <v>34</v>
      </c>
      <c r="S1705" t="s">
        <v>50</v>
      </c>
    </row>
    <row r="1706" spans="1:19" x14ac:dyDescent="0.25">
      <c r="A1706">
        <v>1705</v>
      </c>
      <c r="B1706">
        <v>56</v>
      </c>
      <c r="C1706" t="s">
        <v>19</v>
      </c>
      <c r="D1706" t="s">
        <v>51</v>
      </c>
      <c r="E1706" t="s">
        <v>43</v>
      </c>
      <c r="F1706" s="1">
        <v>20</v>
      </c>
      <c r="G1706" t="s">
        <v>135</v>
      </c>
      <c r="H1706" t="s">
        <v>45</v>
      </c>
      <c r="I1706" t="s">
        <v>93</v>
      </c>
      <c r="J1706" t="s">
        <v>54</v>
      </c>
      <c r="K1706" s="2">
        <v>3.9</v>
      </c>
      <c r="L1706" t="s">
        <v>152</v>
      </c>
      <c r="M1706" t="s">
        <v>34</v>
      </c>
      <c r="N1706" t="s">
        <v>76</v>
      </c>
      <c r="O1706" t="s">
        <v>152</v>
      </c>
      <c r="P1706" t="s">
        <v>152</v>
      </c>
      <c r="Q1706" s="3">
        <v>19</v>
      </c>
      <c r="R1706" t="s">
        <v>35</v>
      </c>
      <c r="S1706" t="s">
        <v>97</v>
      </c>
    </row>
    <row r="1707" spans="1:19" x14ac:dyDescent="0.25">
      <c r="A1707">
        <v>1706</v>
      </c>
      <c r="B1707">
        <v>39</v>
      </c>
      <c r="C1707" t="s">
        <v>19</v>
      </c>
      <c r="D1707" t="s">
        <v>106</v>
      </c>
      <c r="E1707" t="s">
        <v>69</v>
      </c>
      <c r="F1707" s="1">
        <v>29</v>
      </c>
      <c r="G1707" t="s">
        <v>147</v>
      </c>
      <c r="H1707" t="s">
        <v>23</v>
      </c>
      <c r="I1707" t="s">
        <v>109</v>
      </c>
      <c r="J1707" t="s">
        <v>54</v>
      </c>
      <c r="K1707" s="2">
        <v>3.4</v>
      </c>
      <c r="L1707" t="s">
        <v>152</v>
      </c>
      <c r="M1707" t="s">
        <v>29</v>
      </c>
      <c r="N1707" t="s">
        <v>72</v>
      </c>
      <c r="O1707" t="s">
        <v>152</v>
      </c>
      <c r="P1707" t="s">
        <v>152</v>
      </c>
      <c r="Q1707" s="3">
        <v>49</v>
      </c>
      <c r="R1707" t="s">
        <v>29</v>
      </c>
      <c r="S1707" t="s">
        <v>77</v>
      </c>
    </row>
    <row r="1708" spans="1:19" x14ac:dyDescent="0.25">
      <c r="A1708">
        <v>1707</v>
      </c>
      <c r="B1708">
        <v>37</v>
      </c>
      <c r="C1708" t="s">
        <v>19</v>
      </c>
      <c r="D1708" t="s">
        <v>89</v>
      </c>
      <c r="E1708" t="s">
        <v>69</v>
      </c>
      <c r="F1708" s="1">
        <v>87</v>
      </c>
      <c r="G1708" t="s">
        <v>114</v>
      </c>
      <c r="H1708" t="s">
        <v>45</v>
      </c>
      <c r="I1708" t="s">
        <v>110</v>
      </c>
      <c r="J1708" t="s">
        <v>39</v>
      </c>
      <c r="K1708" s="2">
        <v>3</v>
      </c>
      <c r="L1708" t="s">
        <v>152</v>
      </c>
      <c r="M1708" t="s">
        <v>27</v>
      </c>
      <c r="N1708" t="s">
        <v>55</v>
      </c>
      <c r="O1708" t="s">
        <v>152</v>
      </c>
      <c r="P1708" t="s">
        <v>152</v>
      </c>
      <c r="Q1708" s="3">
        <v>25</v>
      </c>
      <c r="R1708" t="s">
        <v>29</v>
      </c>
      <c r="S1708" t="s">
        <v>30</v>
      </c>
    </row>
    <row r="1709" spans="1:19" x14ac:dyDescent="0.25">
      <c r="A1709">
        <v>1708</v>
      </c>
      <c r="B1709">
        <v>25</v>
      </c>
      <c r="C1709" t="s">
        <v>19</v>
      </c>
      <c r="D1709" t="s">
        <v>61</v>
      </c>
      <c r="E1709" t="s">
        <v>21</v>
      </c>
      <c r="F1709" s="1">
        <v>81</v>
      </c>
      <c r="G1709" t="s">
        <v>107</v>
      </c>
      <c r="H1709" t="s">
        <v>23</v>
      </c>
      <c r="I1709" t="s">
        <v>33</v>
      </c>
      <c r="J1709" t="s">
        <v>58</v>
      </c>
      <c r="K1709" s="2">
        <v>4.9000000000000004</v>
      </c>
      <c r="L1709" t="s">
        <v>152</v>
      </c>
      <c r="M1709" t="s">
        <v>27</v>
      </c>
      <c r="N1709" t="s">
        <v>72</v>
      </c>
      <c r="O1709" t="s">
        <v>152</v>
      </c>
      <c r="P1709" t="s">
        <v>152</v>
      </c>
      <c r="Q1709" s="3">
        <v>25</v>
      </c>
      <c r="R1709" t="s">
        <v>35</v>
      </c>
      <c r="S1709" t="s">
        <v>77</v>
      </c>
    </row>
    <row r="1710" spans="1:19" x14ac:dyDescent="0.25">
      <c r="A1710">
        <v>1709</v>
      </c>
      <c r="B1710">
        <v>35</v>
      </c>
      <c r="C1710" t="s">
        <v>19</v>
      </c>
      <c r="D1710" t="s">
        <v>137</v>
      </c>
      <c r="E1710" t="s">
        <v>43</v>
      </c>
      <c r="F1710" s="1">
        <v>58</v>
      </c>
      <c r="G1710" t="s">
        <v>103</v>
      </c>
      <c r="H1710" t="s">
        <v>23</v>
      </c>
      <c r="I1710" t="s">
        <v>109</v>
      </c>
      <c r="J1710" t="s">
        <v>39</v>
      </c>
      <c r="K1710" s="2">
        <v>3.2</v>
      </c>
      <c r="L1710" t="s">
        <v>152</v>
      </c>
      <c r="M1710" t="s">
        <v>34</v>
      </c>
      <c r="N1710" t="s">
        <v>28</v>
      </c>
      <c r="O1710" t="s">
        <v>152</v>
      </c>
      <c r="P1710" t="s">
        <v>152</v>
      </c>
      <c r="Q1710" s="3">
        <v>1</v>
      </c>
      <c r="R1710" t="s">
        <v>27</v>
      </c>
      <c r="S1710" t="s">
        <v>60</v>
      </c>
    </row>
    <row r="1711" spans="1:19" x14ac:dyDescent="0.25">
      <c r="A1711">
        <v>1710</v>
      </c>
      <c r="B1711">
        <v>45</v>
      </c>
      <c r="C1711" t="s">
        <v>19</v>
      </c>
      <c r="D1711" t="s">
        <v>87</v>
      </c>
      <c r="E1711" t="s">
        <v>21</v>
      </c>
      <c r="F1711" s="1">
        <v>83</v>
      </c>
      <c r="G1711" t="s">
        <v>116</v>
      </c>
      <c r="H1711" t="s">
        <v>45</v>
      </c>
      <c r="I1711" t="s">
        <v>71</v>
      </c>
      <c r="J1711" t="s">
        <v>25</v>
      </c>
      <c r="K1711" s="2">
        <v>3.8</v>
      </c>
      <c r="L1711" t="s">
        <v>152</v>
      </c>
      <c r="M1711" t="s">
        <v>29</v>
      </c>
      <c r="N1711" t="s">
        <v>55</v>
      </c>
      <c r="O1711" t="s">
        <v>152</v>
      </c>
      <c r="P1711" t="s">
        <v>152</v>
      </c>
      <c r="Q1711" s="3">
        <v>19</v>
      </c>
      <c r="R1711" t="s">
        <v>34</v>
      </c>
      <c r="S1711" t="s">
        <v>50</v>
      </c>
    </row>
    <row r="1712" spans="1:19" x14ac:dyDescent="0.25">
      <c r="A1712">
        <v>1711</v>
      </c>
      <c r="B1712">
        <v>19</v>
      </c>
      <c r="C1712" t="s">
        <v>19</v>
      </c>
      <c r="D1712" t="s">
        <v>95</v>
      </c>
      <c r="E1712" t="s">
        <v>21</v>
      </c>
      <c r="F1712" s="1">
        <v>59</v>
      </c>
      <c r="G1712" t="s">
        <v>74</v>
      </c>
      <c r="H1712" t="s">
        <v>92</v>
      </c>
      <c r="I1712" t="s">
        <v>121</v>
      </c>
      <c r="J1712" t="s">
        <v>58</v>
      </c>
      <c r="K1712" s="2">
        <v>3.8</v>
      </c>
      <c r="L1712" t="s">
        <v>152</v>
      </c>
      <c r="M1712" t="s">
        <v>59</v>
      </c>
      <c r="N1712" t="s">
        <v>76</v>
      </c>
      <c r="O1712" t="s">
        <v>152</v>
      </c>
      <c r="P1712" t="s">
        <v>152</v>
      </c>
      <c r="Q1712" s="3">
        <v>7</v>
      </c>
      <c r="R1712" t="s">
        <v>27</v>
      </c>
      <c r="S1712" t="s">
        <v>60</v>
      </c>
    </row>
    <row r="1713" spans="1:19" x14ac:dyDescent="0.25">
      <c r="A1713">
        <v>1712</v>
      </c>
      <c r="B1713">
        <v>21</v>
      </c>
      <c r="C1713" t="s">
        <v>19</v>
      </c>
      <c r="D1713" t="s">
        <v>113</v>
      </c>
      <c r="E1713" t="s">
        <v>21</v>
      </c>
      <c r="F1713" s="1">
        <v>93</v>
      </c>
      <c r="G1713" t="s">
        <v>98</v>
      </c>
      <c r="H1713" t="s">
        <v>45</v>
      </c>
      <c r="I1713" t="s">
        <v>93</v>
      </c>
      <c r="J1713" t="s">
        <v>39</v>
      </c>
      <c r="K1713" s="2">
        <v>4.7</v>
      </c>
      <c r="L1713" t="s">
        <v>152</v>
      </c>
      <c r="M1713" t="s">
        <v>59</v>
      </c>
      <c r="N1713" t="s">
        <v>28</v>
      </c>
      <c r="O1713" t="s">
        <v>152</v>
      </c>
      <c r="P1713" t="s">
        <v>152</v>
      </c>
      <c r="Q1713" s="3">
        <v>19</v>
      </c>
      <c r="R1713" t="s">
        <v>27</v>
      </c>
      <c r="S1713" t="s">
        <v>88</v>
      </c>
    </row>
    <row r="1714" spans="1:19" x14ac:dyDescent="0.25">
      <c r="A1714">
        <v>1713</v>
      </c>
      <c r="B1714">
        <v>65</v>
      </c>
      <c r="C1714" t="s">
        <v>19</v>
      </c>
      <c r="D1714" t="s">
        <v>113</v>
      </c>
      <c r="E1714" t="s">
        <v>21</v>
      </c>
      <c r="F1714" s="1">
        <v>87</v>
      </c>
      <c r="G1714" t="s">
        <v>115</v>
      </c>
      <c r="H1714" t="s">
        <v>38</v>
      </c>
      <c r="I1714" t="s">
        <v>118</v>
      </c>
      <c r="J1714" t="s">
        <v>58</v>
      </c>
      <c r="K1714" s="2">
        <v>3.8</v>
      </c>
      <c r="L1714" t="s">
        <v>152</v>
      </c>
      <c r="M1714" t="s">
        <v>59</v>
      </c>
      <c r="N1714" t="s">
        <v>72</v>
      </c>
      <c r="O1714" t="s">
        <v>152</v>
      </c>
      <c r="P1714" t="s">
        <v>152</v>
      </c>
      <c r="Q1714" s="3">
        <v>9</v>
      </c>
      <c r="R1714" t="s">
        <v>35</v>
      </c>
      <c r="S1714" t="s">
        <v>30</v>
      </c>
    </row>
    <row r="1715" spans="1:19" x14ac:dyDescent="0.25">
      <c r="A1715">
        <v>1714</v>
      </c>
      <c r="B1715">
        <v>49</v>
      </c>
      <c r="C1715" t="s">
        <v>19</v>
      </c>
      <c r="D1715" t="s">
        <v>102</v>
      </c>
      <c r="E1715" t="s">
        <v>65</v>
      </c>
      <c r="F1715" s="1">
        <v>22</v>
      </c>
      <c r="G1715" t="s">
        <v>70</v>
      </c>
      <c r="H1715" t="s">
        <v>45</v>
      </c>
      <c r="I1715" t="s">
        <v>71</v>
      </c>
      <c r="J1715" t="s">
        <v>25</v>
      </c>
      <c r="K1715" s="2">
        <v>4.5999999999999996</v>
      </c>
      <c r="L1715" t="s">
        <v>152</v>
      </c>
      <c r="M1715" t="s">
        <v>29</v>
      </c>
      <c r="N1715" t="s">
        <v>40</v>
      </c>
      <c r="O1715" t="s">
        <v>152</v>
      </c>
      <c r="P1715" t="s">
        <v>152</v>
      </c>
      <c r="Q1715" s="3">
        <v>37</v>
      </c>
      <c r="R1715" t="s">
        <v>46</v>
      </c>
      <c r="S1715" t="s">
        <v>60</v>
      </c>
    </row>
    <row r="1716" spans="1:19" x14ac:dyDescent="0.25">
      <c r="A1716">
        <v>1715</v>
      </c>
      <c r="B1716">
        <v>30</v>
      </c>
      <c r="C1716" t="s">
        <v>19</v>
      </c>
      <c r="D1716" t="s">
        <v>36</v>
      </c>
      <c r="E1716" t="s">
        <v>21</v>
      </c>
      <c r="F1716" s="1">
        <v>71</v>
      </c>
      <c r="G1716" t="s">
        <v>147</v>
      </c>
      <c r="H1716" t="s">
        <v>38</v>
      </c>
      <c r="I1716" t="s">
        <v>63</v>
      </c>
      <c r="J1716" t="s">
        <v>54</v>
      </c>
      <c r="K1716" s="2">
        <v>4.4000000000000004</v>
      </c>
      <c r="L1716" t="s">
        <v>152</v>
      </c>
      <c r="M1716" t="s">
        <v>34</v>
      </c>
      <c r="N1716" t="s">
        <v>55</v>
      </c>
      <c r="O1716" t="s">
        <v>152</v>
      </c>
      <c r="P1716" t="s">
        <v>152</v>
      </c>
      <c r="Q1716" s="3">
        <v>15</v>
      </c>
      <c r="R1716" t="s">
        <v>35</v>
      </c>
      <c r="S1716" t="s">
        <v>88</v>
      </c>
    </row>
    <row r="1717" spans="1:19" x14ac:dyDescent="0.25">
      <c r="A1717">
        <v>1716</v>
      </c>
      <c r="B1717">
        <v>23</v>
      </c>
      <c r="C1717" t="s">
        <v>19</v>
      </c>
      <c r="D1717" t="s">
        <v>82</v>
      </c>
      <c r="E1717" t="s">
        <v>21</v>
      </c>
      <c r="F1717" s="1">
        <v>69</v>
      </c>
      <c r="G1717" t="s">
        <v>135</v>
      </c>
      <c r="H1717" t="s">
        <v>92</v>
      </c>
      <c r="I1717" t="s">
        <v>24</v>
      </c>
      <c r="J1717" t="s">
        <v>39</v>
      </c>
      <c r="K1717" s="2">
        <v>3.4</v>
      </c>
      <c r="L1717" t="s">
        <v>152</v>
      </c>
      <c r="M1717" t="s">
        <v>46</v>
      </c>
      <c r="N1717" t="s">
        <v>72</v>
      </c>
      <c r="O1717" t="s">
        <v>152</v>
      </c>
      <c r="P1717" t="s">
        <v>152</v>
      </c>
      <c r="Q1717" s="3">
        <v>30</v>
      </c>
      <c r="R1717" t="s">
        <v>46</v>
      </c>
      <c r="S1717" t="s">
        <v>77</v>
      </c>
    </row>
    <row r="1718" spans="1:19" x14ac:dyDescent="0.25">
      <c r="A1718">
        <v>1717</v>
      </c>
      <c r="B1718">
        <v>69</v>
      </c>
      <c r="C1718" t="s">
        <v>19</v>
      </c>
      <c r="D1718" t="s">
        <v>20</v>
      </c>
      <c r="E1718" t="s">
        <v>21</v>
      </c>
      <c r="F1718" s="1">
        <v>47</v>
      </c>
      <c r="G1718" t="s">
        <v>139</v>
      </c>
      <c r="H1718" t="s">
        <v>45</v>
      </c>
      <c r="I1718" t="s">
        <v>109</v>
      </c>
      <c r="J1718" t="s">
        <v>25</v>
      </c>
      <c r="K1718" s="2">
        <v>4.7</v>
      </c>
      <c r="L1718" t="s">
        <v>152</v>
      </c>
      <c r="M1718" t="s">
        <v>29</v>
      </c>
      <c r="N1718" t="s">
        <v>55</v>
      </c>
      <c r="O1718" t="s">
        <v>152</v>
      </c>
      <c r="P1718" t="s">
        <v>152</v>
      </c>
      <c r="Q1718" s="3">
        <v>30</v>
      </c>
      <c r="R1718" t="s">
        <v>35</v>
      </c>
      <c r="S1718" t="s">
        <v>97</v>
      </c>
    </row>
    <row r="1719" spans="1:19" x14ac:dyDescent="0.25">
      <c r="A1719">
        <v>1718</v>
      </c>
      <c r="B1719">
        <v>29</v>
      </c>
      <c r="C1719" t="s">
        <v>19</v>
      </c>
      <c r="D1719" t="s">
        <v>104</v>
      </c>
      <c r="E1719" t="s">
        <v>21</v>
      </c>
      <c r="F1719" s="1">
        <v>50</v>
      </c>
      <c r="G1719" t="s">
        <v>78</v>
      </c>
      <c r="H1719" t="s">
        <v>23</v>
      </c>
      <c r="I1719" t="s">
        <v>121</v>
      </c>
      <c r="J1719" t="s">
        <v>54</v>
      </c>
      <c r="K1719" s="2">
        <v>2.9</v>
      </c>
      <c r="L1719" t="s">
        <v>152</v>
      </c>
      <c r="M1719" t="s">
        <v>35</v>
      </c>
      <c r="N1719" t="s">
        <v>28</v>
      </c>
      <c r="O1719" t="s">
        <v>152</v>
      </c>
      <c r="P1719" t="s">
        <v>152</v>
      </c>
      <c r="Q1719" s="3">
        <v>16</v>
      </c>
      <c r="R1719" t="s">
        <v>59</v>
      </c>
      <c r="S1719" t="s">
        <v>77</v>
      </c>
    </row>
    <row r="1720" spans="1:19" x14ac:dyDescent="0.25">
      <c r="A1720">
        <v>1719</v>
      </c>
      <c r="B1720">
        <v>54</v>
      </c>
      <c r="C1720" t="s">
        <v>19</v>
      </c>
      <c r="D1720" t="s">
        <v>113</v>
      </c>
      <c r="E1720" t="s">
        <v>21</v>
      </c>
      <c r="F1720" s="1">
        <v>96</v>
      </c>
      <c r="G1720" t="s">
        <v>128</v>
      </c>
      <c r="H1720" t="s">
        <v>23</v>
      </c>
      <c r="I1720" t="s">
        <v>71</v>
      </c>
      <c r="J1720" t="s">
        <v>25</v>
      </c>
      <c r="K1720" s="2">
        <v>3.4</v>
      </c>
      <c r="L1720" t="s">
        <v>152</v>
      </c>
      <c r="M1720" t="s">
        <v>35</v>
      </c>
      <c r="N1720" t="s">
        <v>72</v>
      </c>
      <c r="O1720" t="s">
        <v>152</v>
      </c>
      <c r="P1720" t="s">
        <v>152</v>
      </c>
      <c r="Q1720" s="3">
        <v>14</v>
      </c>
      <c r="R1720" t="s">
        <v>46</v>
      </c>
      <c r="S1720" t="s">
        <v>97</v>
      </c>
    </row>
    <row r="1721" spans="1:19" x14ac:dyDescent="0.25">
      <c r="A1721">
        <v>1720</v>
      </c>
      <c r="B1721">
        <v>45</v>
      </c>
      <c r="C1721" t="s">
        <v>19</v>
      </c>
      <c r="D1721" t="s">
        <v>31</v>
      </c>
      <c r="E1721" t="s">
        <v>21</v>
      </c>
      <c r="F1721" s="1">
        <v>39</v>
      </c>
      <c r="G1721" t="s">
        <v>128</v>
      </c>
      <c r="H1721" t="s">
        <v>45</v>
      </c>
      <c r="I1721" t="s">
        <v>53</v>
      </c>
      <c r="J1721" t="s">
        <v>25</v>
      </c>
      <c r="K1721" s="2">
        <v>3.2</v>
      </c>
      <c r="L1721" t="s">
        <v>152</v>
      </c>
      <c r="M1721" t="s">
        <v>29</v>
      </c>
      <c r="N1721" t="s">
        <v>40</v>
      </c>
      <c r="O1721" t="s">
        <v>152</v>
      </c>
      <c r="P1721" t="s">
        <v>152</v>
      </c>
      <c r="Q1721" s="3">
        <v>8</v>
      </c>
      <c r="R1721" t="s">
        <v>29</v>
      </c>
      <c r="S1721" t="s">
        <v>60</v>
      </c>
    </row>
    <row r="1722" spans="1:19" x14ac:dyDescent="0.25">
      <c r="A1722">
        <v>1721</v>
      </c>
      <c r="B1722">
        <v>25</v>
      </c>
      <c r="C1722" t="s">
        <v>19</v>
      </c>
      <c r="D1722" t="s">
        <v>61</v>
      </c>
      <c r="E1722" t="s">
        <v>21</v>
      </c>
      <c r="F1722" s="1">
        <v>84</v>
      </c>
      <c r="G1722" t="s">
        <v>37</v>
      </c>
      <c r="H1722" t="s">
        <v>38</v>
      </c>
      <c r="I1722" t="s">
        <v>118</v>
      </c>
      <c r="J1722" t="s">
        <v>25</v>
      </c>
      <c r="K1722" s="2">
        <v>2.8</v>
      </c>
      <c r="L1722" t="s">
        <v>152</v>
      </c>
      <c r="M1722" t="s">
        <v>35</v>
      </c>
      <c r="N1722" t="s">
        <v>28</v>
      </c>
      <c r="O1722" t="s">
        <v>152</v>
      </c>
      <c r="P1722" t="s">
        <v>152</v>
      </c>
      <c r="Q1722" s="3">
        <v>40</v>
      </c>
      <c r="R1722" t="s">
        <v>59</v>
      </c>
      <c r="S1722" t="s">
        <v>77</v>
      </c>
    </row>
    <row r="1723" spans="1:19" x14ac:dyDescent="0.25">
      <c r="A1723">
        <v>1722</v>
      </c>
      <c r="B1723">
        <v>34</v>
      </c>
      <c r="C1723" t="s">
        <v>19</v>
      </c>
      <c r="D1723" t="s">
        <v>106</v>
      </c>
      <c r="E1723" t="s">
        <v>69</v>
      </c>
      <c r="F1723" s="1">
        <v>28</v>
      </c>
      <c r="G1723" t="s">
        <v>80</v>
      </c>
      <c r="H1723" t="s">
        <v>38</v>
      </c>
      <c r="I1723" t="s">
        <v>136</v>
      </c>
      <c r="J1723" t="s">
        <v>39</v>
      </c>
      <c r="K1723" s="2">
        <v>4.3</v>
      </c>
      <c r="L1723" t="s">
        <v>152</v>
      </c>
      <c r="M1723" t="s">
        <v>29</v>
      </c>
      <c r="N1723" t="s">
        <v>40</v>
      </c>
      <c r="O1723" t="s">
        <v>152</v>
      </c>
      <c r="P1723" t="s">
        <v>152</v>
      </c>
      <c r="Q1723" s="3">
        <v>24</v>
      </c>
      <c r="R1723" t="s">
        <v>27</v>
      </c>
      <c r="S1723" t="s">
        <v>88</v>
      </c>
    </row>
    <row r="1724" spans="1:19" x14ac:dyDescent="0.25">
      <c r="A1724">
        <v>1723</v>
      </c>
      <c r="B1724">
        <v>46</v>
      </c>
      <c r="C1724" t="s">
        <v>19</v>
      </c>
      <c r="D1724" t="s">
        <v>113</v>
      </c>
      <c r="E1724" t="s">
        <v>21</v>
      </c>
      <c r="F1724" s="1">
        <v>51</v>
      </c>
      <c r="G1724" t="s">
        <v>37</v>
      </c>
      <c r="H1724" t="s">
        <v>23</v>
      </c>
      <c r="I1724" t="s">
        <v>84</v>
      </c>
      <c r="J1724" t="s">
        <v>54</v>
      </c>
      <c r="K1724" s="2">
        <v>3.3</v>
      </c>
      <c r="L1724" t="s">
        <v>152</v>
      </c>
      <c r="M1724" t="s">
        <v>35</v>
      </c>
      <c r="N1724" t="s">
        <v>55</v>
      </c>
      <c r="O1724" t="s">
        <v>152</v>
      </c>
      <c r="P1724" t="s">
        <v>152</v>
      </c>
      <c r="Q1724" s="3">
        <v>14</v>
      </c>
      <c r="R1724" t="s">
        <v>35</v>
      </c>
      <c r="S1724" t="s">
        <v>30</v>
      </c>
    </row>
    <row r="1725" spans="1:19" x14ac:dyDescent="0.25">
      <c r="A1725">
        <v>1724</v>
      </c>
      <c r="B1725">
        <v>70</v>
      </c>
      <c r="C1725" t="s">
        <v>19</v>
      </c>
      <c r="D1725" t="s">
        <v>119</v>
      </c>
      <c r="E1725" t="s">
        <v>69</v>
      </c>
      <c r="F1725" s="1">
        <v>20</v>
      </c>
      <c r="G1725" t="s">
        <v>85</v>
      </c>
      <c r="H1725" t="s">
        <v>92</v>
      </c>
      <c r="I1725" t="s">
        <v>81</v>
      </c>
      <c r="J1725" t="s">
        <v>39</v>
      </c>
      <c r="K1725" s="2">
        <v>3.3</v>
      </c>
      <c r="L1725" t="s">
        <v>152</v>
      </c>
      <c r="M1725" t="s">
        <v>34</v>
      </c>
      <c r="N1725" t="s">
        <v>55</v>
      </c>
      <c r="O1725" t="s">
        <v>152</v>
      </c>
      <c r="P1725" t="s">
        <v>152</v>
      </c>
      <c r="Q1725" s="3">
        <v>39</v>
      </c>
      <c r="R1725" t="s">
        <v>46</v>
      </c>
      <c r="S1725" t="s">
        <v>50</v>
      </c>
    </row>
    <row r="1726" spans="1:19" x14ac:dyDescent="0.25">
      <c r="A1726">
        <v>1725</v>
      </c>
      <c r="B1726">
        <v>42</v>
      </c>
      <c r="C1726" t="s">
        <v>19</v>
      </c>
      <c r="D1726" t="s">
        <v>73</v>
      </c>
      <c r="E1726" t="s">
        <v>43</v>
      </c>
      <c r="F1726" s="1">
        <v>72</v>
      </c>
      <c r="G1726" t="s">
        <v>80</v>
      </c>
      <c r="H1726" t="s">
        <v>38</v>
      </c>
      <c r="I1726" t="s">
        <v>86</v>
      </c>
      <c r="J1726" t="s">
        <v>25</v>
      </c>
      <c r="K1726" s="2">
        <v>3.3</v>
      </c>
      <c r="L1726" t="s">
        <v>152</v>
      </c>
      <c r="M1726" t="s">
        <v>46</v>
      </c>
      <c r="N1726" t="s">
        <v>40</v>
      </c>
      <c r="O1726" t="s">
        <v>152</v>
      </c>
      <c r="P1726" t="s">
        <v>152</v>
      </c>
      <c r="Q1726" s="3">
        <v>21</v>
      </c>
      <c r="R1726" t="s">
        <v>46</v>
      </c>
      <c r="S1726" t="s">
        <v>41</v>
      </c>
    </row>
    <row r="1727" spans="1:19" x14ac:dyDescent="0.25">
      <c r="A1727">
        <v>1726</v>
      </c>
      <c r="B1727">
        <v>45</v>
      </c>
      <c r="C1727" t="s">
        <v>19</v>
      </c>
      <c r="D1727" t="s">
        <v>89</v>
      </c>
      <c r="E1727" t="s">
        <v>69</v>
      </c>
      <c r="F1727" s="1">
        <v>33</v>
      </c>
      <c r="G1727" t="s">
        <v>37</v>
      </c>
      <c r="H1727" t="s">
        <v>45</v>
      </c>
      <c r="I1727" t="s">
        <v>126</v>
      </c>
      <c r="J1727" t="s">
        <v>39</v>
      </c>
      <c r="K1727" s="2">
        <v>3</v>
      </c>
      <c r="L1727" t="s">
        <v>152</v>
      </c>
      <c r="M1727" t="s">
        <v>35</v>
      </c>
      <c r="N1727" t="s">
        <v>47</v>
      </c>
      <c r="O1727" t="s">
        <v>152</v>
      </c>
      <c r="P1727" t="s">
        <v>152</v>
      </c>
      <c r="Q1727" s="3">
        <v>32</v>
      </c>
      <c r="R1727" t="s">
        <v>29</v>
      </c>
      <c r="S1727" t="s">
        <v>60</v>
      </c>
    </row>
    <row r="1728" spans="1:19" x14ac:dyDescent="0.25">
      <c r="A1728">
        <v>1727</v>
      </c>
      <c r="B1728">
        <v>57</v>
      </c>
      <c r="C1728" t="s">
        <v>19</v>
      </c>
      <c r="D1728" t="s">
        <v>64</v>
      </c>
      <c r="E1728" t="s">
        <v>65</v>
      </c>
      <c r="F1728" s="1">
        <v>28</v>
      </c>
      <c r="G1728" t="s">
        <v>116</v>
      </c>
      <c r="H1728" t="s">
        <v>38</v>
      </c>
      <c r="I1728" t="s">
        <v>79</v>
      </c>
      <c r="J1728" t="s">
        <v>54</v>
      </c>
      <c r="K1728" s="2">
        <v>2.8</v>
      </c>
      <c r="L1728" t="s">
        <v>152</v>
      </c>
      <c r="M1728" t="s">
        <v>27</v>
      </c>
      <c r="N1728" t="s">
        <v>28</v>
      </c>
      <c r="O1728" t="s">
        <v>152</v>
      </c>
      <c r="P1728" t="s">
        <v>152</v>
      </c>
      <c r="Q1728" s="3">
        <v>45</v>
      </c>
      <c r="R1728" t="s">
        <v>59</v>
      </c>
      <c r="S1728" t="s">
        <v>41</v>
      </c>
    </row>
    <row r="1729" spans="1:19" x14ac:dyDescent="0.25">
      <c r="A1729">
        <v>1728</v>
      </c>
      <c r="B1729">
        <v>49</v>
      </c>
      <c r="C1729" t="s">
        <v>19</v>
      </c>
      <c r="D1729" t="s">
        <v>20</v>
      </c>
      <c r="E1729" t="s">
        <v>21</v>
      </c>
      <c r="F1729" s="1">
        <v>53</v>
      </c>
      <c r="G1729" t="s">
        <v>141</v>
      </c>
      <c r="H1729" t="s">
        <v>38</v>
      </c>
      <c r="I1729" t="s">
        <v>84</v>
      </c>
      <c r="J1729" t="s">
        <v>39</v>
      </c>
      <c r="K1729" s="2">
        <v>4</v>
      </c>
      <c r="L1729" t="s">
        <v>152</v>
      </c>
      <c r="M1729" t="s">
        <v>27</v>
      </c>
      <c r="N1729" t="s">
        <v>28</v>
      </c>
      <c r="O1729" t="s">
        <v>152</v>
      </c>
      <c r="P1729" t="s">
        <v>152</v>
      </c>
      <c r="Q1729" s="3">
        <v>19</v>
      </c>
      <c r="R1729" t="s">
        <v>46</v>
      </c>
      <c r="S1729" t="s">
        <v>88</v>
      </c>
    </row>
    <row r="1730" spans="1:19" x14ac:dyDescent="0.25">
      <c r="A1730">
        <v>1729</v>
      </c>
      <c r="B1730">
        <v>23</v>
      </c>
      <c r="C1730" t="s">
        <v>19</v>
      </c>
      <c r="D1730" t="s">
        <v>36</v>
      </c>
      <c r="E1730" t="s">
        <v>21</v>
      </c>
      <c r="F1730" s="1">
        <v>48</v>
      </c>
      <c r="G1730" t="s">
        <v>52</v>
      </c>
      <c r="H1730" t="s">
        <v>23</v>
      </c>
      <c r="I1730" t="s">
        <v>94</v>
      </c>
      <c r="J1730" t="s">
        <v>58</v>
      </c>
      <c r="K1730" s="2">
        <v>4.3</v>
      </c>
      <c r="L1730" t="s">
        <v>152</v>
      </c>
      <c r="M1730" t="s">
        <v>59</v>
      </c>
      <c r="N1730" t="s">
        <v>28</v>
      </c>
      <c r="O1730" t="s">
        <v>152</v>
      </c>
      <c r="P1730" t="s">
        <v>152</v>
      </c>
      <c r="Q1730" s="3">
        <v>1</v>
      </c>
      <c r="R1730" t="s">
        <v>59</v>
      </c>
      <c r="S1730" t="s">
        <v>97</v>
      </c>
    </row>
    <row r="1731" spans="1:19" x14ac:dyDescent="0.25">
      <c r="A1731">
        <v>1730</v>
      </c>
      <c r="B1731">
        <v>47</v>
      </c>
      <c r="C1731" t="s">
        <v>19</v>
      </c>
      <c r="D1731" t="s">
        <v>61</v>
      </c>
      <c r="E1731" t="s">
        <v>21</v>
      </c>
      <c r="F1731" s="1">
        <v>21</v>
      </c>
      <c r="G1731" t="s">
        <v>115</v>
      </c>
      <c r="H1731" t="s">
        <v>45</v>
      </c>
      <c r="I1731" t="s">
        <v>110</v>
      </c>
      <c r="J1731" t="s">
        <v>25</v>
      </c>
      <c r="K1731" s="2">
        <v>3.8</v>
      </c>
      <c r="L1731" t="s">
        <v>152</v>
      </c>
      <c r="M1731" t="s">
        <v>29</v>
      </c>
      <c r="N1731" t="s">
        <v>76</v>
      </c>
      <c r="O1731" t="s">
        <v>152</v>
      </c>
      <c r="P1731" t="s">
        <v>152</v>
      </c>
      <c r="Q1731" s="3">
        <v>12</v>
      </c>
      <c r="R1731" t="s">
        <v>29</v>
      </c>
      <c r="S1731" t="s">
        <v>30</v>
      </c>
    </row>
    <row r="1732" spans="1:19" x14ac:dyDescent="0.25">
      <c r="A1732">
        <v>1731</v>
      </c>
      <c r="B1732">
        <v>23</v>
      </c>
      <c r="C1732" t="s">
        <v>19</v>
      </c>
      <c r="D1732" t="s">
        <v>56</v>
      </c>
      <c r="E1732" t="s">
        <v>21</v>
      </c>
      <c r="F1732" s="1">
        <v>22</v>
      </c>
      <c r="G1732" t="s">
        <v>90</v>
      </c>
      <c r="H1732" t="s">
        <v>38</v>
      </c>
      <c r="I1732" t="s">
        <v>67</v>
      </c>
      <c r="J1732" t="s">
        <v>58</v>
      </c>
      <c r="K1732" s="2">
        <v>4.2</v>
      </c>
      <c r="L1732" t="s">
        <v>152</v>
      </c>
      <c r="M1732" t="s">
        <v>35</v>
      </c>
      <c r="N1732" t="s">
        <v>40</v>
      </c>
      <c r="O1732" t="s">
        <v>152</v>
      </c>
      <c r="P1732" t="s">
        <v>152</v>
      </c>
      <c r="Q1732" s="3">
        <v>26</v>
      </c>
      <c r="R1732" t="s">
        <v>27</v>
      </c>
      <c r="S1732" t="s">
        <v>41</v>
      </c>
    </row>
    <row r="1733" spans="1:19" x14ac:dyDescent="0.25">
      <c r="A1733">
        <v>1732</v>
      </c>
      <c r="B1733">
        <v>21</v>
      </c>
      <c r="C1733" t="s">
        <v>19</v>
      </c>
      <c r="D1733" t="s">
        <v>132</v>
      </c>
      <c r="E1733" t="s">
        <v>69</v>
      </c>
      <c r="F1733" s="1">
        <v>87</v>
      </c>
      <c r="G1733" t="s">
        <v>135</v>
      </c>
      <c r="H1733" t="s">
        <v>45</v>
      </c>
      <c r="I1733" t="s">
        <v>24</v>
      </c>
      <c r="J1733" t="s">
        <v>58</v>
      </c>
      <c r="K1733" s="2">
        <v>3.1</v>
      </c>
      <c r="L1733" t="s">
        <v>152</v>
      </c>
      <c r="M1733" t="s">
        <v>59</v>
      </c>
      <c r="N1733" t="s">
        <v>47</v>
      </c>
      <c r="O1733" t="s">
        <v>152</v>
      </c>
      <c r="P1733" t="s">
        <v>152</v>
      </c>
      <c r="Q1733" s="3">
        <v>12</v>
      </c>
      <c r="R1733" t="s">
        <v>35</v>
      </c>
      <c r="S1733" t="s">
        <v>88</v>
      </c>
    </row>
    <row r="1734" spans="1:19" x14ac:dyDescent="0.25">
      <c r="A1734">
        <v>1733</v>
      </c>
      <c r="B1734">
        <v>45</v>
      </c>
      <c r="C1734" t="s">
        <v>19</v>
      </c>
      <c r="D1734" t="s">
        <v>133</v>
      </c>
      <c r="E1734" t="s">
        <v>69</v>
      </c>
      <c r="F1734" s="1">
        <v>50</v>
      </c>
      <c r="G1734" t="s">
        <v>44</v>
      </c>
      <c r="H1734" t="s">
        <v>38</v>
      </c>
      <c r="I1734" t="s">
        <v>63</v>
      </c>
      <c r="J1734" t="s">
        <v>25</v>
      </c>
      <c r="K1734" s="2">
        <v>2.6</v>
      </c>
      <c r="L1734" t="s">
        <v>152</v>
      </c>
      <c r="M1734" t="s">
        <v>35</v>
      </c>
      <c r="N1734" t="s">
        <v>40</v>
      </c>
      <c r="O1734" t="s">
        <v>152</v>
      </c>
      <c r="P1734" t="s">
        <v>152</v>
      </c>
      <c r="Q1734" s="3">
        <v>36</v>
      </c>
      <c r="R1734" t="s">
        <v>35</v>
      </c>
      <c r="S1734" t="s">
        <v>97</v>
      </c>
    </row>
    <row r="1735" spans="1:19" x14ac:dyDescent="0.25">
      <c r="A1735">
        <v>1734</v>
      </c>
      <c r="B1735">
        <v>67</v>
      </c>
      <c r="C1735" t="s">
        <v>19</v>
      </c>
      <c r="D1735" t="s">
        <v>20</v>
      </c>
      <c r="E1735" t="s">
        <v>21</v>
      </c>
      <c r="F1735" s="1">
        <v>85</v>
      </c>
      <c r="G1735" t="s">
        <v>85</v>
      </c>
      <c r="H1735" t="s">
        <v>23</v>
      </c>
      <c r="I1735" t="s">
        <v>94</v>
      </c>
      <c r="J1735" t="s">
        <v>54</v>
      </c>
      <c r="K1735" s="2">
        <v>3.4</v>
      </c>
      <c r="L1735" t="s">
        <v>152</v>
      </c>
      <c r="M1735" t="s">
        <v>34</v>
      </c>
      <c r="N1735" t="s">
        <v>28</v>
      </c>
      <c r="O1735" t="s">
        <v>152</v>
      </c>
      <c r="P1735" t="s">
        <v>152</v>
      </c>
      <c r="Q1735" s="3">
        <v>22</v>
      </c>
      <c r="R1735" t="s">
        <v>27</v>
      </c>
      <c r="S1735" t="s">
        <v>50</v>
      </c>
    </row>
    <row r="1736" spans="1:19" x14ac:dyDescent="0.25">
      <c r="A1736">
        <v>1735</v>
      </c>
      <c r="B1736">
        <v>31</v>
      </c>
      <c r="C1736" t="s">
        <v>19</v>
      </c>
      <c r="D1736" t="s">
        <v>36</v>
      </c>
      <c r="E1736" t="s">
        <v>21</v>
      </c>
      <c r="F1736" s="1">
        <v>98</v>
      </c>
      <c r="G1736" t="s">
        <v>70</v>
      </c>
      <c r="H1736" t="s">
        <v>23</v>
      </c>
      <c r="I1736" t="s">
        <v>110</v>
      </c>
      <c r="J1736" t="s">
        <v>39</v>
      </c>
      <c r="K1736" s="2">
        <v>3.1</v>
      </c>
      <c r="L1736" t="s">
        <v>152</v>
      </c>
      <c r="M1736" t="s">
        <v>27</v>
      </c>
      <c r="N1736" t="s">
        <v>47</v>
      </c>
      <c r="O1736" t="s">
        <v>152</v>
      </c>
      <c r="P1736" t="s">
        <v>152</v>
      </c>
      <c r="Q1736" s="3">
        <v>16</v>
      </c>
      <c r="R1736" t="s">
        <v>46</v>
      </c>
      <c r="S1736" t="s">
        <v>60</v>
      </c>
    </row>
    <row r="1737" spans="1:19" x14ac:dyDescent="0.25">
      <c r="A1737">
        <v>1736</v>
      </c>
      <c r="B1737">
        <v>58</v>
      </c>
      <c r="C1737" t="s">
        <v>19</v>
      </c>
      <c r="D1737" t="s">
        <v>82</v>
      </c>
      <c r="E1737" t="s">
        <v>21</v>
      </c>
      <c r="F1737" s="1">
        <v>34</v>
      </c>
      <c r="G1737" t="s">
        <v>105</v>
      </c>
      <c r="H1737" t="s">
        <v>45</v>
      </c>
      <c r="I1737" t="s">
        <v>75</v>
      </c>
      <c r="J1737" t="s">
        <v>25</v>
      </c>
      <c r="K1737" s="2">
        <v>3.6</v>
      </c>
      <c r="L1737" t="s">
        <v>152</v>
      </c>
      <c r="M1737" t="s">
        <v>59</v>
      </c>
      <c r="N1737" t="s">
        <v>28</v>
      </c>
      <c r="O1737" t="s">
        <v>152</v>
      </c>
      <c r="P1737" t="s">
        <v>152</v>
      </c>
      <c r="Q1737" s="3">
        <v>31</v>
      </c>
      <c r="R1737" t="s">
        <v>29</v>
      </c>
      <c r="S1737" t="s">
        <v>50</v>
      </c>
    </row>
    <row r="1738" spans="1:19" x14ac:dyDescent="0.25">
      <c r="A1738">
        <v>1737</v>
      </c>
      <c r="B1738">
        <v>57</v>
      </c>
      <c r="C1738" t="s">
        <v>19</v>
      </c>
      <c r="D1738" t="s">
        <v>61</v>
      </c>
      <c r="E1738" t="s">
        <v>21</v>
      </c>
      <c r="F1738" s="1">
        <v>61</v>
      </c>
      <c r="G1738" t="s">
        <v>122</v>
      </c>
      <c r="H1738" t="s">
        <v>45</v>
      </c>
      <c r="I1738" t="s">
        <v>75</v>
      </c>
      <c r="J1738" t="s">
        <v>54</v>
      </c>
      <c r="K1738" s="2">
        <v>2.6</v>
      </c>
      <c r="L1738" t="s">
        <v>152</v>
      </c>
      <c r="M1738" t="s">
        <v>35</v>
      </c>
      <c r="N1738" t="s">
        <v>72</v>
      </c>
      <c r="O1738" t="s">
        <v>152</v>
      </c>
      <c r="P1738" t="s">
        <v>152</v>
      </c>
      <c r="Q1738" s="3">
        <v>43</v>
      </c>
      <c r="R1738" t="s">
        <v>35</v>
      </c>
      <c r="S1738" t="s">
        <v>60</v>
      </c>
    </row>
    <row r="1739" spans="1:19" x14ac:dyDescent="0.25">
      <c r="A1739">
        <v>1738</v>
      </c>
      <c r="B1739">
        <v>42</v>
      </c>
      <c r="C1739" t="s">
        <v>19</v>
      </c>
      <c r="D1739" t="s">
        <v>106</v>
      </c>
      <c r="E1739" t="s">
        <v>69</v>
      </c>
      <c r="F1739" s="1">
        <v>98</v>
      </c>
      <c r="G1739" t="s">
        <v>123</v>
      </c>
      <c r="H1739" t="s">
        <v>23</v>
      </c>
      <c r="I1739" t="s">
        <v>24</v>
      </c>
      <c r="J1739" t="s">
        <v>54</v>
      </c>
      <c r="K1739" s="2">
        <v>4.2</v>
      </c>
      <c r="L1739" t="s">
        <v>152</v>
      </c>
      <c r="M1739" t="s">
        <v>34</v>
      </c>
      <c r="N1739" t="s">
        <v>76</v>
      </c>
      <c r="O1739" t="s">
        <v>152</v>
      </c>
      <c r="P1739" t="s">
        <v>152</v>
      </c>
      <c r="Q1739" s="3">
        <v>50</v>
      </c>
      <c r="R1739" t="s">
        <v>29</v>
      </c>
      <c r="S1739" t="s">
        <v>77</v>
      </c>
    </row>
    <row r="1740" spans="1:19" x14ac:dyDescent="0.25">
      <c r="A1740">
        <v>1739</v>
      </c>
      <c r="B1740">
        <v>60</v>
      </c>
      <c r="C1740" t="s">
        <v>19</v>
      </c>
      <c r="D1740" t="s">
        <v>68</v>
      </c>
      <c r="E1740" t="s">
        <v>69</v>
      </c>
      <c r="F1740" s="1">
        <v>61</v>
      </c>
      <c r="G1740" t="s">
        <v>122</v>
      </c>
      <c r="H1740" t="s">
        <v>45</v>
      </c>
      <c r="I1740" t="s">
        <v>96</v>
      </c>
      <c r="J1740" t="s">
        <v>39</v>
      </c>
      <c r="K1740" s="2">
        <v>2.9</v>
      </c>
      <c r="L1740" t="s">
        <v>152</v>
      </c>
      <c r="M1740" t="s">
        <v>46</v>
      </c>
      <c r="N1740" t="s">
        <v>72</v>
      </c>
      <c r="O1740" t="s">
        <v>152</v>
      </c>
      <c r="P1740" t="s">
        <v>152</v>
      </c>
      <c r="Q1740" s="3">
        <v>37</v>
      </c>
      <c r="R1740" t="s">
        <v>27</v>
      </c>
      <c r="S1740" t="s">
        <v>41</v>
      </c>
    </row>
    <row r="1741" spans="1:19" x14ac:dyDescent="0.25">
      <c r="A1741">
        <v>1740</v>
      </c>
      <c r="B1741">
        <v>21</v>
      </c>
      <c r="C1741" t="s">
        <v>19</v>
      </c>
      <c r="D1741" t="s">
        <v>106</v>
      </c>
      <c r="E1741" t="s">
        <v>69</v>
      </c>
      <c r="F1741" s="1">
        <v>98</v>
      </c>
      <c r="G1741" t="s">
        <v>148</v>
      </c>
      <c r="H1741" t="s">
        <v>23</v>
      </c>
      <c r="I1741" t="s">
        <v>67</v>
      </c>
      <c r="J1741" t="s">
        <v>25</v>
      </c>
      <c r="K1741" s="2">
        <v>4.2</v>
      </c>
      <c r="L1741" t="s">
        <v>152</v>
      </c>
      <c r="M1741" t="s">
        <v>27</v>
      </c>
      <c r="N1741" t="s">
        <v>28</v>
      </c>
      <c r="O1741" t="s">
        <v>152</v>
      </c>
      <c r="P1741" t="s">
        <v>152</v>
      </c>
      <c r="Q1741" s="3">
        <v>23</v>
      </c>
      <c r="R1741" t="s">
        <v>35</v>
      </c>
      <c r="S1741" t="s">
        <v>41</v>
      </c>
    </row>
    <row r="1742" spans="1:19" x14ac:dyDescent="0.25">
      <c r="A1742">
        <v>1741</v>
      </c>
      <c r="B1742">
        <v>69</v>
      </c>
      <c r="C1742" t="s">
        <v>19</v>
      </c>
      <c r="D1742" t="s">
        <v>95</v>
      </c>
      <c r="E1742" t="s">
        <v>21</v>
      </c>
      <c r="F1742" s="1">
        <v>21</v>
      </c>
      <c r="G1742" t="s">
        <v>150</v>
      </c>
      <c r="H1742" t="s">
        <v>23</v>
      </c>
      <c r="I1742" t="s">
        <v>63</v>
      </c>
      <c r="J1742" t="s">
        <v>58</v>
      </c>
      <c r="K1742" s="2">
        <v>3.3</v>
      </c>
      <c r="L1742" t="s">
        <v>152</v>
      </c>
      <c r="M1742" t="s">
        <v>35</v>
      </c>
      <c r="N1742" t="s">
        <v>47</v>
      </c>
      <c r="O1742" t="s">
        <v>152</v>
      </c>
      <c r="P1742" t="s">
        <v>152</v>
      </c>
      <c r="Q1742" s="3">
        <v>10</v>
      </c>
      <c r="R1742" t="s">
        <v>34</v>
      </c>
      <c r="S1742" t="s">
        <v>97</v>
      </c>
    </row>
    <row r="1743" spans="1:19" x14ac:dyDescent="0.25">
      <c r="A1743">
        <v>1742</v>
      </c>
      <c r="B1743">
        <v>41</v>
      </c>
      <c r="C1743" t="s">
        <v>19</v>
      </c>
      <c r="D1743" t="s">
        <v>95</v>
      </c>
      <c r="E1743" t="s">
        <v>21</v>
      </c>
      <c r="F1743" s="1">
        <v>51</v>
      </c>
      <c r="G1743" t="s">
        <v>80</v>
      </c>
      <c r="H1743" t="s">
        <v>92</v>
      </c>
      <c r="I1743" t="s">
        <v>86</v>
      </c>
      <c r="J1743" t="s">
        <v>25</v>
      </c>
      <c r="K1743" s="2">
        <v>3.6</v>
      </c>
      <c r="L1743" t="s">
        <v>152</v>
      </c>
      <c r="M1743" t="s">
        <v>29</v>
      </c>
      <c r="N1743" t="s">
        <v>47</v>
      </c>
      <c r="O1743" t="s">
        <v>152</v>
      </c>
      <c r="P1743" t="s">
        <v>152</v>
      </c>
      <c r="Q1743" s="3">
        <v>20</v>
      </c>
      <c r="R1743" t="s">
        <v>34</v>
      </c>
      <c r="S1743" t="s">
        <v>88</v>
      </c>
    </row>
    <row r="1744" spans="1:19" x14ac:dyDescent="0.25">
      <c r="A1744">
        <v>1743</v>
      </c>
      <c r="B1744">
        <v>51</v>
      </c>
      <c r="C1744" t="s">
        <v>19</v>
      </c>
      <c r="D1744" t="s">
        <v>42</v>
      </c>
      <c r="E1744" t="s">
        <v>43</v>
      </c>
      <c r="F1744" s="1">
        <v>80</v>
      </c>
      <c r="G1744" t="s">
        <v>111</v>
      </c>
      <c r="H1744" t="s">
        <v>92</v>
      </c>
      <c r="I1744" t="s">
        <v>53</v>
      </c>
      <c r="J1744" t="s">
        <v>39</v>
      </c>
      <c r="K1744" s="2">
        <v>4.3</v>
      </c>
      <c r="L1744" t="s">
        <v>152</v>
      </c>
      <c r="M1744" t="s">
        <v>27</v>
      </c>
      <c r="N1744" t="s">
        <v>28</v>
      </c>
      <c r="O1744" t="s">
        <v>152</v>
      </c>
      <c r="P1744" t="s">
        <v>152</v>
      </c>
      <c r="Q1744" s="3">
        <v>18</v>
      </c>
      <c r="R1744" t="s">
        <v>29</v>
      </c>
      <c r="S1744" t="s">
        <v>97</v>
      </c>
    </row>
    <row r="1745" spans="1:19" x14ac:dyDescent="0.25">
      <c r="A1745">
        <v>1744</v>
      </c>
      <c r="B1745">
        <v>23</v>
      </c>
      <c r="C1745" t="s">
        <v>19</v>
      </c>
      <c r="D1745" t="s">
        <v>87</v>
      </c>
      <c r="E1745" t="s">
        <v>21</v>
      </c>
      <c r="F1745" s="1">
        <v>72</v>
      </c>
      <c r="G1745" t="s">
        <v>70</v>
      </c>
      <c r="H1745" t="s">
        <v>92</v>
      </c>
      <c r="I1745" t="s">
        <v>110</v>
      </c>
      <c r="J1745" t="s">
        <v>25</v>
      </c>
      <c r="K1745" s="2">
        <v>3.3</v>
      </c>
      <c r="L1745" t="s">
        <v>152</v>
      </c>
      <c r="M1745" t="s">
        <v>59</v>
      </c>
      <c r="N1745" t="s">
        <v>55</v>
      </c>
      <c r="O1745" t="s">
        <v>152</v>
      </c>
      <c r="P1745" t="s">
        <v>152</v>
      </c>
      <c r="Q1745" s="3">
        <v>3</v>
      </c>
      <c r="R1745" t="s">
        <v>34</v>
      </c>
      <c r="S1745" t="s">
        <v>41</v>
      </c>
    </row>
    <row r="1746" spans="1:19" x14ac:dyDescent="0.25">
      <c r="A1746">
        <v>1745</v>
      </c>
      <c r="B1746">
        <v>57</v>
      </c>
      <c r="C1746" t="s">
        <v>19</v>
      </c>
      <c r="D1746" t="s">
        <v>89</v>
      </c>
      <c r="E1746" t="s">
        <v>69</v>
      </c>
      <c r="F1746" s="1">
        <v>63</v>
      </c>
      <c r="G1746" t="s">
        <v>151</v>
      </c>
      <c r="H1746" t="s">
        <v>23</v>
      </c>
      <c r="I1746" t="s">
        <v>86</v>
      </c>
      <c r="J1746" t="s">
        <v>25</v>
      </c>
      <c r="K1746" s="2">
        <v>3</v>
      </c>
      <c r="L1746" t="s">
        <v>152</v>
      </c>
      <c r="M1746" t="s">
        <v>46</v>
      </c>
      <c r="N1746" t="s">
        <v>55</v>
      </c>
      <c r="O1746" t="s">
        <v>152</v>
      </c>
      <c r="P1746" t="s">
        <v>152</v>
      </c>
      <c r="Q1746" s="3">
        <v>23</v>
      </c>
      <c r="R1746" t="s">
        <v>46</v>
      </c>
      <c r="S1746" t="s">
        <v>41</v>
      </c>
    </row>
    <row r="1747" spans="1:19" x14ac:dyDescent="0.25">
      <c r="A1747">
        <v>1746</v>
      </c>
      <c r="B1747">
        <v>40</v>
      </c>
      <c r="C1747" t="s">
        <v>19</v>
      </c>
      <c r="D1747" t="s">
        <v>87</v>
      </c>
      <c r="E1747" t="s">
        <v>21</v>
      </c>
      <c r="F1747" s="1">
        <v>27</v>
      </c>
      <c r="G1747" t="s">
        <v>66</v>
      </c>
      <c r="H1747" t="s">
        <v>23</v>
      </c>
      <c r="I1747" t="s">
        <v>108</v>
      </c>
      <c r="J1747" t="s">
        <v>25</v>
      </c>
      <c r="K1747" s="2">
        <v>3.6</v>
      </c>
      <c r="L1747" t="s">
        <v>152</v>
      </c>
      <c r="M1747" t="s">
        <v>27</v>
      </c>
      <c r="N1747" t="s">
        <v>76</v>
      </c>
      <c r="O1747" t="s">
        <v>152</v>
      </c>
      <c r="P1747" t="s">
        <v>152</v>
      </c>
      <c r="Q1747" s="3">
        <v>27</v>
      </c>
      <c r="R1747" t="s">
        <v>35</v>
      </c>
      <c r="S1747" t="s">
        <v>41</v>
      </c>
    </row>
    <row r="1748" spans="1:19" x14ac:dyDescent="0.25">
      <c r="A1748">
        <v>1747</v>
      </c>
      <c r="B1748">
        <v>65</v>
      </c>
      <c r="C1748" t="s">
        <v>19</v>
      </c>
      <c r="D1748" t="s">
        <v>68</v>
      </c>
      <c r="E1748" t="s">
        <v>69</v>
      </c>
      <c r="F1748" s="1">
        <v>44</v>
      </c>
      <c r="G1748" t="s">
        <v>90</v>
      </c>
      <c r="H1748" t="s">
        <v>23</v>
      </c>
      <c r="I1748" t="s">
        <v>110</v>
      </c>
      <c r="J1748" t="s">
        <v>54</v>
      </c>
      <c r="K1748" s="2">
        <v>3.1</v>
      </c>
      <c r="L1748" t="s">
        <v>152</v>
      </c>
      <c r="M1748" t="s">
        <v>34</v>
      </c>
      <c r="N1748" t="s">
        <v>76</v>
      </c>
      <c r="O1748" t="s">
        <v>152</v>
      </c>
      <c r="P1748" t="s">
        <v>152</v>
      </c>
      <c r="Q1748" s="3">
        <v>44</v>
      </c>
      <c r="R1748" t="s">
        <v>34</v>
      </c>
      <c r="S1748" t="s">
        <v>30</v>
      </c>
    </row>
    <row r="1749" spans="1:19" x14ac:dyDescent="0.25">
      <c r="A1749">
        <v>1748</v>
      </c>
      <c r="B1749">
        <v>61</v>
      </c>
      <c r="C1749" t="s">
        <v>19</v>
      </c>
      <c r="D1749" t="s">
        <v>64</v>
      </c>
      <c r="E1749" t="s">
        <v>65</v>
      </c>
      <c r="F1749" s="1">
        <v>23</v>
      </c>
      <c r="G1749" t="s">
        <v>83</v>
      </c>
      <c r="H1749" t="s">
        <v>45</v>
      </c>
      <c r="I1749" t="s">
        <v>134</v>
      </c>
      <c r="J1749" t="s">
        <v>25</v>
      </c>
      <c r="K1749" s="2">
        <v>2.9</v>
      </c>
      <c r="L1749" t="s">
        <v>152</v>
      </c>
      <c r="M1749" t="s">
        <v>35</v>
      </c>
      <c r="N1749" t="s">
        <v>28</v>
      </c>
      <c r="O1749" t="s">
        <v>152</v>
      </c>
      <c r="P1749" t="s">
        <v>152</v>
      </c>
      <c r="Q1749" s="3">
        <v>41</v>
      </c>
      <c r="R1749" t="s">
        <v>29</v>
      </c>
      <c r="S1749" t="s">
        <v>60</v>
      </c>
    </row>
    <row r="1750" spans="1:19" x14ac:dyDescent="0.25">
      <c r="A1750">
        <v>1749</v>
      </c>
      <c r="B1750">
        <v>34</v>
      </c>
      <c r="C1750" t="s">
        <v>19</v>
      </c>
      <c r="D1750" t="s">
        <v>87</v>
      </c>
      <c r="E1750" t="s">
        <v>21</v>
      </c>
      <c r="F1750" s="1">
        <v>93</v>
      </c>
      <c r="G1750" t="s">
        <v>57</v>
      </c>
      <c r="H1750" t="s">
        <v>23</v>
      </c>
      <c r="I1750" t="s">
        <v>86</v>
      </c>
      <c r="J1750" t="s">
        <v>25</v>
      </c>
      <c r="K1750" s="2">
        <v>3.9</v>
      </c>
      <c r="L1750" t="s">
        <v>152</v>
      </c>
      <c r="M1750" t="s">
        <v>34</v>
      </c>
      <c r="N1750" t="s">
        <v>72</v>
      </c>
      <c r="O1750" t="s">
        <v>152</v>
      </c>
      <c r="P1750" t="s">
        <v>152</v>
      </c>
      <c r="Q1750" s="3">
        <v>41</v>
      </c>
      <c r="R1750" t="s">
        <v>34</v>
      </c>
      <c r="S1750" t="s">
        <v>50</v>
      </c>
    </row>
    <row r="1751" spans="1:19" x14ac:dyDescent="0.25">
      <c r="A1751">
        <v>1750</v>
      </c>
      <c r="B1751">
        <v>43</v>
      </c>
      <c r="C1751" t="s">
        <v>19</v>
      </c>
      <c r="D1751" t="s">
        <v>104</v>
      </c>
      <c r="E1751" t="s">
        <v>21</v>
      </c>
      <c r="F1751" s="1">
        <v>70</v>
      </c>
      <c r="G1751" t="s">
        <v>52</v>
      </c>
      <c r="H1751" t="s">
        <v>23</v>
      </c>
      <c r="I1751" t="s">
        <v>71</v>
      </c>
      <c r="J1751" t="s">
        <v>58</v>
      </c>
      <c r="K1751" s="2">
        <v>3.2</v>
      </c>
      <c r="L1751" t="s">
        <v>152</v>
      </c>
      <c r="M1751" t="s">
        <v>27</v>
      </c>
      <c r="N1751" t="s">
        <v>72</v>
      </c>
      <c r="O1751" t="s">
        <v>152</v>
      </c>
      <c r="P1751" t="s">
        <v>152</v>
      </c>
      <c r="Q1751" s="3">
        <v>36</v>
      </c>
      <c r="R1751" t="s">
        <v>59</v>
      </c>
      <c r="S1751" t="s">
        <v>97</v>
      </c>
    </row>
    <row r="1752" spans="1:19" x14ac:dyDescent="0.25">
      <c r="A1752">
        <v>1751</v>
      </c>
      <c r="B1752">
        <v>31</v>
      </c>
      <c r="C1752" t="s">
        <v>19</v>
      </c>
      <c r="D1752" t="s">
        <v>89</v>
      </c>
      <c r="E1752" t="s">
        <v>69</v>
      </c>
      <c r="F1752" s="1">
        <v>85</v>
      </c>
      <c r="G1752" t="s">
        <v>70</v>
      </c>
      <c r="H1752" t="s">
        <v>45</v>
      </c>
      <c r="I1752" t="s">
        <v>53</v>
      </c>
      <c r="J1752" t="s">
        <v>58</v>
      </c>
      <c r="K1752" s="2">
        <v>3.1</v>
      </c>
      <c r="L1752" t="s">
        <v>152</v>
      </c>
      <c r="M1752" t="s">
        <v>27</v>
      </c>
      <c r="N1752" t="s">
        <v>28</v>
      </c>
      <c r="O1752" t="s">
        <v>152</v>
      </c>
      <c r="P1752" t="s">
        <v>152</v>
      </c>
      <c r="Q1752" s="3">
        <v>38</v>
      </c>
      <c r="R1752" t="s">
        <v>29</v>
      </c>
      <c r="S1752" t="s">
        <v>97</v>
      </c>
    </row>
    <row r="1753" spans="1:19" x14ac:dyDescent="0.25">
      <c r="A1753">
        <v>1752</v>
      </c>
      <c r="B1753">
        <v>57</v>
      </c>
      <c r="C1753" t="s">
        <v>19</v>
      </c>
      <c r="D1753" t="s">
        <v>31</v>
      </c>
      <c r="E1753" t="s">
        <v>21</v>
      </c>
      <c r="F1753" s="1">
        <v>40</v>
      </c>
      <c r="G1753" t="s">
        <v>123</v>
      </c>
      <c r="H1753" t="s">
        <v>45</v>
      </c>
      <c r="I1753" t="s">
        <v>67</v>
      </c>
      <c r="J1753" t="s">
        <v>25</v>
      </c>
      <c r="K1753" s="2">
        <v>3.2</v>
      </c>
      <c r="L1753" t="s">
        <v>152</v>
      </c>
      <c r="M1753" t="s">
        <v>46</v>
      </c>
      <c r="N1753" t="s">
        <v>72</v>
      </c>
      <c r="O1753" t="s">
        <v>152</v>
      </c>
      <c r="P1753" t="s">
        <v>152</v>
      </c>
      <c r="Q1753" s="3">
        <v>34</v>
      </c>
      <c r="R1753" t="s">
        <v>35</v>
      </c>
      <c r="S1753" t="s">
        <v>50</v>
      </c>
    </row>
    <row r="1754" spans="1:19" x14ac:dyDescent="0.25">
      <c r="A1754">
        <v>1753</v>
      </c>
      <c r="B1754">
        <v>34</v>
      </c>
      <c r="C1754" t="s">
        <v>19</v>
      </c>
      <c r="D1754" t="s">
        <v>137</v>
      </c>
      <c r="E1754" t="s">
        <v>43</v>
      </c>
      <c r="F1754" s="1">
        <v>29</v>
      </c>
      <c r="G1754" t="s">
        <v>147</v>
      </c>
      <c r="H1754" t="s">
        <v>23</v>
      </c>
      <c r="I1754" t="s">
        <v>144</v>
      </c>
      <c r="J1754" t="s">
        <v>25</v>
      </c>
      <c r="K1754" s="2">
        <v>3.3</v>
      </c>
      <c r="L1754" t="s">
        <v>152</v>
      </c>
      <c r="M1754" t="s">
        <v>59</v>
      </c>
      <c r="N1754" t="s">
        <v>76</v>
      </c>
      <c r="O1754" t="s">
        <v>152</v>
      </c>
      <c r="P1754" t="s">
        <v>152</v>
      </c>
      <c r="Q1754" s="3">
        <v>14</v>
      </c>
      <c r="R1754" t="s">
        <v>29</v>
      </c>
      <c r="S1754" t="s">
        <v>60</v>
      </c>
    </row>
    <row r="1755" spans="1:19" x14ac:dyDescent="0.25">
      <c r="A1755">
        <v>1754</v>
      </c>
      <c r="B1755">
        <v>25</v>
      </c>
      <c r="C1755" t="s">
        <v>19</v>
      </c>
      <c r="D1755" t="s">
        <v>87</v>
      </c>
      <c r="E1755" t="s">
        <v>21</v>
      </c>
      <c r="F1755" s="1">
        <v>27</v>
      </c>
      <c r="G1755" t="s">
        <v>112</v>
      </c>
      <c r="H1755" t="s">
        <v>23</v>
      </c>
      <c r="I1755" t="s">
        <v>94</v>
      </c>
      <c r="J1755" t="s">
        <v>58</v>
      </c>
      <c r="K1755" s="2">
        <v>4.8</v>
      </c>
      <c r="L1755" t="s">
        <v>152</v>
      </c>
      <c r="M1755" t="s">
        <v>29</v>
      </c>
      <c r="N1755" t="s">
        <v>47</v>
      </c>
      <c r="O1755" t="s">
        <v>152</v>
      </c>
      <c r="P1755" t="s">
        <v>152</v>
      </c>
      <c r="Q1755" s="3">
        <v>23</v>
      </c>
      <c r="R1755" t="s">
        <v>27</v>
      </c>
      <c r="S1755" t="s">
        <v>30</v>
      </c>
    </row>
    <row r="1756" spans="1:19" x14ac:dyDescent="0.25">
      <c r="A1756">
        <v>1755</v>
      </c>
      <c r="B1756">
        <v>66</v>
      </c>
      <c r="C1756" t="s">
        <v>19</v>
      </c>
      <c r="D1756" t="s">
        <v>82</v>
      </c>
      <c r="E1756" t="s">
        <v>21</v>
      </c>
      <c r="F1756" s="1">
        <v>93</v>
      </c>
      <c r="G1756" t="s">
        <v>37</v>
      </c>
      <c r="H1756" t="s">
        <v>38</v>
      </c>
      <c r="I1756" t="s">
        <v>118</v>
      </c>
      <c r="J1756" t="s">
        <v>58</v>
      </c>
      <c r="K1756" s="2">
        <v>3.8</v>
      </c>
      <c r="L1756" t="s">
        <v>152</v>
      </c>
      <c r="M1756" t="s">
        <v>59</v>
      </c>
      <c r="N1756" t="s">
        <v>72</v>
      </c>
      <c r="O1756" t="s">
        <v>152</v>
      </c>
      <c r="P1756" t="s">
        <v>152</v>
      </c>
      <c r="Q1756" s="3">
        <v>18</v>
      </c>
      <c r="R1756" t="s">
        <v>27</v>
      </c>
      <c r="S1756" t="s">
        <v>30</v>
      </c>
    </row>
    <row r="1757" spans="1:19" x14ac:dyDescent="0.25">
      <c r="A1757">
        <v>1756</v>
      </c>
      <c r="B1757">
        <v>56</v>
      </c>
      <c r="C1757" t="s">
        <v>19</v>
      </c>
      <c r="D1757" t="s">
        <v>133</v>
      </c>
      <c r="E1757" t="s">
        <v>69</v>
      </c>
      <c r="F1757" s="1">
        <v>20</v>
      </c>
      <c r="G1757" t="s">
        <v>80</v>
      </c>
      <c r="H1757" t="s">
        <v>92</v>
      </c>
      <c r="I1757" t="s">
        <v>63</v>
      </c>
      <c r="J1757" t="s">
        <v>39</v>
      </c>
      <c r="K1757" s="2">
        <v>4.5999999999999996</v>
      </c>
      <c r="L1757" t="s">
        <v>152</v>
      </c>
      <c r="M1757" t="s">
        <v>35</v>
      </c>
      <c r="N1757" t="s">
        <v>47</v>
      </c>
      <c r="O1757" t="s">
        <v>152</v>
      </c>
      <c r="P1757" t="s">
        <v>152</v>
      </c>
      <c r="Q1757" s="3">
        <v>45</v>
      </c>
      <c r="R1757" t="s">
        <v>35</v>
      </c>
      <c r="S1757" t="s">
        <v>88</v>
      </c>
    </row>
    <row r="1758" spans="1:19" x14ac:dyDescent="0.25">
      <c r="A1758">
        <v>1757</v>
      </c>
      <c r="B1758">
        <v>49</v>
      </c>
      <c r="C1758" t="s">
        <v>19</v>
      </c>
      <c r="D1758" t="s">
        <v>106</v>
      </c>
      <c r="E1758" t="s">
        <v>69</v>
      </c>
      <c r="F1758" s="1">
        <v>55</v>
      </c>
      <c r="G1758" t="s">
        <v>83</v>
      </c>
      <c r="H1758" t="s">
        <v>38</v>
      </c>
      <c r="I1758" t="s">
        <v>109</v>
      </c>
      <c r="J1758" t="s">
        <v>58</v>
      </c>
      <c r="K1758" s="2">
        <v>2.8</v>
      </c>
      <c r="L1758" t="s">
        <v>152</v>
      </c>
      <c r="M1758" t="s">
        <v>46</v>
      </c>
      <c r="N1758" t="s">
        <v>40</v>
      </c>
      <c r="O1758" t="s">
        <v>152</v>
      </c>
      <c r="P1758" t="s">
        <v>152</v>
      </c>
      <c r="Q1758" s="3">
        <v>14</v>
      </c>
      <c r="R1758" t="s">
        <v>34</v>
      </c>
      <c r="S1758" t="s">
        <v>41</v>
      </c>
    </row>
    <row r="1759" spans="1:19" x14ac:dyDescent="0.25">
      <c r="A1759">
        <v>1758</v>
      </c>
      <c r="B1759">
        <v>19</v>
      </c>
      <c r="C1759" t="s">
        <v>19</v>
      </c>
      <c r="D1759" t="s">
        <v>82</v>
      </c>
      <c r="E1759" t="s">
        <v>21</v>
      </c>
      <c r="F1759" s="1">
        <v>94</v>
      </c>
      <c r="G1759" t="s">
        <v>151</v>
      </c>
      <c r="H1759" t="s">
        <v>23</v>
      </c>
      <c r="I1759" t="s">
        <v>134</v>
      </c>
      <c r="J1759" t="s">
        <v>58</v>
      </c>
      <c r="K1759" s="2">
        <v>3.6</v>
      </c>
      <c r="L1759" t="s">
        <v>152</v>
      </c>
      <c r="M1759" t="s">
        <v>34</v>
      </c>
      <c r="N1759" t="s">
        <v>55</v>
      </c>
      <c r="O1759" t="s">
        <v>152</v>
      </c>
      <c r="P1759" t="s">
        <v>152</v>
      </c>
      <c r="Q1759" s="3">
        <v>48</v>
      </c>
      <c r="R1759" t="s">
        <v>59</v>
      </c>
      <c r="S1759" t="s">
        <v>50</v>
      </c>
    </row>
    <row r="1760" spans="1:19" x14ac:dyDescent="0.25">
      <c r="A1760">
        <v>1759</v>
      </c>
      <c r="B1760">
        <v>27</v>
      </c>
      <c r="C1760" t="s">
        <v>19</v>
      </c>
      <c r="D1760" t="s">
        <v>124</v>
      </c>
      <c r="E1760" t="s">
        <v>69</v>
      </c>
      <c r="F1760" s="1">
        <v>56</v>
      </c>
      <c r="G1760" t="s">
        <v>138</v>
      </c>
      <c r="H1760" t="s">
        <v>45</v>
      </c>
      <c r="I1760" t="s">
        <v>67</v>
      </c>
      <c r="J1760" t="s">
        <v>25</v>
      </c>
      <c r="K1760" s="2">
        <v>4.3</v>
      </c>
      <c r="L1760" t="s">
        <v>152</v>
      </c>
      <c r="M1760" t="s">
        <v>59</v>
      </c>
      <c r="N1760" t="s">
        <v>40</v>
      </c>
      <c r="O1760" t="s">
        <v>152</v>
      </c>
      <c r="P1760" t="s">
        <v>152</v>
      </c>
      <c r="Q1760" s="3">
        <v>17</v>
      </c>
      <c r="R1760" t="s">
        <v>29</v>
      </c>
      <c r="S1760" t="s">
        <v>77</v>
      </c>
    </row>
    <row r="1761" spans="1:19" x14ac:dyDescent="0.25">
      <c r="A1761">
        <v>1760</v>
      </c>
      <c r="B1761">
        <v>68</v>
      </c>
      <c r="C1761" t="s">
        <v>19</v>
      </c>
      <c r="D1761" t="s">
        <v>31</v>
      </c>
      <c r="E1761" t="s">
        <v>21</v>
      </c>
      <c r="F1761" s="1">
        <v>58</v>
      </c>
      <c r="G1761" t="s">
        <v>62</v>
      </c>
      <c r="H1761" t="s">
        <v>23</v>
      </c>
      <c r="I1761" t="s">
        <v>96</v>
      </c>
      <c r="J1761" t="s">
        <v>39</v>
      </c>
      <c r="K1761" s="2">
        <v>4</v>
      </c>
      <c r="L1761" t="s">
        <v>152</v>
      </c>
      <c r="M1761" t="s">
        <v>29</v>
      </c>
      <c r="N1761" t="s">
        <v>47</v>
      </c>
      <c r="O1761" t="s">
        <v>152</v>
      </c>
      <c r="P1761" t="s">
        <v>152</v>
      </c>
      <c r="Q1761" s="3">
        <v>1</v>
      </c>
      <c r="R1761" t="s">
        <v>46</v>
      </c>
      <c r="S1761" t="s">
        <v>41</v>
      </c>
    </row>
    <row r="1762" spans="1:19" x14ac:dyDescent="0.25">
      <c r="A1762">
        <v>1761</v>
      </c>
      <c r="B1762">
        <v>20</v>
      </c>
      <c r="C1762" t="s">
        <v>19</v>
      </c>
      <c r="D1762" t="s">
        <v>87</v>
      </c>
      <c r="E1762" t="s">
        <v>21</v>
      </c>
      <c r="F1762" s="1">
        <v>44</v>
      </c>
      <c r="G1762" t="s">
        <v>148</v>
      </c>
      <c r="H1762" t="s">
        <v>92</v>
      </c>
      <c r="I1762" t="s">
        <v>100</v>
      </c>
      <c r="J1762" t="s">
        <v>39</v>
      </c>
      <c r="K1762" s="2">
        <v>3.5</v>
      </c>
      <c r="L1762" t="s">
        <v>152</v>
      </c>
      <c r="M1762" t="s">
        <v>27</v>
      </c>
      <c r="N1762" t="s">
        <v>55</v>
      </c>
      <c r="O1762" t="s">
        <v>152</v>
      </c>
      <c r="P1762" t="s">
        <v>152</v>
      </c>
      <c r="Q1762" s="3">
        <v>39</v>
      </c>
      <c r="R1762" t="s">
        <v>46</v>
      </c>
      <c r="S1762" t="s">
        <v>41</v>
      </c>
    </row>
    <row r="1763" spans="1:19" x14ac:dyDescent="0.25">
      <c r="A1763">
        <v>1762</v>
      </c>
      <c r="B1763">
        <v>21</v>
      </c>
      <c r="C1763" t="s">
        <v>19</v>
      </c>
      <c r="D1763" t="s">
        <v>104</v>
      </c>
      <c r="E1763" t="s">
        <v>21</v>
      </c>
      <c r="F1763" s="1">
        <v>95</v>
      </c>
      <c r="G1763" t="s">
        <v>78</v>
      </c>
      <c r="H1763" t="s">
        <v>38</v>
      </c>
      <c r="I1763" t="s">
        <v>96</v>
      </c>
      <c r="J1763" t="s">
        <v>58</v>
      </c>
      <c r="K1763" s="2">
        <v>4.9000000000000004</v>
      </c>
      <c r="L1763" t="s">
        <v>152</v>
      </c>
      <c r="M1763" t="s">
        <v>46</v>
      </c>
      <c r="N1763" t="s">
        <v>72</v>
      </c>
      <c r="O1763" t="s">
        <v>152</v>
      </c>
      <c r="P1763" t="s">
        <v>152</v>
      </c>
      <c r="Q1763" s="3">
        <v>24</v>
      </c>
      <c r="R1763" t="s">
        <v>35</v>
      </c>
      <c r="S1763" t="s">
        <v>41</v>
      </c>
    </row>
    <row r="1764" spans="1:19" x14ac:dyDescent="0.25">
      <c r="A1764">
        <v>1763</v>
      </c>
      <c r="B1764">
        <v>36</v>
      </c>
      <c r="C1764" t="s">
        <v>19</v>
      </c>
      <c r="D1764" t="s">
        <v>42</v>
      </c>
      <c r="E1764" t="s">
        <v>43</v>
      </c>
      <c r="F1764" s="1">
        <v>42</v>
      </c>
      <c r="G1764" t="s">
        <v>135</v>
      </c>
      <c r="H1764" t="s">
        <v>45</v>
      </c>
      <c r="I1764" t="s">
        <v>110</v>
      </c>
      <c r="J1764" t="s">
        <v>54</v>
      </c>
      <c r="K1764" s="2">
        <v>3.1</v>
      </c>
      <c r="L1764" t="s">
        <v>152</v>
      </c>
      <c r="M1764" t="s">
        <v>27</v>
      </c>
      <c r="N1764" t="s">
        <v>28</v>
      </c>
      <c r="O1764" t="s">
        <v>152</v>
      </c>
      <c r="P1764" t="s">
        <v>152</v>
      </c>
      <c r="Q1764" s="3">
        <v>41</v>
      </c>
      <c r="R1764" t="s">
        <v>34</v>
      </c>
      <c r="S1764" t="s">
        <v>30</v>
      </c>
    </row>
    <row r="1765" spans="1:19" x14ac:dyDescent="0.25">
      <c r="A1765">
        <v>1764</v>
      </c>
      <c r="B1765">
        <v>37</v>
      </c>
      <c r="C1765" t="s">
        <v>19</v>
      </c>
      <c r="D1765" t="s">
        <v>106</v>
      </c>
      <c r="E1765" t="s">
        <v>69</v>
      </c>
      <c r="F1765" s="1">
        <v>93</v>
      </c>
      <c r="G1765" t="s">
        <v>129</v>
      </c>
      <c r="H1765" t="s">
        <v>45</v>
      </c>
      <c r="I1765" t="s">
        <v>93</v>
      </c>
      <c r="J1765" t="s">
        <v>25</v>
      </c>
      <c r="K1765" s="2">
        <v>3.9</v>
      </c>
      <c r="L1765" t="s">
        <v>152</v>
      </c>
      <c r="M1765" t="s">
        <v>29</v>
      </c>
      <c r="N1765" t="s">
        <v>76</v>
      </c>
      <c r="O1765" t="s">
        <v>152</v>
      </c>
      <c r="P1765" t="s">
        <v>152</v>
      </c>
      <c r="Q1765" s="3">
        <v>28</v>
      </c>
      <c r="R1765" t="s">
        <v>46</v>
      </c>
      <c r="S1765" t="s">
        <v>50</v>
      </c>
    </row>
    <row r="1766" spans="1:19" x14ac:dyDescent="0.25">
      <c r="A1766">
        <v>1765</v>
      </c>
      <c r="B1766">
        <v>61</v>
      </c>
      <c r="C1766" t="s">
        <v>19</v>
      </c>
      <c r="D1766" t="s">
        <v>82</v>
      </c>
      <c r="E1766" t="s">
        <v>21</v>
      </c>
      <c r="F1766" s="1">
        <v>56</v>
      </c>
      <c r="G1766" t="s">
        <v>80</v>
      </c>
      <c r="H1766" t="s">
        <v>45</v>
      </c>
      <c r="I1766" t="s">
        <v>63</v>
      </c>
      <c r="J1766" t="s">
        <v>54</v>
      </c>
      <c r="K1766" s="2">
        <v>3</v>
      </c>
      <c r="L1766" t="s">
        <v>152</v>
      </c>
      <c r="M1766" t="s">
        <v>46</v>
      </c>
      <c r="N1766" t="s">
        <v>76</v>
      </c>
      <c r="O1766" t="s">
        <v>152</v>
      </c>
      <c r="P1766" t="s">
        <v>152</v>
      </c>
      <c r="Q1766" s="3">
        <v>34</v>
      </c>
      <c r="R1766" t="s">
        <v>29</v>
      </c>
      <c r="S1766" t="s">
        <v>60</v>
      </c>
    </row>
    <row r="1767" spans="1:19" x14ac:dyDescent="0.25">
      <c r="A1767">
        <v>1766</v>
      </c>
      <c r="B1767">
        <v>68</v>
      </c>
      <c r="C1767" t="s">
        <v>19</v>
      </c>
      <c r="D1767" t="s">
        <v>104</v>
      </c>
      <c r="E1767" t="s">
        <v>21</v>
      </c>
      <c r="F1767" s="1">
        <v>88</v>
      </c>
      <c r="G1767" t="s">
        <v>130</v>
      </c>
      <c r="H1767" t="s">
        <v>45</v>
      </c>
      <c r="I1767" t="s">
        <v>121</v>
      </c>
      <c r="J1767" t="s">
        <v>39</v>
      </c>
      <c r="K1767" s="2">
        <v>4.0999999999999996</v>
      </c>
      <c r="L1767" t="s">
        <v>152</v>
      </c>
      <c r="M1767" t="s">
        <v>34</v>
      </c>
      <c r="N1767" t="s">
        <v>72</v>
      </c>
      <c r="O1767" t="s">
        <v>152</v>
      </c>
      <c r="P1767" t="s">
        <v>152</v>
      </c>
      <c r="Q1767" s="3">
        <v>41</v>
      </c>
      <c r="R1767" t="s">
        <v>29</v>
      </c>
      <c r="S1767" t="s">
        <v>60</v>
      </c>
    </row>
    <row r="1768" spans="1:19" x14ac:dyDescent="0.25">
      <c r="A1768">
        <v>1767</v>
      </c>
      <c r="B1768">
        <v>60</v>
      </c>
      <c r="C1768" t="s">
        <v>19</v>
      </c>
      <c r="D1768" t="s">
        <v>31</v>
      </c>
      <c r="E1768" t="s">
        <v>21</v>
      </c>
      <c r="F1768" s="1">
        <v>54</v>
      </c>
      <c r="G1768" t="s">
        <v>120</v>
      </c>
      <c r="H1768" t="s">
        <v>38</v>
      </c>
      <c r="I1768" t="s">
        <v>109</v>
      </c>
      <c r="J1768" t="s">
        <v>25</v>
      </c>
      <c r="K1768" s="2">
        <v>4.3</v>
      </c>
      <c r="L1768" t="s">
        <v>152</v>
      </c>
      <c r="M1768" t="s">
        <v>29</v>
      </c>
      <c r="N1768" t="s">
        <v>72</v>
      </c>
      <c r="O1768" t="s">
        <v>152</v>
      </c>
      <c r="P1768" t="s">
        <v>152</v>
      </c>
      <c r="Q1768" s="3">
        <v>27</v>
      </c>
      <c r="R1768" t="s">
        <v>35</v>
      </c>
      <c r="S1768" t="s">
        <v>77</v>
      </c>
    </row>
    <row r="1769" spans="1:19" x14ac:dyDescent="0.25">
      <c r="A1769">
        <v>1768</v>
      </c>
      <c r="B1769">
        <v>69</v>
      </c>
      <c r="C1769" t="s">
        <v>19</v>
      </c>
      <c r="D1769" t="s">
        <v>106</v>
      </c>
      <c r="E1769" t="s">
        <v>69</v>
      </c>
      <c r="F1769" s="1">
        <v>89</v>
      </c>
      <c r="G1769" t="s">
        <v>148</v>
      </c>
      <c r="H1769" t="s">
        <v>23</v>
      </c>
      <c r="I1769" t="s">
        <v>93</v>
      </c>
      <c r="J1769" t="s">
        <v>58</v>
      </c>
      <c r="K1769" s="2">
        <v>3.8</v>
      </c>
      <c r="L1769" t="s">
        <v>152</v>
      </c>
      <c r="M1769" t="s">
        <v>46</v>
      </c>
      <c r="N1769" t="s">
        <v>72</v>
      </c>
      <c r="O1769" t="s">
        <v>152</v>
      </c>
      <c r="P1769" t="s">
        <v>152</v>
      </c>
      <c r="Q1769" s="3">
        <v>46</v>
      </c>
      <c r="R1769" t="s">
        <v>59</v>
      </c>
      <c r="S1769" t="s">
        <v>30</v>
      </c>
    </row>
    <row r="1770" spans="1:19" x14ac:dyDescent="0.25">
      <c r="A1770">
        <v>1769</v>
      </c>
      <c r="B1770">
        <v>25</v>
      </c>
      <c r="C1770" t="s">
        <v>19</v>
      </c>
      <c r="D1770" t="s">
        <v>42</v>
      </c>
      <c r="E1770" t="s">
        <v>43</v>
      </c>
      <c r="F1770" s="1">
        <v>45</v>
      </c>
      <c r="G1770" t="s">
        <v>145</v>
      </c>
      <c r="H1770" t="s">
        <v>45</v>
      </c>
      <c r="I1770" t="s">
        <v>126</v>
      </c>
      <c r="J1770" t="s">
        <v>54</v>
      </c>
      <c r="K1770" s="2">
        <v>3.9</v>
      </c>
      <c r="L1770" t="s">
        <v>152</v>
      </c>
      <c r="M1770" t="s">
        <v>29</v>
      </c>
      <c r="N1770" t="s">
        <v>72</v>
      </c>
      <c r="O1770" t="s">
        <v>152</v>
      </c>
      <c r="P1770" t="s">
        <v>152</v>
      </c>
      <c r="Q1770" s="3">
        <v>2</v>
      </c>
      <c r="R1770" t="s">
        <v>46</v>
      </c>
      <c r="S1770" t="s">
        <v>97</v>
      </c>
    </row>
    <row r="1771" spans="1:19" x14ac:dyDescent="0.25">
      <c r="A1771">
        <v>1770</v>
      </c>
      <c r="B1771">
        <v>32</v>
      </c>
      <c r="C1771" t="s">
        <v>19</v>
      </c>
      <c r="D1771" t="s">
        <v>125</v>
      </c>
      <c r="E1771" t="s">
        <v>21</v>
      </c>
      <c r="F1771" s="1">
        <v>75</v>
      </c>
      <c r="G1771" t="s">
        <v>120</v>
      </c>
      <c r="H1771" t="s">
        <v>23</v>
      </c>
      <c r="I1771" t="s">
        <v>110</v>
      </c>
      <c r="J1771" t="s">
        <v>25</v>
      </c>
      <c r="K1771" s="2">
        <v>4.3</v>
      </c>
      <c r="L1771" t="s">
        <v>152</v>
      </c>
      <c r="M1771" t="s">
        <v>27</v>
      </c>
      <c r="N1771" t="s">
        <v>40</v>
      </c>
      <c r="O1771" t="s">
        <v>152</v>
      </c>
      <c r="P1771" t="s">
        <v>152</v>
      </c>
      <c r="Q1771" s="3">
        <v>45</v>
      </c>
      <c r="R1771" t="s">
        <v>35</v>
      </c>
      <c r="S1771" t="s">
        <v>88</v>
      </c>
    </row>
    <row r="1772" spans="1:19" x14ac:dyDescent="0.25">
      <c r="A1772">
        <v>1771</v>
      </c>
      <c r="B1772">
        <v>53</v>
      </c>
      <c r="C1772" t="s">
        <v>19</v>
      </c>
      <c r="D1772" t="s">
        <v>132</v>
      </c>
      <c r="E1772" t="s">
        <v>69</v>
      </c>
      <c r="F1772" s="1">
        <v>22</v>
      </c>
      <c r="G1772" t="s">
        <v>151</v>
      </c>
      <c r="H1772" t="s">
        <v>45</v>
      </c>
      <c r="I1772" t="s">
        <v>71</v>
      </c>
      <c r="J1772" t="s">
        <v>58</v>
      </c>
      <c r="K1772" s="2">
        <v>4.3</v>
      </c>
      <c r="L1772" t="s">
        <v>152</v>
      </c>
      <c r="M1772" t="s">
        <v>27</v>
      </c>
      <c r="N1772" t="s">
        <v>28</v>
      </c>
      <c r="O1772" t="s">
        <v>152</v>
      </c>
      <c r="P1772" t="s">
        <v>152</v>
      </c>
      <c r="Q1772" s="3">
        <v>34</v>
      </c>
      <c r="R1772" t="s">
        <v>34</v>
      </c>
      <c r="S1772" t="s">
        <v>41</v>
      </c>
    </row>
    <row r="1773" spans="1:19" x14ac:dyDescent="0.25">
      <c r="A1773">
        <v>1772</v>
      </c>
      <c r="B1773">
        <v>46</v>
      </c>
      <c r="C1773" t="s">
        <v>19</v>
      </c>
      <c r="D1773" t="s">
        <v>56</v>
      </c>
      <c r="E1773" t="s">
        <v>21</v>
      </c>
      <c r="F1773" s="1">
        <v>82</v>
      </c>
      <c r="G1773" t="s">
        <v>116</v>
      </c>
      <c r="H1773" t="s">
        <v>92</v>
      </c>
      <c r="I1773" t="s">
        <v>49</v>
      </c>
      <c r="J1773" t="s">
        <v>58</v>
      </c>
      <c r="K1773" s="2">
        <v>4.7</v>
      </c>
      <c r="L1773" t="s">
        <v>152</v>
      </c>
      <c r="M1773" t="s">
        <v>27</v>
      </c>
      <c r="N1773" t="s">
        <v>76</v>
      </c>
      <c r="O1773" t="s">
        <v>152</v>
      </c>
      <c r="P1773" t="s">
        <v>152</v>
      </c>
      <c r="Q1773" s="3">
        <v>9</v>
      </c>
      <c r="R1773" t="s">
        <v>27</v>
      </c>
      <c r="S1773" t="s">
        <v>50</v>
      </c>
    </row>
    <row r="1774" spans="1:19" x14ac:dyDescent="0.25">
      <c r="A1774">
        <v>1773</v>
      </c>
      <c r="B1774">
        <v>58</v>
      </c>
      <c r="C1774" t="s">
        <v>19</v>
      </c>
      <c r="D1774" t="s">
        <v>73</v>
      </c>
      <c r="E1774" t="s">
        <v>43</v>
      </c>
      <c r="F1774" s="1">
        <v>34</v>
      </c>
      <c r="G1774" t="s">
        <v>78</v>
      </c>
      <c r="H1774" t="s">
        <v>45</v>
      </c>
      <c r="I1774" t="s">
        <v>81</v>
      </c>
      <c r="J1774" t="s">
        <v>54</v>
      </c>
      <c r="K1774" s="2">
        <v>3.1</v>
      </c>
      <c r="L1774" t="s">
        <v>152</v>
      </c>
      <c r="M1774" t="s">
        <v>46</v>
      </c>
      <c r="N1774" t="s">
        <v>72</v>
      </c>
      <c r="O1774" t="s">
        <v>152</v>
      </c>
      <c r="P1774" t="s">
        <v>152</v>
      </c>
      <c r="Q1774" s="3">
        <v>1</v>
      </c>
      <c r="R1774" t="s">
        <v>34</v>
      </c>
      <c r="S1774" t="s">
        <v>50</v>
      </c>
    </row>
    <row r="1775" spans="1:19" x14ac:dyDescent="0.25">
      <c r="A1775">
        <v>1774</v>
      </c>
      <c r="B1775">
        <v>21</v>
      </c>
      <c r="C1775" t="s">
        <v>19</v>
      </c>
      <c r="D1775" t="s">
        <v>64</v>
      </c>
      <c r="E1775" t="s">
        <v>65</v>
      </c>
      <c r="F1775" s="1">
        <v>92</v>
      </c>
      <c r="G1775" t="s">
        <v>66</v>
      </c>
      <c r="H1775" t="s">
        <v>45</v>
      </c>
      <c r="I1775" t="s">
        <v>144</v>
      </c>
      <c r="J1775" t="s">
        <v>54</v>
      </c>
      <c r="K1775" s="2">
        <v>2.7</v>
      </c>
      <c r="L1775" t="s">
        <v>152</v>
      </c>
      <c r="M1775" t="s">
        <v>35</v>
      </c>
      <c r="N1775" t="s">
        <v>40</v>
      </c>
      <c r="O1775" t="s">
        <v>152</v>
      </c>
      <c r="P1775" t="s">
        <v>152</v>
      </c>
      <c r="Q1775" s="3">
        <v>17</v>
      </c>
      <c r="R1775" t="s">
        <v>46</v>
      </c>
      <c r="S1775" t="s">
        <v>50</v>
      </c>
    </row>
    <row r="1776" spans="1:19" x14ac:dyDescent="0.25">
      <c r="A1776">
        <v>1775</v>
      </c>
      <c r="B1776">
        <v>46</v>
      </c>
      <c r="C1776" t="s">
        <v>19</v>
      </c>
      <c r="D1776" t="s">
        <v>31</v>
      </c>
      <c r="E1776" t="s">
        <v>21</v>
      </c>
      <c r="F1776" s="1">
        <v>78</v>
      </c>
      <c r="G1776" t="s">
        <v>85</v>
      </c>
      <c r="H1776" t="s">
        <v>45</v>
      </c>
      <c r="I1776" t="s">
        <v>93</v>
      </c>
      <c r="J1776" t="s">
        <v>39</v>
      </c>
      <c r="K1776" s="2">
        <v>3.7</v>
      </c>
      <c r="L1776" t="s">
        <v>152</v>
      </c>
      <c r="M1776" t="s">
        <v>34</v>
      </c>
      <c r="N1776" t="s">
        <v>28</v>
      </c>
      <c r="O1776" t="s">
        <v>152</v>
      </c>
      <c r="P1776" t="s">
        <v>152</v>
      </c>
      <c r="Q1776" s="3">
        <v>6</v>
      </c>
      <c r="R1776" t="s">
        <v>46</v>
      </c>
      <c r="S1776" t="s">
        <v>41</v>
      </c>
    </row>
    <row r="1777" spans="1:19" x14ac:dyDescent="0.25">
      <c r="A1777">
        <v>1776</v>
      </c>
      <c r="B1777">
        <v>18</v>
      </c>
      <c r="C1777" t="s">
        <v>19</v>
      </c>
      <c r="D1777" t="s">
        <v>102</v>
      </c>
      <c r="E1777" t="s">
        <v>65</v>
      </c>
      <c r="F1777" s="1">
        <v>47</v>
      </c>
      <c r="G1777" t="s">
        <v>146</v>
      </c>
      <c r="H1777" t="s">
        <v>45</v>
      </c>
      <c r="I1777" t="s">
        <v>84</v>
      </c>
      <c r="J1777" t="s">
        <v>39</v>
      </c>
      <c r="K1777" s="2">
        <v>3.3</v>
      </c>
      <c r="L1777" t="s">
        <v>152</v>
      </c>
      <c r="M1777" t="s">
        <v>34</v>
      </c>
      <c r="N1777" t="s">
        <v>72</v>
      </c>
      <c r="O1777" t="s">
        <v>152</v>
      </c>
      <c r="P1777" t="s">
        <v>152</v>
      </c>
      <c r="Q1777" s="3">
        <v>12</v>
      </c>
      <c r="R1777" t="s">
        <v>35</v>
      </c>
      <c r="S1777" t="s">
        <v>77</v>
      </c>
    </row>
    <row r="1778" spans="1:19" x14ac:dyDescent="0.25">
      <c r="A1778">
        <v>1777</v>
      </c>
      <c r="B1778">
        <v>56</v>
      </c>
      <c r="C1778" t="s">
        <v>19</v>
      </c>
      <c r="D1778" t="s">
        <v>102</v>
      </c>
      <c r="E1778" t="s">
        <v>65</v>
      </c>
      <c r="F1778" s="1">
        <v>64</v>
      </c>
      <c r="G1778" t="s">
        <v>117</v>
      </c>
      <c r="H1778" t="s">
        <v>23</v>
      </c>
      <c r="I1778" t="s">
        <v>109</v>
      </c>
      <c r="J1778" t="s">
        <v>54</v>
      </c>
      <c r="K1778" s="2">
        <v>3.4</v>
      </c>
      <c r="L1778" t="s">
        <v>152</v>
      </c>
      <c r="M1778" t="s">
        <v>34</v>
      </c>
      <c r="N1778" t="s">
        <v>40</v>
      </c>
      <c r="O1778" t="s">
        <v>152</v>
      </c>
      <c r="P1778" t="s">
        <v>152</v>
      </c>
      <c r="Q1778" s="3">
        <v>10</v>
      </c>
      <c r="R1778" t="s">
        <v>29</v>
      </c>
      <c r="S1778" t="s">
        <v>97</v>
      </c>
    </row>
    <row r="1779" spans="1:19" x14ac:dyDescent="0.25">
      <c r="A1779">
        <v>1778</v>
      </c>
      <c r="B1779">
        <v>18</v>
      </c>
      <c r="C1779" t="s">
        <v>19</v>
      </c>
      <c r="D1779" t="s">
        <v>51</v>
      </c>
      <c r="E1779" t="s">
        <v>43</v>
      </c>
      <c r="F1779" s="1">
        <v>44</v>
      </c>
      <c r="G1779" t="s">
        <v>148</v>
      </c>
      <c r="H1779" t="s">
        <v>23</v>
      </c>
      <c r="I1779" t="s">
        <v>75</v>
      </c>
      <c r="J1779" t="s">
        <v>25</v>
      </c>
      <c r="K1779" s="2">
        <v>4.7</v>
      </c>
      <c r="L1779" t="s">
        <v>152</v>
      </c>
      <c r="M1779" t="s">
        <v>35</v>
      </c>
      <c r="N1779" t="s">
        <v>40</v>
      </c>
      <c r="O1779" t="s">
        <v>152</v>
      </c>
      <c r="P1779" t="s">
        <v>152</v>
      </c>
      <c r="Q1779" s="3">
        <v>4</v>
      </c>
      <c r="R1779" t="s">
        <v>35</v>
      </c>
      <c r="S1779" t="s">
        <v>30</v>
      </c>
    </row>
    <row r="1780" spans="1:19" x14ac:dyDescent="0.25">
      <c r="A1780">
        <v>1779</v>
      </c>
      <c r="B1780">
        <v>49</v>
      </c>
      <c r="C1780" t="s">
        <v>19</v>
      </c>
      <c r="D1780" t="s">
        <v>133</v>
      </c>
      <c r="E1780" t="s">
        <v>69</v>
      </c>
      <c r="F1780" s="1">
        <v>94</v>
      </c>
      <c r="G1780" t="s">
        <v>105</v>
      </c>
      <c r="H1780" t="s">
        <v>45</v>
      </c>
      <c r="I1780" t="s">
        <v>108</v>
      </c>
      <c r="J1780" t="s">
        <v>25</v>
      </c>
      <c r="K1780" s="2">
        <v>4.9000000000000004</v>
      </c>
      <c r="L1780" t="s">
        <v>152</v>
      </c>
      <c r="M1780" t="s">
        <v>59</v>
      </c>
      <c r="N1780" t="s">
        <v>76</v>
      </c>
      <c r="O1780" t="s">
        <v>152</v>
      </c>
      <c r="P1780" t="s">
        <v>152</v>
      </c>
      <c r="Q1780" s="3">
        <v>8</v>
      </c>
      <c r="R1780" t="s">
        <v>59</v>
      </c>
      <c r="S1780" t="s">
        <v>77</v>
      </c>
    </row>
    <row r="1781" spans="1:19" x14ac:dyDescent="0.25">
      <c r="A1781">
        <v>1780</v>
      </c>
      <c r="B1781">
        <v>29</v>
      </c>
      <c r="C1781" t="s">
        <v>19</v>
      </c>
      <c r="D1781" t="s">
        <v>119</v>
      </c>
      <c r="E1781" t="s">
        <v>69</v>
      </c>
      <c r="F1781" s="1">
        <v>62</v>
      </c>
      <c r="G1781" t="s">
        <v>141</v>
      </c>
      <c r="H1781" t="s">
        <v>45</v>
      </c>
      <c r="I1781" t="s">
        <v>63</v>
      </c>
      <c r="J1781" t="s">
        <v>25</v>
      </c>
      <c r="K1781" s="2">
        <v>4.3</v>
      </c>
      <c r="L1781" t="s">
        <v>152</v>
      </c>
      <c r="M1781" t="s">
        <v>34</v>
      </c>
      <c r="N1781" t="s">
        <v>40</v>
      </c>
      <c r="O1781" t="s">
        <v>152</v>
      </c>
      <c r="P1781" t="s">
        <v>152</v>
      </c>
      <c r="Q1781" s="3">
        <v>41</v>
      </c>
      <c r="R1781" t="s">
        <v>29</v>
      </c>
      <c r="S1781" t="s">
        <v>41</v>
      </c>
    </row>
    <row r="1782" spans="1:19" x14ac:dyDescent="0.25">
      <c r="A1782">
        <v>1781</v>
      </c>
      <c r="B1782">
        <v>67</v>
      </c>
      <c r="C1782" t="s">
        <v>19</v>
      </c>
      <c r="D1782" t="s">
        <v>106</v>
      </c>
      <c r="E1782" t="s">
        <v>69</v>
      </c>
      <c r="F1782" s="1">
        <v>81</v>
      </c>
      <c r="G1782" t="s">
        <v>114</v>
      </c>
      <c r="H1782" t="s">
        <v>38</v>
      </c>
      <c r="I1782" t="s">
        <v>24</v>
      </c>
      <c r="J1782" t="s">
        <v>54</v>
      </c>
      <c r="K1782" s="2">
        <v>4.2</v>
      </c>
      <c r="L1782" t="s">
        <v>152</v>
      </c>
      <c r="M1782" t="s">
        <v>35</v>
      </c>
      <c r="N1782" t="s">
        <v>47</v>
      </c>
      <c r="O1782" t="s">
        <v>152</v>
      </c>
      <c r="P1782" t="s">
        <v>152</v>
      </c>
      <c r="Q1782" s="3">
        <v>49</v>
      </c>
      <c r="R1782" t="s">
        <v>27</v>
      </c>
      <c r="S1782" t="s">
        <v>41</v>
      </c>
    </row>
    <row r="1783" spans="1:19" x14ac:dyDescent="0.25">
      <c r="A1783">
        <v>1782</v>
      </c>
      <c r="B1783">
        <v>31</v>
      </c>
      <c r="C1783" t="s">
        <v>19</v>
      </c>
      <c r="D1783" t="s">
        <v>113</v>
      </c>
      <c r="E1783" t="s">
        <v>21</v>
      </c>
      <c r="F1783" s="1">
        <v>33</v>
      </c>
      <c r="G1783" t="s">
        <v>146</v>
      </c>
      <c r="H1783" t="s">
        <v>45</v>
      </c>
      <c r="I1783" t="s">
        <v>71</v>
      </c>
      <c r="J1783" t="s">
        <v>58</v>
      </c>
      <c r="K1783" s="2">
        <v>3.7</v>
      </c>
      <c r="L1783" t="s">
        <v>152</v>
      </c>
      <c r="M1783" t="s">
        <v>46</v>
      </c>
      <c r="N1783" t="s">
        <v>28</v>
      </c>
      <c r="O1783" t="s">
        <v>152</v>
      </c>
      <c r="P1783" t="s">
        <v>152</v>
      </c>
      <c r="Q1783" s="3">
        <v>49</v>
      </c>
      <c r="R1783" t="s">
        <v>34</v>
      </c>
      <c r="S1783" t="s">
        <v>60</v>
      </c>
    </row>
    <row r="1784" spans="1:19" x14ac:dyDescent="0.25">
      <c r="A1784">
        <v>1783</v>
      </c>
      <c r="B1784">
        <v>52</v>
      </c>
      <c r="C1784" t="s">
        <v>19</v>
      </c>
      <c r="D1784" t="s">
        <v>95</v>
      </c>
      <c r="E1784" t="s">
        <v>21</v>
      </c>
      <c r="F1784" s="1">
        <v>88</v>
      </c>
      <c r="G1784" t="s">
        <v>140</v>
      </c>
      <c r="H1784" t="s">
        <v>45</v>
      </c>
      <c r="I1784" t="s">
        <v>93</v>
      </c>
      <c r="J1784" t="s">
        <v>58</v>
      </c>
      <c r="K1784" s="2">
        <v>2.7</v>
      </c>
      <c r="L1784" t="s">
        <v>152</v>
      </c>
      <c r="M1784" t="s">
        <v>27</v>
      </c>
      <c r="N1784" t="s">
        <v>47</v>
      </c>
      <c r="O1784" t="s">
        <v>152</v>
      </c>
      <c r="P1784" t="s">
        <v>152</v>
      </c>
      <c r="Q1784" s="3">
        <v>40</v>
      </c>
      <c r="R1784" t="s">
        <v>34</v>
      </c>
      <c r="S1784" t="s">
        <v>30</v>
      </c>
    </row>
    <row r="1785" spans="1:19" x14ac:dyDescent="0.25">
      <c r="A1785">
        <v>1784</v>
      </c>
      <c r="B1785">
        <v>42</v>
      </c>
      <c r="C1785" t="s">
        <v>19</v>
      </c>
      <c r="D1785" t="s">
        <v>68</v>
      </c>
      <c r="E1785" t="s">
        <v>69</v>
      </c>
      <c r="F1785" s="1">
        <v>49</v>
      </c>
      <c r="G1785" t="s">
        <v>123</v>
      </c>
      <c r="H1785" t="s">
        <v>23</v>
      </c>
      <c r="I1785" t="s">
        <v>93</v>
      </c>
      <c r="J1785" t="s">
        <v>25</v>
      </c>
      <c r="K1785" s="2">
        <v>3.3</v>
      </c>
      <c r="L1785" t="s">
        <v>152</v>
      </c>
      <c r="M1785" t="s">
        <v>35</v>
      </c>
      <c r="N1785" t="s">
        <v>40</v>
      </c>
      <c r="O1785" t="s">
        <v>152</v>
      </c>
      <c r="P1785" t="s">
        <v>152</v>
      </c>
      <c r="Q1785" s="3">
        <v>30</v>
      </c>
      <c r="R1785" t="s">
        <v>27</v>
      </c>
      <c r="S1785" t="s">
        <v>88</v>
      </c>
    </row>
    <row r="1786" spans="1:19" x14ac:dyDescent="0.25">
      <c r="A1786">
        <v>1785</v>
      </c>
      <c r="B1786">
        <v>32</v>
      </c>
      <c r="C1786" t="s">
        <v>19</v>
      </c>
      <c r="D1786" t="s">
        <v>132</v>
      </c>
      <c r="E1786" t="s">
        <v>69</v>
      </c>
      <c r="F1786" s="1">
        <v>31</v>
      </c>
      <c r="G1786" t="s">
        <v>62</v>
      </c>
      <c r="H1786" t="s">
        <v>23</v>
      </c>
      <c r="I1786" t="s">
        <v>134</v>
      </c>
      <c r="J1786" t="s">
        <v>54</v>
      </c>
      <c r="K1786" s="2">
        <v>4.8</v>
      </c>
      <c r="L1786" t="s">
        <v>152</v>
      </c>
      <c r="M1786" t="s">
        <v>35</v>
      </c>
      <c r="N1786" t="s">
        <v>55</v>
      </c>
      <c r="O1786" t="s">
        <v>152</v>
      </c>
      <c r="P1786" t="s">
        <v>152</v>
      </c>
      <c r="Q1786" s="3">
        <v>4</v>
      </c>
      <c r="R1786" t="s">
        <v>59</v>
      </c>
      <c r="S1786" t="s">
        <v>60</v>
      </c>
    </row>
    <row r="1787" spans="1:19" x14ac:dyDescent="0.25">
      <c r="A1787">
        <v>1786</v>
      </c>
      <c r="B1787">
        <v>47</v>
      </c>
      <c r="C1787" t="s">
        <v>19</v>
      </c>
      <c r="D1787" t="s">
        <v>143</v>
      </c>
      <c r="E1787" t="s">
        <v>69</v>
      </c>
      <c r="F1787" s="1">
        <v>29</v>
      </c>
      <c r="G1787" t="s">
        <v>146</v>
      </c>
      <c r="H1787" t="s">
        <v>38</v>
      </c>
      <c r="I1787" t="s">
        <v>100</v>
      </c>
      <c r="J1787" t="s">
        <v>58</v>
      </c>
      <c r="K1787" s="2">
        <v>4.0999999999999996</v>
      </c>
      <c r="L1787" t="s">
        <v>152</v>
      </c>
      <c r="M1787" t="s">
        <v>34</v>
      </c>
      <c r="N1787" t="s">
        <v>47</v>
      </c>
      <c r="O1787" t="s">
        <v>152</v>
      </c>
      <c r="P1787" t="s">
        <v>152</v>
      </c>
      <c r="Q1787" s="3">
        <v>22</v>
      </c>
      <c r="R1787" t="s">
        <v>29</v>
      </c>
      <c r="S1787" t="s">
        <v>88</v>
      </c>
    </row>
    <row r="1788" spans="1:19" x14ac:dyDescent="0.25">
      <c r="A1788">
        <v>1787</v>
      </c>
      <c r="B1788">
        <v>45</v>
      </c>
      <c r="C1788" t="s">
        <v>19</v>
      </c>
      <c r="D1788" t="s">
        <v>102</v>
      </c>
      <c r="E1788" t="s">
        <v>65</v>
      </c>
      <c r="F1788" s="1">
        <v>34</v>
      </c>
      <c r="G1788" t="s">
        <v>128</v>
      </c>
      <c r="H1788" t="s">
        <v>45</v>
      </c>
      <c r="I1788" t="s">
        <v>110</v>
      </c>
      <c r="J1788" t="s">
        <v>39</v>
      </c>
      <c r="K1788" s="2">
        <v>4.5999999999999996</v>
      </c>
      <c r="L1788" t="s">
        <v>152</v>
      </c>
      <c r="M1788" t="s">
        <v>59</v>
      </c>
      <c r="N1788" t="s">
        <v>72</v>
      </c>
      <c r="O1788" t="s">
        <v>152</v>
      </c>
      <c r="P1788" t="s">
        <v>152</v>
      </c>
      <c r="Q1788" s="3">
        <v>22</v>
      </c>
      <c r="R1788" t="s">
        <v>29</v>
      </c>
      <c r="S1788" t="s">
        <v>88</v>
      </c>
    </row>
    <row r="1789" spans="1:19" x14ac:dyDescent="0.25">
      <c r="A1789">
        <v>1788</v>
      </c>
      <c r="B1789">
        <v>20</v>
      </c>
      <c r="C1789" t="s">
        <v>19</v>
      </c>
      <c r="D1789" t="s">
        <v>31</v>
      </c>
      <c r="E1789" t="s">
        <v>21</v>
      </c>
      <c r="F1789" s="1">
        <v>38</v>
      </c>
      <c r="G1789" t="s">
        <v>57</v>
      </c>
      <c r="H1789" t="s">
        <v>23</v>
      </c>
      <c r="I1789" t="s">
        <v>81</v>
      </c>
      <c r="J1789" t="s">
        <v>58</v>
      </c>
      <c r="K1789" s="2">
        <v>4.9000000000000004</v>
      </c>
      <c r="L1789" t="s">
        <v>152</v>
      </c>
      <c r="M1789" t="s">
        <v>34</v>
      </c>
      <c r="N1789" t="s">
        <v>72</v>
      </c>
      <c r="O1789" t="s">
        <v>152</v>
      </c>
      <c r="P1789" t="s">
        <v>152</v>
      </c>
      <c r="Q1789" s="3">
        <v>10</v>
      </c>
      <c r="R1789" t="s">
        <v>34</v>
      </c>
      <c r="S1789" t="s">
        <v>60</v>
      </c>
    </row>
    <row r="1790" spans="1:19" x14ac:dyDescent="0.25">
      <c r="A1790">
        <v>1789</v>
      </c>
      <c r="B1790">
        <v>66</v>
      </c>
      <c r="C1790" t="s">
        <v>19</v>
      </c>
      <c r="D1790" t="s">
        <v>20</v>
      </c>
      <c r="E1790" t="s">
        <v>21</v>
      </c>
      <c r="F1790" s="1">
        <v>41</v>
      </c>
      <c r="G1790" t="s">
        <v>115</v>
      </c>
      <c r="H1790" t="s">
        <v>23</v>
      </c>
      <c r="I1790" t="s">
        <v>71</v>
      </c>
      <c r="J1790" t="s">
        <v>54</v>
      </c>
      <c r="K1790" s="2">
        <v>3.1</v>
      </c>
      <c r="L1790" t="s">
        <v>152</v>
      </c>
      <c r="M1790" t="s">
        <v>46</v>
      </c>
      <c r="N1790" t="s">
        <v>76</v>
      </c>
      <c r="O1790" t="s">
        <v>152</v>
      </c>
      <c r="P1790" t="s">
        <v>152</v>
      </c>
      <c r="Q1790" s="3">
        <v>23</v>
      </c>
      <c r="R1790" t="s">
        <v>35</v>
      </c>
      <c r="S1790" t="s">
        <v>77</v>
      </c>
    </row>
    <row r="1791" spans="1:19" x14ac:dyDescent="0.25">
      <c r="A1791">
        <v>1790</v>
      </c>
      <c r="B1791">
        <v>52</v>
      </c>
      <c r="C1791" t="s">
        <v>19</v>
      </c>
      <c r="D1791" t="s">
        <v>20</v>
      </c>
      <c r="E1791" t="s">
        <v>21</v>
      </c>
      <c r="F1791" s="1">
        <v>34</v>
      </c>
      <c r="G1791" t="s">
        <v>117</v>
      </c>
      <c r="H1791" t="s">
        <v>23</v>
      </c>
      <c r="I1791" t="s">
        <v>100</v>
      </c>
      <c r="J1791" t="s">
        <v>39</v>
      </c>
      <c r="K1791" s="2">
        <v>3</v>
      </c>
      <c r="L1791" t="s">
        <v>152</v>
      </c>
      <c r="M1791" t="s">
        <v>46</v>
      </c>
      <c r="N1791" t="s">
        <v>72</v>
      </c>
      <c r="O1791" t="s">
        <v>152</v>
      </c>
      <c r="P1791" t="s">
        <v>152</v>
      </c>
      <c r="Q1791" s="3">
        <v>43</v>
      </c>
      <c r="R1791" t="s">
        <v>59</v>
      </c>
      <c r="S1791" t="s">
        <v>60</v>
      </c>
    </row>
    <row r="1792" spans="1:19" x14ac:dyDescent="0.25">
      <c r="A1792">
        <v>1791</v>
      </c>
      <c r="B1792">
        <v>50</v>
      </c>
      <c r="C1792" t="s">
        <v>19</v>
      </c>
      <c r="D1792" t="s">
        <v>143</v>
      </c>
      <c r="E1792" t="s">
        <v>69</v>
      </c>
      <c r="F1792" s="1">
        <v>26</v>
      </c>
      <c r="G1792" t="s">
        <v>98</v>
      </c>
      <c r="H1792" t="s">
        <v>38</v>
      </c>
      <c r="I1792" t="s">
        <v>84</v>
      </c>
      <c r="J1792" t="s">
        <v>54</v>
      </c>
      <c r="K1792" s="2">
        <v>3.7</v>
      </c>
      <c r="L1792" t="s">
        <v>152</v>
      </c>
      <c r="M1792" t="s">
        <v>27</v>
      </c>
      <c r="N1792" t="s">
        <v>76</v>
      </c>
      <c r="O1792" t="s">
        <v>152</v>
      </c>
      <c r="P1792" t="s">
        <v>152</v>
      </c>
      <c r="Q1792" s="3">
        <v>31</v>
      </c>
      <c r="R1792" t="s">
        <v>46</v>
      </c>
      <c r="S1792" t="s">
        <v>77</v>
      </c>
    </row>
    <row r="1793" spans="1:19" x14ac:dyDescent="0.25">
      <c r="A1793">
        <v>1792</v>
      </c>
      <c r="B1793">
        <v>62</v>
      </c>
      <c r="C1793" t="s">
        <v>19</v>
      </c>
      <c r="D1793" t="s">
        <v>36</v>
      </c>
      <c r="E1793" t="s">
        <v>21</v>
      </c>
      <c r="F1793" s="1">
        <v>98</v>
      </c>
      <c r="G1793" t="s">
        <v>57</v>
      </c>
      <c r="H1793" t="s">
        <v>38</v>
      </c>
      <c r="I1793" t="s">
        <v>75</v>
      </c>
      <c r="J1793" t="s">
        <v>25</v>
      </c>
      <c r="K1793" s="2">
        <v>4</v>
      </c>
      <c r="L1793" t="s">
        <v>152</v>
      </c>
      <c r="M1793" t="s">
        <v>59</v>
      </c>
      <c r="N1793" t="s">
        <v>76</v>
      </c>
      <c r="O1793" t="s">
        <v>152</v>
      </c>
      <c r="P1793" t="s">
        <v>152</v>
      </c>
      <c r="Q1793" s="3">
        <v>38</v>
      </c>
      <c r="R1793" t="s">
        <v>35</v>
      </c>
      <c r="S1793" t="s">
        <v>50</v>
      </c>
    </row>
    <row r="1794" spans="1:19" x14ac:dyDescent="0.25">
      <c r="A1794">
        <v>1793</v>
      </c>
      <c r="B1794">
        <v>38</v>
      </c>
      <c r="C1794" t="s">
        <v>19</v>
      </c>
      <c r="D1794" t="s">
        <v>51</v>
      </c>
      <c r="E1794" t="s">
        <v>43</v>
      </c>
      <c r="F1794" s="1">
        <v>59</v>
      </c>
      <c r="G1794" t="s">
        <v>146</v>
      </c>
      <c r="H1794" t="s">
        <v>45</v>
      </c>
      <c r="I1794" t="s">
        <v>100</v>
      </c>
      <c r="J1794" t="s">
        <v>58</v>
      </c>
      <c r="K1794" s="2">
        <v>3</v>
      </c>
      <c r="L1794" t="s">
        <v>152</v>
      </c>
      <c r="M1794" t="s">
        <v>34</v>
      </c>
      <c r="N1794" t="s">
        <v>28</v>
      </c>
      <c r="O1794" t="s">
        <v>152</v>
      </c>
      <c r="P1794" t="s">
        <v>152</v>
      </c>
      <c r="Q1794" s="3">
        <v>22</v>
      </c>
      <c r="R1794" t="s">
        <v>59</v>
      </c>
      <c r="S1794" t="s">
        <v>97</v>
      </c>
    </row>
    <row r="1795" spans="1:19" x14ac:dyDescent="0.25">
      <c r="A1795">
        <v>1794</v>
      </c>
      <c r="B1795">
        <v>65</v>
      </c>
      <c r="C1795" t="s">
        <v>19</v>
      </c>
      <c r="D1795" t="s">
        <v>124</v>
      </c>
      <c r="E1795" t="s">
        <v>69</v>
      </c>
      <c r="F1795" s="1">
        <v>92</v>
      </c>
      <c r="G1795" t="s">
        <v>146</v>
      </c>
      <c r="H1795" t="s">
        <v>38</v>
      </c>
      <c r="I1795" t="s">
        <v>53</v>
      </c>
      <c r="J1795" t="s">
        <v>58</v>
      </c>
      <c r="K1795" s="2">
        <v>3.8</v>
      </c>
      <c r="L1795" t="s">
        <v>152</v>
      </c>
      <c r="M1795" t="s">
        <v>59</v>
      </c>
      <c r="N1795" t="s">
        <v>76</v>
      </c>
      <c r="O1795" t="s">
        <v>152</v>
      </c>
      <c r="P1795" t="s">
        <v>152</v>
      </c>
      <c r="Q1795" s="3">
        <v>45</v>
      </c>
      <c r="R1795" t="s">
        <v>35</v>
      </c>
      <c r="S1795" t="s">
        <v>97</v>
      </c>
    </row>
    <row r="1796" spans="1:19" x14ac:dyDescent="0.25">
      <c r="A1796">
        <v>1795</v>
      </c>
      <c r="B1796">
        <v>60</v>
      </c>
      <c r="C1796" t="s">
        <v>19</v>
      </c>
      <c r="D1796" t="s">
        <v>132</v>
      </c>
      <c r="E1796" t="s">
        <v>69</v>
      </c>
      <c r="F1796" s="1">
        <v>40</v>
      </c>
      <c r="G1796" t="s">
        <v>123</v>
      </c>
      <c r="H1796" t="s">
        <v>23</v>
      </c>
      <c r="I1796" t="s">
        <v>126</v>
      </c>
      <c r="J1796" t="s">
        <v>39</v>
      </c>
      <c r="K1796" s="2">
        <v>3.7</v>
      </c>
      <c r="L1796" t="s">
        <v>152</v>
      </c>
      <c r="M1796" t="s">
        <v>34</v>
      </c>
      <c r="N1796" t="s">
        <v>28</v>
      </c>
      <c r="O1796" t="s">
        <v>152</v>
      </c>
      <c r="P1796" t="s">
        <v>152</v>
      </c>
      <c r="Q1796" s="3">
        <v>21</v>
      </c>
      <c r="R1796" t="s">
        <v>59</v>
      </c>
      <c r="S1796" t="s">
        <v>30</v>
      </c>
    </row>
    <row r="1797" spans="1:19" x14ac:dyDescent="0.25">
      <c r="A1797">
        <v>1796</v>
      </c>
      <c r="B1797">
        <v>68</v>
      </c>
      <c r="C1797" t="s">
        <v>19</v>
      </c>
      <c r="D1797" t="s">
        <v>36</v>
      </c>
      <c r="E1797" t="s">
        <v>21</v>
      </c>
      <c r="F1797" s="1">
        <v>20</v>
      </c>
      <c r="G1797" t="s">
        <v>150</v>
      </c>
      <c r="H1797" t="s">
        <v>38</v>
      </c>
      <c r="I1797" t="s">
        <v>84</v>
      </c>
      <c r="J1797" t="s">
        <v>58</v>
      </c>
      <c r="K1797" s="2">
        <v>4</v>
      </c>
      <c r="L1797" t="s">
        <v>152</v>
      </c>
      <c r="M1797" t="s">
        <v>59</v>
      </c>
      <c r="N1797" t="s">
        <v>72</v>
      </c>
      <c r="O1797" t="s">
        <v>152</v>
      </c>
      <c r="P1797" t="s">
        <v>152</v>
      </c>
      <c r="Q1797" s="3">
        <v>9</v>
      </c>
      <c r="R1797" t="s">
        <v>59</v>
      </c>
      <c r="S1797" t="s">
        <v>30</v>
      </c>
    </row>
    <row r="1798" spans="1:19" x14ac:dyDescent="0.25">
      <c r="A1798">
        <v>1797</v>
      </c>
      <c r="B1798">
        <v>62</v>
      </c>
      <c r="C1798" t="s">
        <v>19</v>
      </c>
      <c r="D1798" t="s">
        <v>87</v>
      </c>
      <c r="E1798" t="s">
        <v>21</v>
      </c>
      <c r="F1798" s="1">
        <v>35</v>
      </c>
      <c r="G1798" t="s">
        <v>131</v>
      </c>
      <c r="H1798" t="s">
        <v>38</v>
      </c>
      <c r="I1798" t="s">
        <v>110</v>
      </c>
      <c r="J1798" t="s">
        <v>39</v>
      </c>
      <c r="K1798" s="2">
        <v>3.1</v>
      </c>
      <c r="L1798" t="s">
        <v>152</v>
      </c>
      <c r="M1798" t="s">
        <v>59</v>
      </c>
      <c r="N1798" t="s">
        <v>76</v>
      </c>
      <c r="O1798" t="s">
        <v>152</v>
      </c>
      <c r="P1798" t="s">
        <v>152</v>
      </c>
      <c r="Q1798" s="3">
        <v>34</v>
      </c>
      <c r="R1798" t="s">
        <v>29</v>
      </c>
      <c r="S1798" t="s">
        <v>41</v>
      </c>
    </row>
    <row r="1799" spans="1:19" x14ac:dyDescent="0.25">
      <c r="A1799">
        <v>1798</v>
      </c>
      <c r="B1799">
        <v>62</v>
      </c>
      <c r="C1799" t="s">
        <v>19</v>
      </c>
      <c r="D1799" t="s">
        <v>133</v>
      </c>
      <c r="E1799" t="s">
        <v>69</v>
      </c>
      <c r="F1799" s="1">
        <v>35</v>
      </c>
      <c r="G1799" t="s">
        <v>48</v>
      </c>
      <c r="H1799" t="s">
        <v>23</v>
      </c>
      <c r="I1799" t="s">
        <v>33</v>
      </c>
      <c r="J1799" t="s">
        <v>39</v>
      </c>
      <c r="K1799" s="2">
        <v>3.9</v>
      </c>
      <c r="L1799" t="s">
        <v>152</v>
      </c>
      <c r="M1799" t="s">
        <v>46</v>
      </c>
      <c r="N1799" t="s">
        <v>72</v>
      </c>
      <c r="O1799" t="s">
        <v>152</v>
      </c>
      <c r="P1799" t="s">
        <v>152</v>
      </c>
      <c r="Q1799" s="3">
        <v>26</v>
      </c>
      <c r="R1799" t="s">
        <v>29</v>
      </c>
      <c r="S1799" t="s">
        <v>41</v>
      </c>
    </row>
    <row r="1800" spans="1:19" x14ac:dyDescent="0.25">
      <c r="A1800">
        <v>1799</v>
      </c>
      <c r="B1800">
        <v>40</v>
      </c>
      <c r="C1800" t="s">
        <v>19</v>
      </c>
      <c r="D1800" t="s">
        <v>82</v>
      </c>
      <c r="E1800" t="s">
        <v>21</v>
      </c>
      <c r="F1800" s="1">
        <v>82</v>
      </c>
      <c r="G1800" t="s">
        <v>114</v>
      </c>
      <c r="H1800" t="s">
        <v>23</v>
      </c>
      <c r="I1800" t="s">
        <v>136</v>
      </c>
      <c r="J1800" t="s">
        <v>25</v>
      </c>
      <c r="K1800" s="2">
        <v>3.7</v>
      </c>
      <c r="L1800" t="s">
        <v>152</v>
      </c>
      <c r="M1800" t="s">
        <v>27</v>
      </c>
      <c r="N1800" t="s">
        <v>28</v>
      </c>
      <c r="O1800" t="s">
        <v>152</v>
      </c>
      <c r="P1800" t="s">
        <v>152</v>
      </c>
      <c r="Q1800" s="3">
        <v>1</v>
      </c>
      <c r="R1800" t="s">
        <v>35</v>
      </c>
      <c r="S1800" t="s">
        <v>41</v>
      </c>
    </row>
    <row r="1801" spans="1:19" x14ac:dyDescent="0.25">
      <c r="A1801">
        <v>1800</v>
      </c>
      <c r="B1801">
        <v>32</v>
      </c>
      <c r="C1801" t="s">
        <v>19</v>
      </c>
      <c r="D1801" t="s">
        <v>104</v>
      </c>
      <c r="E1801" t="s">
        <v>21</v>
      </c>
      <c r="F1801" s="1">
        <v>48</v>
      </c>
      <c r="G1801" t="s">
        <v>99</v>
      </c>
      <c r="H1801" t="s">
        <v>45</v>
      </c>
      <c r="I1801" t="s">
        <v>63</v>
      </c>
      <c r="J1801" t="s">
        <v>58</v>
      </c>
      <c r="K1801" s="2">
        <v>3.9</v>
      </c>
      <c r="L1801" t="s">
        <v>152</v>
      </c>
      <c r="M1801" t="s">
        <v>59</v>
      </c>
      <c r="N1801" t="s">
        <v>28</v>
      </c>
      <c r="O1801" t="s">
        <v>152</v>
      </c>
      <c r="P1801" t="s">
        <v>152</v>
      </c>
      <c r="Q1801" s="3">
        <v>47</v>
      </c>
      <c r="R1801" t="s">
        <v>29</v>
      </c>
      <c r="S1801" t="s">
        <v>41</v>
      </c>
    </row>
    <row r="1802" spans="1:19" x14ac:dyDescent="0.25">
      <c r="A1802">
        <v>1801</v>
      </c>
      <c r="B1802">
        <v>22</v>
      </c>
      <c r="C1802" t="s">
        <v>19</v>
      </c>
      <c r="D1802" t="s">
        <v>64</v>
      </c>
      <c r="E1802" t="s">
        <v>65</v>
      </c>
      <c r="F1802" s="1">
        <v>58</v>
      </c>
      <c r="G1802" t="s">
        <v>91</v>
      </c>
      <c r="H1802" t="s">
        <v>92</v>
      </c>
      <c r="I1802" t="s">
        <v>126</v>
      </c>
      <c r="J1802" t="s">
        <v>25</v>
      </c>
      <c r="K1802" s="2">
        <v>2.7</v>
      </c>
      <c r="L1802" t="s">
        <v>152</v>
      </c>
      <c r="M1802" t="s">
        <v>35</v>
      </c>
      <c r="N1802" t="s">
        <v>28</v>
      </c>
      <c r="O1802" t="s">
        <v>152</v>
      </c>
      <c r="P1802" t="s">
        <v>152</v>
      </c>
      <c r="Q1802" s="3">
        <v>30</v>
      </c>
      <c r="R1802" t="s">
        <v>27</v>
      </c>
      <c r="S1802" t="s">
        <v>41</v>
      </c>
    </row>
    <row r="1803" spans="1:19" x14ac:dyDescent="0.25">
      <c r="A1803">
        <v>1802</v>
      </c>
      <c r="B1803">
        <v>33</v>
      </c>
      <c r="C1803" t="s">
        <v>19</v>
      </c>
      <c r="D1803" t="s">
        <v>31</v>
      </c>
      <c r="E1803" t="s">
        <v>21</v>
      </c>
      <c r="F1803" s="1">
        <v>57</v>
      </c>
      <c r="G1803" t="s">
        <v>127</v>
      </c>
      <c r="H1803" t="s">
        <v>45</v>
      </c>
      <c r="I1803" t="s">
        <v>49</v>
      </c>
      <c r="J1803" t="s">
        <v>39</v>
      </c>
      <c r="K1803" s="2">
        <v>3.9</v>
      </c>
      <c r="L1803" t="s">
        <v>152</v>
      </c>
      <c r="M1803" t="s">
        <v>27</v>
      </c>
      <c r="N1803" t="s">
        <v>28</v>
      </c>
      <c r="O1803" t="s">
        <v>152</v>
      </c>
      <c r="P1803" t="s">
        <v>152</v>
      </c>
      <c r="Q1803" s="3">
        <v>48</v>
      </c>
      <c r="R1803" t="s">
        <v>59</v>
      </c>
      <c r="S1803" t="s">
        <v>30</v>
      </c>
    </row>
    <row r="1804" spans="1:19" x14ac:dyDescent="0.25">
      <c r="A1804">
        <v>1803</v>
      </c>
      <c r="B1804">
        <v>57</v>
      </c>
      <c r="C1804" t="s">
        <v>19</v>
      </c>
      <c r="D1804" t="s">
        <v>61</v>
      </c>
      <c r="E1804" t="s">
        <v>21</v>
      </c>
      <c r="F1804" s="1">
        <v>96</v>
      </c>
      <c r="G1804" t="s">
        <v>44</v>
      </c>
      <c r="H1804" t="s">
        <v>23</v>
      </c>
      <c r="I1804" t="s">
        <v>49</v>
      </c>
      <c r="J1804" t="s">
        <v>25</v>
      </c>
      <c r="K1804" s="2">
        <v>2.6</v>
      </c>
      <c r="L1804" t="s">
        <v>152</v>
      </c>
      <c r="M1804" t="s">
        <v>34</v>
      </c>
      <c r="N1804" t="s">
        <v>76</v>
      </c>
      <c r="O1804" t="s">
        <v>152</v>
      </c>
      <c r="P1804" t="s">
        <v>152</v>
      </c>
      <c r="Q1804" s="3">
        <v>31</v>
      </c>
      <c r="R1804" t="s">
        <v>29</v>
      </c>
      <c r="S1804" t="s">
        <v>77</v>
      </c>
    </row>
    <row r="1805" spans="1:19" x14ac:dyDescent="0.25">
      <c r="A1805">
        <v>1804</v>
      </c>
      <c r="B1805">
        <v>60</v>
      </c>
      <c r="C1805" t="s">
        <v>19</v>
      </c>
      <c r="D1805" t="s">
        <v>51</v>
      </c>
      <c r="E1805" t="s">
        <v>43</v>
      </c>
      <c r="F1805" s="1">
        <v>97</v>
      </c>
      <c r="G1805" t="s">
        <v>83</v>
      </c>
      <c r="H1805" t="s">
        <v>38</v>
      </c>
      <c r="I1805" t="s">
        <v>24</v>
      </c>
      <c r="J1805" t="s">
        <v>54</v>
      </c>
      <c r="K1805" s="2">
        <v>3.5</v>
      </c>
      <c r="L1805" t="s">
        <v>152</v>
      </c>
      <c r="M1805" t="s">
        <v>46</v>
      </c>
      <c r="N1805" t="s">
        <v>40</v>
      </c>
      <c r="O1805" t="s">
        <v>152</v>
      </c>
      <c r="P1805" t="s">
        <v>152</v>
      </c>
      <c r="Q1805" s="3">
        <v>33</v>
      </c>
      <c r="R1805" t="s">
        <v>29</v>
      </c>
      <c r="S1805" t="s">
        <v>30</v>
      </c>
    </row>
    <row r="1806" spans="1:19" x14ac:dyDescent="0.25">
      <c r="A1806">
        <v>1805</v>
      </c>
      <c r="B1806">
        <v>30</v>
      </c>
      <c r="C1806" t="s">
        <v>19</v>
      </c>
      <c r="D1806" t="s">
        <v>31</v>
      </c>
      <c r="E1806" t="s">
        <v>21</v>
      </c>
      <c r="F1806" s="1">
        <v>42</v>
      </c>
      <c r="G1806" t="s">
        <v>62</v>
      </c>
      <c r="H1806" t="s">
        <v>23</v>
      </c>
      <c r="I1806" t="s">
        <v>100</v>
      </c>
      <c r="J1806" t="s">
        <v>25</v>
      </c>
      <c r="K1806" s="2">
        <v>4.4000000000000004</v>
      </c>
      <c r="L1806" t="s">
        <v>152</v>
      </c>
      <c r="M1806" t="s">
        <v>59</v>
      </c>
      <c r="N1806" t="s">
        <v>47</v>
      </c>
      <c r="O1806" t="s">
        <v>152</v>
      </c>
      <c r="P1806" t="s">
        <v>152</v>
      </c>
      <c r="Q1806" s="3">
        <v>39</v>
      </c>
      <c r="R1806" t="s">
        <v>27</v>
      </c>
      <c r="S1806" t="s">
        <v>41</v>
      </c>
    </row>
    <row r="1807" spans="1:19" x14ac:dyDescent="0.25">
      <c r="A1807">
        <v>1806</v>
      </c>
      <c r="B1807">
        <v>41</v>
      </c>
      <c r="C1807" t="s">
        <v>19</v>
      </c>
      <c r="D1807" t="s">
        <v>113</v>
      </c>
      <c r="E1807" t="s">
        <v>21</v>
      </c>
      <c r="F1807" s="1">
        <v>62</v>
      </c>
      <c r="G1807" t="s">
        <v>117</v>
      </c>
      <c r="H1807" t="s">
        <v>23</v>
      </c>
      <c r="I1807" t="s">
        <v>81</v>
      </c>
      <c r="J1807" t="s">
        <v>39</v>
      </c>
      <c r="K1807" s="2">
        <v>4.9000000000000004</v>
      </c>
      <c r="L1807" t="s">
        <v>152</v>
      </c>
      <c r="M1807" t="s">
        <v>29</v>
      </c>
      <c r="N1807" t="s">
        <v>76</v>
      </c>
      <c r="O1807" t="s">
        <v>152</v>
      </c>
      <c r="P1807" t="s">
        <v>152</v>
      </c>
      <c r="Q1807" s="3">
        <v>46</v>
      </c>
      <c r="R1807" t="s">
        <v>59</v>
      </c>
      <c r="S1807" t="s">
        <v>41</v>
      </c>
    </row>
    <row r="1808" spans="1:19" x14ac:dyDescent="0.25">
      <c r="A1808">
        <v>1807</v>
      </c>
      <c r="B1808">
        <v>58</v>
      </c>
      <c r="C1808" t="s">
        <v>19</v>
      </c>
      <c r="D1808" t="s">
        <v>68</v>
      </c>
      <c r="E1808" t="s">
        <v>69</v>
      </c>
      <c r="F1808" s="1">
        <v>67</v>
      </c>
      <c r="G1808" t="s">
        <v>44</v>
      </c>
      <c r="H1808" t="s">
        <v>45</v>
      </c>
      <c r="I1808" t="s">
        <v>96</v>
      </c>
      <c r="J1808" t="s">
        <v>58</v>
      </c>
      <c r="K1808" s="2">
        <v>3.9</v>
      </c>
      <c r="L1808" t="s">
        <v>152</v>
      </c>
      <c r="M1808" t="s">
        <v>27</v>
      </c>
      <c r="N1808" t="s">
        <v>55</v>
      </c>
      <c r="O1808" t="s">
        <v>152</v>
      </c>
      <c r="P1808" t="s">
        <v>152</v>
      </c>
      <c r="Q1808" s="3">
        <v>24</v>
      </c>
      <c r="R1808" t="s">
        <v>29</v>
      </c>
      <c r="S1808" t="s">
        <v>50</v>
      </c>
    </row>
    <row r="1809" spans="1:19" x14ac:dyDescent="0.25">
      <c r="A1809">
        <v>1808</v>
      </c>
      <c r="B1809">
        <v>34</v>
      </c>
      <c r="C1809" t="s">
        <v>19</v>
      </c>
      <c r="D1809" t="s">
        <v>51</v>
      </c>
      <c r="E1809" t="s">
        <v>43</v>
      </c>
      <c r="F1809" s="1">
        <v>46</v>
      </c>
      <c r="G1809" t="s">
        <v>129</v>
      </c>
      <c r="H1809" t="s">
        <v>23</v>
      </c>
      <c r="I1809" t="s">
        <v>81</v>
      </c>
      <c r="J1809" t="s">
        <v>54</v>
      </c>
      <c r="K1809" s="2">
        <v>3.5</v>
      </c>
      <c r="L1809" t="s">
        <v>152</v>
      </c>
      <c r="M1809" t="s">
        <v>46</v>
      </c>
      <c r="N1809" t="s">
        <v>55</v>
      </c>
      <c r="O1809" t="s">
        <v>152</v>
      </c>
      <c r="P1809" t="s">
        <v>152</v>
      </c>
      <c r="Q1809" s="3">
        <v>37</v>
      </c>
      <c r="R1809" t="s">
        <v>29</v>
      </c>
      <c r="S1809" t="s">
        <v>30</v>
      </c>
    </row>
    <row r="1810" spans="1:19" x14ac:dyDescent="0.25">
      <c r="A1810">
        <v>1809</v>
      </c>
      <c r="B1810">
        <v>67</v>
      </c>
      <c r="C1810" t="s">
        <v>19</v>
      </c>
      <c r="D1810" t="s">
        <v>102</v>
      </c>
      <c r="E1810" t="s">
        <v>65</v>
      </c>
      <c r="F1810" s="1">
        <v>71</v>
      </c>
      <c r="G1810" t="s">
        <v>122</v>
      </c>
      <c r="H1810" t="s">
        <v>45</v>
      </c>
      <c r="I1810" t="s">
        <v>93</v>
      </c>
      <c r="J1810" t="s">
        <v>39</v>
      </c>
      <c r="K1810" s="2">
        <v>4.3</v>
      </c>
      <c r="L1810" t="s">
        <v>152</v>
      </c>
      <c r="M1810" t="s">
        <v>27</v>
      </c>
      <c r="N1810" t="s">
        <v>47</v>
      </c>
      <c r="O1810" t="s">
        <v>152</v>
      </c>
      <c r="P1810" t="s">
        <v>152</v>
      </c>
      <c r="Q1810" s="3">
        <v>7</v>
      </c>
      <c r="R1810" t="s">
        <v>59</v>
      </c>
      <c r="S1810" t="s">
        <v>88</v>
      </c>
    </row>
    <row r="1811" spans="1:19" x14ac:dyDescent="0.25">
      <c r="A1811">
        <v>1810</v>
      </c>
      <c r="B1811">
        <v>58</v>
      </c>
      <c r="C1811" t="s">
        <v>19</v>
      </c>
      <c r="D1811" t="s">
        <v>132</v>
      </c>
      <c r="E1811" t="s">
        <v>69</v>
      </c>
      <c r="F1811" s="1">
        <v>99</v>
      </c>
      <c r="G1811" t="s">
        <v>120</v>
      </c>
      <c r="H1811" t="s">
        <v>38</v>
      </c>
      <c r="I1811" t="s">
        <v>144</v>
      </c>
      <c r="J1811" t="s">
        <v>58</v>
      </c>
      <c r="K1811" s="2">
        <v>3.4</v>
      </c>
      <c r="L1811" t="s">
        <v>152</v>
      </c>
      <c r="M1811" t="s">
        <v>27</v>
      </c>
      <c r="N1811" t="s">
        <v>40</v>
      </c>
      <c r="O1811" t="s">
        <v>152</v>
      </c>
      <c r="P1811" t="s">
        <v>152</v>
      </c>
      <c r="Q1811" s="3">
        <v>6</v>
      </c>
      <c r="R1811" t="s">
        <v>59</v>
      </c>
      <c r="S1811" t="s">
        <v>30</v>
      </c>
    </row>
    <row r="1812" spans="1:19" x14ac:dyDescent="0.25">
      <c r="A1812">
        <v>1811</v>
      </c>
      <c r="B1812">
        <v>41</v>
      </c>
      <c r="C1812" t="s">
        <v>19</v>
      </c>
      <c r="D1812" t="s">
        <v>36</v>
      </c>
      <c r="E1812" t="s">
        <v>21</v>
      </c>
      <c r="F1812" s="1">
        <v>28</v>
      </c>
      <c r="G1812" t="s">
        <v>128</v>
      </c>
      <c r="H1812" t="s">
        <v>45</v>
      </c>
      <c r="I1812" t="s">
        <v>136</v>
      </c>
      <c r="J1812" t="s">
        <v>58</v>
      </c>
      <c r="K1812" s="2">
        <v>2.7</v>
      </c>
      <c r="L1812" t="s">
        <v>152</v>
      </c>
      <c r="M1812" t="s">
        <v>27</v>
      </c>
      <c r="N1812" t="s">
        <v>55</v>
      </c>
      <c r="O1812" t="s">
        <v>152</v>
      </c>
      <c r="P1812" t="s">
        <v>152</v>
      </c>
      <c r="Q1812" s="3">
        <v>16</v>
      </c>
      <c r="R1812" t="s">
        <v>35</v>
      </c>
      <c r="S1812" t="s">
        <v>77</v>
      </c>
    </row>
    <row r="1813" spans="1:19" x14ac:dyDescent="0.25">
      <c r="A1813">
        <v>1812</v>
      </c>
      <c r="B1813">
        <v>42</v>
      </c>
      <c r="C1813" t="s">
        <v>19</v>
      </c>
      <c r="D1813" t="s">
        <v>133</v>
      </c>
      <c r="E1813" t="s">
        <v>69</v>
      </c>
      <c r="F1813" s="1">
        <v>77</v>
      </c>
      <c r="G1813" t="s">
        <v>150</v>
      </c>
      <c r="H1813" t="s">
        <v>23</v>
      </c>
      <c r="I1813" t="s">
        <v>144</v>
      </c>
      <c r="J1813" t="s">
        <v>54</v>
      </c>
      <c r="K1813" s="2">
        <v>3.6</v>
      </c>
      <c r="L1813" t="s">
        <v>152</v>
      </c>
      <c r="M1813" t="s">
        <v>34</v>
      </c>
      <c r="N1813" t="s">
        <v>55</v>
      </c>
      <c r="O1813" t="s">
        <v>152</v>
      </c>
      <c r="P1813" t="s">
        <v>152</v>
      </c>
      <c r="Q1813" s="3">
        <v>33</v>
      </c>
      <c r="R1813" t="s">
        <v>34</v>
      </c>
      <c r="S1813" t="s">
        <v>50</v>
      </c>
    </row>
    <row r="1814" spans="1:19" x14ac:dyDescent="0.25">
      <c r="A1814">
        <v>1813</v>
      </c>
      <c r="B1814">
        <v>50</v>
      </c>
      <c r="C1814" t="s">
        <v>19</v>
      </c>
      <c r="D1814" t="s">
        <v>137</v>
      </c>
      <c r="E1814" t="s">
        <v>43</v>
      </c>
      <c r="F1814" s="1">
        <v>63</v>
      </c>
      <c r="G1814" t="s">
        <v>107</v>
      </c>
      <c r="H1814" t="s">
        <v>38</v>
      </c>
      <c r="I1814" t="s">
        <v>144</v>
      </c>
      <c r="J1814" t="s">
        <v>54</v>
      </c>
      <c r="K1814" s="2">
        <v>4.9000000000000004</v>
      </c>
      <c r="L1814" t="s">
        <v>152</v>
      </c>
      <c r="M1814" t="s">
        <v>29</v>
      </c>
      <c r="N1814" t="s">
        <v>28</v>
      </c>
      <c r="O1814" t="s">
        <v>152</v>
      </c>
      <c r="P1814" t="s">
        <v>152</v>
      </c>
      <c r="Q1814" s="3">
        <v>18</v>
      </c>
      <c r="R1814" t="s">
        <v>46</v>
      </c>
      <c r="S1814" t="s">
        <v>77</v>
      </c>
    </row>
    <row r="1815" spans="1:19" x14ac:dyDescent="0.25">
      <c r="A1815">
        <v>1814</v>
      </c>
      <c r="B1815">
        <v>40</v>
      </c>
      <c r="C1815" t="s">
        <v>19</v>
      </c>
      <c r="D1815" t="s">
        <v>61</v>
      </c>
      <c r="E1815" t="s">
        <v>21</v>
      </c>
      <c r="F1815" s="1">
        <v>62</v>
      </c>
      <c r="G1815" t="s">
        <v>115</v>
      </c>
      <c r="H1815" t="s">
        <v>45</v>
      </c>
      <c r="I1815" t="s">
        <v>79</v>
      </c>
      <c r="J1815" t="s">
        <v>39</v>
      </c>
      <c r="K1815" s="2">
        <v>3.5</v>
      </c>
      <c r="L1815" t="s">
        <v>152</v>
      </c>
      <c r="M1815" t="s">
        <v>27</v>
      </c>
      <c r="N1815" t="s">
        <v>40</v>
      </c>
      <c r="O1815" t="s">
        <v>152</v>
      </c>
      <c r="P1815" t="s">
        <v>152</v>
      </c>
      <c r="Q1815" s="3">
        <v>24</v>
      </c>
      <c r="R1815" t="s">
        <v>46</v>
      </c>
      <c r="S1815" t="s">
        <v>41</v>
      </c>
    </row>
    <row r="1816" spans="1:19" x14ac:dyDescent="0.25">
      <c r="A1816">
        <v>1815</v>
      </c>
      <c r="B1816">
        <v>32</v>
      </c>
      <c r="C1816" t="s">
        <v>19</v>
      </c>
      <c r="D1816" t="s">
        <v>36</v>
      </c>
      <c r="E1816" t="s">
        <v>21</v>
      </c>
      <c r="F1816" s="1">
        <v>92</v>
      </c>
      <c r="G1816" t="s">
        <v>57</v>
      </c>
      <c r="H1816" t="s">
        <v>45</v>
      </c>
      <c r="I1816" t="s">
        <v>53</v>
      </c>
      <c r="J1816" t="s">
        <v>54</v>
      </c>
      <c r="K1816" s="2">
        <v>3.8</v>
      </c>
      <c r="L1816" t="s">
        <v>152</v>
      </c>
      <c r="M1816" t="s">
        <v>59</v>
      </c>
      <c r="N1816" t="s">
        <v>40</v>
      </c>
      <c r="O1816" t="s">
        <v>152</v>
      </c>
      <c r="P1816" t="s">
        <v>152</v>
      </c>
      <c r="Q1816" s="3">
        <v>24</v>
      </c>
      <c r="R1816" t="s">
        <v>35</v>
      </c>
      <c r="S1816" t="s">
        <v>60</v>
      </c>
    </row>
    <row r="1817" spans="1:19" x14ac:dyDescent="0.25">
      <c r="A1817">
        <v>1816</v>
      </c>
      <c r="B1817">
        <v>51</v>
      </c>
      <c r="C1817" t="s">
        <v>19</v>
      </c>
      <c r="D1817" t="s">
        <v>73</v>
      </c>
      <c r="E1817" t="s">
        <v>43</v>
      </c>
      <c r="F1817" s="1">
        <v>72</v>
      </c>
      <c r="G1817" t="s">
        <v>130</v>
      </c>
      <c r="H1817" t="s">
        <v>23</v>
      </c>
      <c r="I1817" t="s">
        <v>53</v>
      </c>
      <c r="J1817" t="s">
        <v>25</v>
      </c>
      <c r="K1817" s="2">
        <v>4.5</v>
      </c>
      <c r="L1817" t="s">
        <v>152</v>
      </c>
      <c r="M1817" t="s">
        <v>29</v>
      </c>
      <c r="N1817" t="s">
        <v>72</v>
      </c>
      <c r="O1817" t="s">
        <v>152</v>
      </c>
      <c r="P1817" t="s">
        <v>152</v>
      </c>
      <c r="Q1817" s="3">
        <v>48</v>
      </c>
      <c r="R1817" t="s">
        <v>27</v>
      </c>
      <c r="S1817" t="s">
        <v>97</v>
      </c>
    </row>
    <row r="1818" spans="1:19" x14ac:dyDescent="0.25">
      <c r="A1818">
        <v>1817</v>
      </c>
      <c r="B1818">
        <v>26</v>
      </c>
      <c r="C1818" t="s">
        <v>19</v>
      </c>
      <c r="D1818" t="s">
        <v>124</v>
      </c>
      <c r="E1818" t="s">
        <v>69</v>
      </c>
      <c r="F1818" s="1">
        <v>79</v>
      </c>
      <c r="G1818" t="s">
        <v>141</v>
      </c>
      <c r="H1818" t="s">
        <v>45</v>
      </c>
      <c r="I1818" t="s">
        <v>75</v>
      </c>
      <c r="J1818" t="s">
        <v>54</v>
      </c>
      <c r="K1818" s="2">
        <v>4</v>
      </c>
      <c r="L1818" t="s">
        <v>152</v>
      </c>
      <c r="M1818" t="s">
        <v>29</v>
      </c>
      <c r="N1818" t="s">
        <v>28</v>
      </c>
      <c r="O1818" t="s">
        <v>152</v>
      </c>
      <c r="P1818" t="s">
        <v>152</v>
      </c>
      <c r="Q1818" s="3">
        <v>4</v>
      </c>
      <c r="R1818" t="s">
        <v>35</v>
      </c>
      <c r="S1818" t="s">
        <v>41</v>
      </c>
    </row>
    <row r="1819" spans="1:19" x14ac:dyDescent="0.25">
      <c r="A1819">
        <v>1818</v>
      </c>
      <c r="B1819">
        <v>32</v>
      </c>
      <c r="C1819" t="s">
        <v>19</v>
      </c>
      <c r="D1819" t="s">
        <v>113</v>
      </c>
      <c r="E1819" t="s">
        <v>21</v>
      </c>
      <c r="F1819" s="1">
        <v>27</v>
      </c>
      <c r="G1819" t="s">
        <v>80</v>
      </c>
      <c r="H1819" t="s">
        <v>45</v>
      </c>
      <c r="I1819" t="s">
        <v>53</v>
      </c>
      <c r="J1819" t="s">
        <v>54</v>
      </c>
      <c r="K1819" s="2">
        <v>4.7</v>
      </c>
      <c r="L1819" t="s">
        <v>152</v>
      </c>
      <c r="M1819" t="s">
        <v>27</v>
      </c>
      <c r="N1819" t="s">
        <v>40</v>
      </c>
      <c r="O1819" t="s">
        <v>152</v>
      </c>
      <c r="P1819" t="s">
        <v>152</v>
      </c>
      <c r="Q1819" s="3">
        <v>20</v>
      </c>
      <c r="R1819" t="s">
        <v>35</v>
      </c>
      <c r="S1819" t="s">
        <v>41</v>
      </c>
    </row>
    <row r="1820" spans="1:19" x14ac:dyDescent="0.25">
      <c r="A1820">
        <v>1819</v>
      </c>
      <c r="B1820">
        <v>58</v>
      </c>
      <c r="C1820" t="s">
        <v>19</v>
      </c>
      <c r="D1820" t="s">
        <v>89</v>
      </c>
      <c r="E1820" t="s">
        <v>69</v>
      </c>
      <c r="F1820" s="1">
        <v>39</v>
      </c>
      <c r="G1820" t="s">
        <v>98</v>
      </c>
      <c r="H1820" t="s">
        <v>45</v>
      </c>
      <c r="I1820" t="s">
        <v>53</v>
      </c>
      <c r="J1820" t="s">
        <v>58</v>
      </c>
      <c r="K1820" s="2">
        <v>3.8</v>
      </c>
      <c r="L1820" t="s">
        <v>152</v>
      </c>
      <c r="M1820" t="s">
        <v>27</v>
      </c>
      <c r="N1820" t="s">
        <v>28</v>
      </c>
      <c r="O1820" t="s">
        <v>152</v>
      </c>
      <c r="P1820" t="s">
        <v>152</v>
      </c>
      <c r="Q1820" s="3">
        <v>47</v>
      </c>
      <c r="R1820" t="s">
        <v>59</v>
      </c>
      <c r="S1820" t="s">
        <v>97</v>
      </c>
    </row>
    <row r="1821" spans="1:19" x14ac:dyDescent="0.25">
      <c r="A1821">
        <v>1820</v>
      </c>
      <c r="B1821">
        <v>51</v>
      </c>
      <c r="C1821" t="s">
        <v>19</v>
      </c>
      <c r="D1821" t="s">
        <v>125</v>
      </c>
      <c r="E1821" t="s">
        <v>21</v>
      </c>
      <c r="F1821" s="1">
        <v>86</v>
      </c>
      <c r="G1821" t="s">
        <v>107</v>
      </c>
      <c r="H1821" t="s">
        <v>38</v>
      </c>
      <c r="I1821" t="s">
        <v>100</v>
      </c>
      <c r="J1821" t="s">
        <v>39</v>
      </c>
      <c r="K1821" s="2">
        <v>4.5</v>
      </c>
      <c r="L1821" t="s">
        <v>152</v>
      </c>
      <c r="M1821" t="s">
        <v>35</v>
      </c>
      <c r="N1821" t="s">
        <v>47</v>
      </c>
      <c r="O1821" t="s">
        <v>152</v>
      </c>
      <c r="P1821" t="s">
        <v>152</v>
      </c>
      <c r="Q1821" s="3">
        <v>50</v>
      </c>
      <c r="R1821" t="s">
        <v>35</v>
      </c>
      <c r="S1821" t="s">
        <v>60</v>
      </c>
    </row>
    <row r="1822" spans="1:19" x14ac:dyDescent="0.25">
      <c r="A1822">
        <v>1821</v>
      </c>
      <c r="B1822">
        <v>19</v>
      </c>
      <c r="C1822" t="s">
        <v>19</v>
      </c>
      <c r="D1822" t="s">
        <v>56</v>
      </c>
      <c r="E1822" t="s">
        <v>21</v>
      </c>
      <c r="F1822" s="1">
        <v>94</v>
      </c>
      <c r="G1822" t="s">
        <v>149</v>
      </c>
      <c r="H1822" t="s">
        <v>92</v>
      </c>
      <c r="I1822" t="s">
        <v>81</v>
      </c>
      <c r="J1822" t="s">
        <v>58</v>
      </c>
      <c r="K1822" s="2">
        <v>5</v>
      </c>
      <c r="L1822" t="s">
        <v>152</v>
      </c>
      <c r="M1822" t="s">
        <v>46</v>
      </c>
      <c r="N1822" t="s">
        <v>28</v>
      </c>
      <c r="O1822" t="s">
        <v>152</v>
      </c>
      <c r="P1822" t="s">
        <v>152</v>
      </c>
      <c r="Q1822" s="3">
        <v>31</v>
      </c>
      <c r="R1822" t="s">
        <v>46</v>
      </c>
      <c r="S1822" t="s">
        <v>88</v>
      </c>
    </row>
    <row r="1823" spans="1:19" x14ac:dyDescent="0.25">
      <c r="A1823">
        <v>1822</v>
      </c>
      <c r="B1823">
        <v>57</v>
      </c>
      <c r="C1823" t="s">
        <v>19</v>
      </c>
      <c r="D1823" t="s">
        <v>61</v>
      </c>
      <c r="E1823" t="s">
        <v>21</v>
      </c>
      <c r="F1823" s="1">
        <v>53</v>
      </c>
      <c r="G1823" t="s">
        <v>32</v>
      </c>
      <c r="H1823" t="s">
        <v>45</v>
      </c>
      <c r="I1823" t="s">
        <v>86</v>
      </c>
      <c r="J1823" t="s">
        <v>39</v>
      </c>
      <c r="K1823" s="2">
        <v>2.8</v>
      </c>
      <c r="L1823" t="s">
        <v>152</v>
      </c>
      <c r="M1823" t="s">
        <v>27</v>
      </c>
      <c r="N1823" t="s">
        <v>28</v>
      </c>
      <c r="O1823" t="s">
        <v>152</v>
      </c>
      <c r="P1823" t="s">
        <v>152</v>
      </c>
      <c r="Q1823" s="3">
        <v>29</v>
      </c>
      <c r="R1823" t="s">
        <v>46</v>
      </c>
      <c r="S1823" t="s">
        <v>60</v>
      </c>
    </row>
    <row r="1824" spans="1:19" x14ac:dyDescent="0.25">
      <c r="A1824">
        <v>1823</v>
      </c>
      <c r="B1824">
        <v>66</v>
      </c>
      <c r="C1824" t="s">
        <v>19</v>
      </c>
      <c r="D1824" t="s">
        <v>56</v>
      </c>
      <c r="E1824" t="s">
        <v>21</v>
      </c>
      <c r="F1824" s="1">
        <v>85</v>
      </c>
      <c r="G1824" t="s">
        <v>139</v>
      </c>
      <c r="H1824" t="s">
        <v>38</v>
      </c>
      <c r="I1824" t="s">
        <v>109</v>
      </c>
      <c r="J1824" t="s">
        <v>54</v>
      </c>
      <c r="K1824" s="2">
        <v>4.4000000000000004</v>
      </c>
      <c r="L1824" t="s">
        <v>152</v>
      </c>
      <c r="M1824" t="s">
        <v>35</v>
      </c>
      <c r="N1824" t="s">
        <v>55</v>
      </c>
      <c r="O1824" t="s">
        <v>152</v>
      </c>
      <c r="P1824" t="s">
        <v>152</v>
      </c>
      <c r="Q1824" s="3">
        <v>4</v>
      </c>
      <c r="R1824" t="s">
        <v>35</v>
      </c>
      <c r="S1824" t="s">
        <v>50</v>
      </c>
    </row>
    <row r="1825" spans="1:19" x14ac:dyDescent="0.25">
      <c r="A1825">
        <v>1824</v>
      </c>
      <c r="B1825">
        <v>62</v>
      </c>
      <c r="C1825" t="s">
        <v>19</v>
      </c>
      <c r="D1825" t="s">
        <v>125</v>
      </c>
      <c r="E1825" t="s">
        <v>21</v>
      </c>
      <c r="F1825" s="1">
        <v>50</v>
      </c>
      <c r="G1825" t="s">
        <v>62</v>
      </c>
      <c r="H1825" t="s">
        <v>23</v>
      </c>
      <c r="I1825" t="s">
        <v>71</v>
      </c>
      <c r="J1825" t="s">
        <v>58</v>
      </c>
      <c r="K1825" s="2">
        <v>4.7</v>
      </c>
      <c r="L1825" t="s">
        <v>152</v>
      </c>
      <c r="M1825" t="s">
        <v>35</v>
      </c>
      <c r="N1825" t="s">
        <v>40</v>
      </c>
      <c r="O1825" t="s">
        <v>152</v>
      </c>
      <c r="P1825" t="s">
        <v>152</v>
      </c>
      <c r="Q1825" s="3">
        <v>40</v>
      </c>
      <c r="R1825" t="s">
        <v>34</v>
      </c>
      <c r="S1825" t="s">
        <v>77</v>
      </c>
    </row>
    <row r="1826" spans="1:19" x14ac:dyDescent="0.25">
      <c r="A1826">
        <v>1825</v>
      </c>
      <c r="B1826">
        <v>58</v>
      </c>
      <c r="C1826" t="s">
        <v>19</v>
      </c>
      <c r="D1826" t="s">
        <v>95</v>
      </c>
      <c r="E1826" t="s">
        <v>21</v>
      </c>
      <c r="F1826" s="1">
        <v>47</v>
      </c>
      <c r="G1826" t="s">
        <v>115</v>
      </c>
      <c r="H1826" t="s">
        <v>92</v>
      </c>
      <c r="I1826" t="s">
        <v>136</v>
      </c>
      <c r="J1826" t="s">
        <v>25</v>
      </c>
      <c r="K1826" s="2">
        <v>3.8</v>
      </c>
      <c r="L1826" t="s">
        <v>152</v>
      </c>
      <c r="M1826" t="s">
        <v>27</v>
      </c>
      <c r="N1826" t="s">
        <v>28</v>
      </c>
      <c r="O1826" t="s">
        <v>152</v>
      </c>
      <c r="P1826" t="s">
        <v>152</v>
      </c>
      <c r="Q1826" s="3">
        <v>31</v>
      </c>
      <c r="R1826" t="s">
        <v>35</v>
      </c>
      <c r="S1826" t="s">
        <v>88</v>
      </c>
    </row>
    <row r="1827" spans="1:19" x14ac:dyDescent="0.25">
      <c r="A1827">
        <v>1826</v>
      </c>
      <c r="B1827">
        <v>23</v>
      </c>
      <c r="C1827" t="s">
        <v>19</v>
      </c>
      <c r="D1827" t="s">
        <v>137</v>
      </c>
      <c r="E1827" t="s">
        <v>43</v>
      </c>
      <c r="F1827" s="1">
        <v>75</v>
      </c>
      <c r="G1827" t="s">
        <v>147</v>
      </c>
      <c r="H1827" t="s">
        <v>45</v>
      </c>
      <c r="I1827" t="s">
        <v>71</v>
      </c>
      <c r="J1827" t="s">
        <v>25</v>
      </c>
      <c r="K1827" s="2">
        <v>4.9000000000000004</v>
      </c>
      <c r="L1827" t="s">
        <v>152</v>
      </c>
      <c r="M1827" t="s">
        <v>34</v>
      </c>
      <c r="N1827" t="s">
        <v>47</v>
      </c>
      <c r="O1827" t="s">
        <v>152</v>
      </c>
      <c r="P1827" t="s">
        <v>152</v>
      </c>
      <c r="Q1827" s="3">
        <v>41</v>
      </c>
      <c r="R1827" t="s">
        <v>27</v>
      </c>
      <c r="S1827" t="s">
        <v>41</v>
      </c>
    </row>
    <row r="1828" spans="1:19" x14ac:dyDescent="0.25">
      <c r="A1828">
        <v>1827</v>
      </c>
      <c r="B1828">
        <v>45</v>
      </c>
      <c r="C1828" t="s">
        <v>19</v>
      </c>
      <c r="D1828" t="s">
        <v>113</v>
      </c>
      <c r="E1828" t="s">
        <v>21</v>
      </c>
      <c r="F1828" s="1">
        <v>60</v>
      </c>
      <c r="G1828" t="s">
        <v>116</v>
      </c>
      <c r="H1828" t="s">
        <v>45</v>
      </c>
      <c r="I1828" t="s">
        <v>49</v>
      </c>
      <c r="J1828" t="s">
        <v>25</v>
      </c>
      <c r="K1828" s="2">
        <v>4.2</v>
      </c>
      <c r="L1828" t="s">
        <v>152</v>
      </c>
      <c r="M1828" t="s">
        <v>46</v>
      </c>
      <c r="N1828" t="s">
        <v>28</v>
      </c>
      <c r="O1828" t="s">
        <v>152</v>
      </c>
      <c r="P1828" t="s">
        <v>152</v>
      </c>
      <c r="Q1828" s="3">
        <v>44</v>
      </c>
      <c r="R1828" t="s">
        <v>59</v>
      </c>
      <c r="S1828" t="s">
        <v>50</v>
      </c>
    </row>
    <row r="1829" spans="1:19" x14ac:dyDescent="0.25">
      <c r="A1829">
        <v>1828</v>
      </c>
      <c r="B1829">
        <v>20</v>
      </c>
      <c r="C1829" t="s">
        <v>19</v>
      </c>
      <c r="D1829" t="s">
        <v>113</v>
      </c>
      <c r="E1829" t="s">
        <v>21</v>
      </c>
      <c r="F1829" s="1">
        <v>36</v>
      </c>
      <c r="G1829" t="s">
        <v>129</v>
      </c>
      <c r="H1829" t="s">
        <v>38</v>
      </c>
      <c r="I1829" t="s">
        <v>71</v>
      </c>
      <c r="J1829" t="s">
        <v>39</v>
      </c>
      <c r="K1829" s="2">
        <v>4.9000000000000004</v>
      </c>
      <c r="L1829" t="s">
        <v>152</v>
      </c>
      <c r="M1829" t="s">
        <v>35</v>
      </c>
      <c r="N1829" t="s">
        <v>72</v>
      </c>
      <c r="O1829" t="s">
        <v>152</v>
      </c>
      <c r="P1829" t="s">
        <v>152</v>
      </c>
      <c r="Q1829" s="3">
        <v>31</v>
      </c>
      <c r="R1829" t="s">
        <v>34</v>
      </c>
      <c r="S1829" t="s">
        <v>41</v>
      </c>
    </row>
    <row r="1830" spans="1:19" x14ac:dyDescent="0.25">
      <c r="A1830">
        <v>1829</v>
      </c>
      <c r="B1830">
        <v>33</v>
      </c>
      <c r="C1830" t="s">
        <v>19</v>
      </c>
      <c r="D1830" t="s">
        <v>64</v>
      </c>
      <c r="E1830" t="s">
        <v>65</v>
      </c>
      <c r="F1830" s="1">
        <v>80</v>
      </c>
      <c r="G1830" t="s">
        <v>83</v>
      </c>
      <c r="H1830" t="s">
        <v>23</v>
      </c>
      <c r="I1830" t="s">
        <v>24</v>
      </c>
      <c r="J1830" t="s">
        <v>39</v>
      </c>
      <c r="K1830" s="2">
        <v>3.9</v>
      </c>
      <c r="L1830" t="s">
        <v>152</v>
      </c>
      <c r="M1830" t="s">
        <v>59</v>
      </c>
      <c r="N1830" t="s">
        <v>28</v>
      </c>
      <c r="O1830" t="s">
        <v>152</v>
      </c>
      <c r="P1830" t="s">
        <v>152</v>
      </c>
      <c r="Q1830" s="3">
        <v>45</v>
      </c>
      <c r="R1830" t="s">
        <v>35</v>
      </c>
      <c r="S1830" t="s">
        <v>97</v>
      </c>
    </row>
    <row r="1831" spans="1:19" x14ac:dyDescent="0.25">
      <c r="A1831">
        <v>1830</v>
      </c>
      <c r="B1831">
        <v>30</v>
      </c>
      <c r="C1831" t="s">
        <v>19</v>
      </c>
      <c r="D1831" t="s">
        <v>124</v>
      </c>
      <c r="E1831" t="s">
        <v>69</v>
      </c>
      <c r="F1831" s="1">
        <v>96</v>
      </c>
      <c r="G1831" t="s">
        <v>48</v>
      </c>
      <c r="H1831" t="s">
        <v>45</v>
      </c>
      <c r="I1831" t="s">
        <v>53</v>
      </c>
      <c r="J1831" t="s">
        <v>39</v>
      </c>
      <c r="K1831" s="2">
        <v>4.9000000000000004</v>
      </c>
      <c r="L1831" t="s">
        <v>152</v>
      </c>
      <c r="M1831" t="s">
        <v>29</v>
      </c>
      <c r="N1831" t="s">
        <v>72</v>
      </c>
      <c r="O1831" t="s">
        <v>152</v>
      </c>
      <c r="P1831" t="s">
        <v>152</v>
      </c>
      <c r="Q1831" s="3">
        <v>50</v>
      </c>
      <c r="R1831" t="s">
        <v>27</v>
      </c>
      <c r="S1831" t="s">
        <v>60</v>
      </c>
    </row>
    <row r="1832" spans="1:19" x14ac:dyDescent="0.25">
      <c r="A1832">
        <v>1831</v>
      </c>
      <c r="B1832">
        <v>50</v>
      </c>
      <c r="C1832" t="s">
        <v>19</v>
      </c>
      <c r="D1832" t="s">
        <v>89</v>
      </c>
      <c r="E1832" t="s">
        <v>69</v>
      </c>
      <c r="F1832" s="1">
        <v>80</v>
      </c>
      <c r="G1832" t="s">
        <v>111</v>
      </c>
      <c r="H1832" t="s">
        <v>45</v>
      </c>
      <c r="I1832" t="s">
        <v>144</v>
      </c>
      <c r="J1832" t="s">
        <v>25</v>
      </c>
      <c r="K1832" s="2">
        <v>4.8</v>
      </c>
      <c r="L1832" t="s">
        <v>152</v>
      </c>
      <c r="M1832" t="s">
        <v>27</v>
      </c>
      <c r="N1832" t="s">
        <v>28</v>
      </c>
      <c r="O1832" t="s">
        <v>152</v>
      </c>
      <c r="P1832" t="s">
        <v>152</v>
      </c>
      <c r="Q1832" s="3">
        <v>7</v>
      </c>
      <c r="R1832" t="s">
        <v>29</v>
      </c>
      <c r="S1832" t="s">
        <v>50</v>
      </c>
    </row>
    <row r="1833" spans="1:19" x14ac:dyDescent="0.25">
      <c r="A1833">
        <v>1832</v>
      </c>
      <c r="B1833">
        <v>62</v>
      </c>
      <c r="C1833" t="s">
        <v>19</v>
      </c>
      <c r="D1833" t="s">
        <v>20</v>
      </c>
      <c r="E1833" t="s">
        <v>21</v>
      </c>
      <c r="F1833" s="1">
        <v>71</v>
      </c>
      <c r="G1833" t="s">
        <v>32</v>
      </c>
      <c r="H1833" t="s">
        <v>45</v>
      </c>
      <c r="I1833" t="s">
        <v>109</v>
      </c>
      <c r="J1833" t="s">
        <v>54</v>
      </c>
      <c r="K1833" s="2">
        <v>3.3</v>
      </c>
      <c r="L1833" t="s">
        <v>152</v>
      </c>
      <c r="M1833" t="s">
        <v>34</v>
      </c>
      <c r="N1833" t="s">
        <v>40</v>
      </c>
      <c r="O1833" t="s">
        <v>152</v>
      </c>
      <c r="P1833" t="s">
        <v>152</v>
      </c>
      <c r="Q1833" s="3">
        <v>5</v>
      </c>
      <c r="R1833" t="s">
        <v>34</v>
      </c>
      <c r="S1833" t="s">
        <v>97</v>
      </c>
    </row>
    <row r="1834" spans="1:19" x14ac:dyDescent="0.25">
      <c r="A1834">
        <v>1833</v>
      </c>
      <c r="B1834">
        <v>69</v>
      </c>
      <c r="C1834" t="s">
        <v>19</v>
      </c>
      <c r="D1834" t="s">
        <v>106</v>
      </c>
      <c r="E1834" t="s">
        <v>69</v>
      </c>
      <c r="F1834" s="1">
        <v>29</v>
      </c>
      <c r="G1834" t="s">
        <v>62</v>
      </c>
      <c r="H1834" t="s">
        <v>45</v>
      </c>
      <c r="I1834" t="s">
        <v>144</v>
      </c>
      <c r="J1834" t="s">
        <v>58</v>
      </c>
      <c r="K1834" s="2">
        <v>4.5999999999999996</v>
      </c>
      <c r="L1834" t="s">
        <v>152</v>
      </c>
      <c r="M1834" t="s">
        <v>59</v>
      </c>
      <c r="N1834" t="s">
        <v>40</v>
      </c>
      <c r="O1834" t="s">
        <v>152</v>
      </c>
      <c r="P1834" t="s">
        <v>152</v>
      </c>
      <c r="Q1834" s="3">
        <v>48</v>
      </c>
      <c r="R1834" t="s">
        <v>35</v>
      </c>
      <c r="S1834" t="s">
        <v>88</v>
      </c>
    </row>
    <row r="1835" spans="1:19" x14ac:dyDescent="0.25">
      <c r="A1835">
        <v>1834</v>
      </c>
      <c r="B1835">
        <v>34</v>
      </c>
      <c r="C1835" t="s">
        <v>19</v>
      </c>
      <c r="D1835" t="s">
        <v>106</v>
      </c>
      <c r="E1835" t="s">
        <v>69</v>
      </c>
      <c r="F1835" s="1">
        <v>53</v>
      </c>
      <c r="G1835" t="s">
        <v>62</v>
      </c>
      <c r="H1835" t="s">
        <v>45</v>
      </c>
      <c r="I1835" t="s">
        <v>134</v>
      </c>
      <c r="J1835" t="s">
        <v>39</v>
      </c>
      <c r="K1835" s="2">
        <v>4.5</v>
      </c>
      <c r="L1835" t="s">
        <v>152</v>
      </c>
      <c r="M1835" t="s">
        <v>34</v>
      </c>
      <c r="N1835" t="s">
        <v>72</v>
      </c>
      <c r="O1835" t="s">
        <v>152</v>
      </c>
      <c r="P1835" t="s">
        <v>152</v>
      </c>
      <c r="Q1835" s="3">
        <v>19</v>
      </c>
      <c r="R1835" t="s">
        <v>46</v>
      </c>
      <c r="S1835" t="s">
        <v>30</v>
      </c>
    </row>
    <row r="1836" spans="1:19" x14ac:dyDescent="0.25">
      <c r="A1836">
        <v>1835</v>
      </c>
      <c r="B1836">
        <v>49</v>
      </c>
      <c r="C1836" t="s">
        <v>19</v>
      </c>
      <c r="D1836" t="s">
        <v>87</v>
      </c>
      <c r="E1836" t="s">
        <v>21</v>
      </c>
      <c r="F1836" s="1">
        <v>35</v>
      </c>
      <c r="G1836" t="s">
        <v>116</v>
      </c>
      <c r="H1836" t="s">
        <v>45</v>
      </c>
      <c r="I1836" t="s">
        <v>63</v>
      </c>
      <c r="J1836" t="s">
        <v>54</v>
      </c>
      <c r="K1836" s="2">
        <v>4.0999999999999996</v>
      </c>
      <c r="L1836" t="s">
        <v>152</v>
      </c>
      <c r="M1836" t="s">
        <v>29</v>
      </c>
      <c r="N1836" t="s">
        <v>72</v>
      </c>
      <c r="O1836" t="s">
        <v>152</v>
      </c>
      <c r="P1836" t="s">
        <v>152</v>
      </c>
      <c r="Q1836" s="3">
        <v>39</v>
      </c>
      <c r="R1836" t="s">
        <v>29</v>
      </c>
      <c r="S1836" t="s">
        <v>30</v>
      </c>
    </row>
    <row r="1837" spans="1:19" x14ac:dyDescent="0.25">
      <c r="A1837">
        <v>1836</v>
      </c>
      <c r="B1837">
        <v>65</v>
      </c>
      <c r="C1837" t="s">
        <v>19</v>
      </c>
      <c r="D1837" t="s">
        <v>119</v>
      </c>
      <c r="E1837" t="s">
        <v>69</v>
      </c>
      <c r="F1837" s="1">
        <v>75</v>
      </c>
      <c r="G1837" t="s">
        <v>22</v>
      </c>
      <c r="H1837" t="s">
        <v>45</v>
      </c>
      <c r="I1837" t="s">
        <v>93</v>
      </c>
      <c r="J1837" t="s">
        <v>58</v>
      </c>
      <c r="K1837" s="2">
        <v>3.2</v>
      </c>
      <c r="L1837" t="s">
        <v>152</v>
      </c>
      <c r="M1837" t="s">
        <v>35</v>
      </c>
      <c r="N1837" t="s">
        <v>72</v>
      </c>
      <c r="O1837" t="s">
        <v>152</v>
      </c>
      <c r="P1837" t="s">
        <v>152</v>
      </c>
      <c r="Q1837" s="3">
        <v>45</v>
      </c>
      <c r="R1837" t="s">
        <v>27</v>
      </c>
      <c r="S1837" t="s">
        <v>60</v>
      </c>
    </row>
    <row r="1838" spans="1:19" x14ac:dyDescent="0.25">
      <c r="A1838">
        <v>1837</v>
      </c>
      <c r="B1838">
        <v>66</v>
      </c>
      <c r="C1838" t="s">
        <v>19</v>
      </c>
      <c r="D1838" t="s">
        <v>95</v>
      </c>
      <c r="E1838" t="s">
        <v>21</v>
      </c>
      <c r="F1838" s="1">
        <v>52</v>
      </c>
      <c r="G1838" t="s">
        <v>131</v>
      </c>
      <c r="H1838" t="s">
        <v>45</v>
      </c>
      <c r="I1838" t="s">
        <v>86</v>
      </c>
      <c r="J1838" t="s">
        <v>58</v>
      </c>
      <c r="K1838" s="2">
        <v>4.2</v>
      </c>
      <c r="L1838" t="s">
        <v>152</v>
      </c>
      <c r="M1838" t="s">
        <v>35</v>
      </c>
      <c r="N1838" t="s">
        <v>72</v>
      </c>
      <c r="O1838" t="s">
        <v>152</v>
      </c>
      <c r="P1838" t="s">
        <v>152</v>
      </c>
      <c r="Q1838" s="3">
        <v>35</v>
      </c>
      <c r="R1838" t="s">
        <v>27</v>
      </c>
      <c r="S1838" t="s">
        <v>88</v>
      </c>
    </row>
    <row r="1839" spans="1:19" x14ac:dyDescent="0.25">
      <c r="A1839">
        <v>1838</v>
      </c>
      <c r="B1839">
        <v>41</v>
      </c>
      <c r="C1839" t="s">
        <v>19</v>
      </c>
      <c r="D1839" t="s">
        <v>124</v>
      </c>
      <c r="E1839" t="s">
        <v>69</v>
      </c>
      <c r="F1839" s="1">
        <v>77</v>
      </c>
      <c r="G1839" t="s">
        <v>57</v>
      </c>
      <c r="H1839" t="s">
        <v>45</v>
      </c>
      <c r="I1839" t="s">
        <v>118</v>
      </c>
      <c r="J1839" t="s">
        <v>25</v>
      </c>
      <c r="K1839" s="2">
        <v>4.8</v>
      </c>
      <c r="L1839" t="s">
        <v>152</v>
      </c>
      <c r="M1839" t="s">
        <v>46</v>
      </c>
      <c r="N1839" t="s">
        <v>40</v>
      </c>
      <c r="O1839" t="s">
        <v>152</v>
      </c>
      <c r="P1839" t="s">
        <v>152</v>
      </c>
      <c r="Q1839" s="3">
        <v>8</v>
      </c>
      <c r="R1839" t="s">
        <v>29</v>
      </c>
      <c r="S1839" t="s">
        <v>88</v>
      </c>
    </row>
    <row r="1840" spans="1:19" x14ac:dyDescent="0.25">
      <c r="A1840">
        <v>1839</v>
      </c>
      <c r="B1840">
        <v>37</v>
      </c>
      <c r="C1840" t="s">
        <v>19</v>
      </c>
      <c r="D1840" t="s">
        <v>143</v>
      </c>
      <c r="E1840" t="s">
        <v>69</v>
      </c>
      <c r="F1840" s="1">
        <v>24</v>
      </c>
      <c r="G1840" t="s">
        <v>129</v>
      </c>
      <c r="H1840" t="s">
        <v>23</v>
      </c>
      <c r="I1840" t="s">
        <v>144</v>
      </c>
      <c r="J1840" t="s">
        <v>58</v>
      </c>
      <c r="K1840" s="2">
        <v>4.0999999999999996</v>
      </c>
      <c r="L1840" t="s">
        <v>152</v>
      </c>
      <c r="M1840" t="s">
        <v>27</v>
      </c>
      <c r="N1840" t="s">
        <v>47</v>
      </c>
      <c r="O1840" t="s">
        <v>152</v>
      </c>
      <c r="P1840" t="s">
        <v>152</v>
      </c>
      <c r="Q1840" s="3">
        <v>11</v>
      </c>
      <c r="R1840" t="s">
        <v>27</v>
      </c>
      <c r="S1840" t="s">
        <v>60</v>
      </c>
    </row>
    <row r="1841" spans="1:19" x14ac:dyDescent="0.25">
      <c r="A1841">
        <v>1840</v>
      </c>
      <c r="B1841">
        <v>32</v>
      </c>
      <c r="C1841" t="s">
        <v>19</v>
      </c>
      <c r="D1841" t="s">
        <v>56</v>
      </c>
      <c r="E1841" t="s">
        <v>21</v>
      </c>
      <c r="F1841" s="1">
        <v>78</v>
      </c>
      <c r="G1841" t="s">
        <v>91</v>
      </c>
      <c r="H1841" t="s">
        <v>92</v>
      </c>
      <c r="I1841" t="s">
        <v>75</v>
      </c>
      <c r="J1841" t="s">
        <v>25</v>
      </c>
      <c r="K1841" s="2">
        <v>3.7</v>
      </c>
      <c r="L1841" t="s">
        <v>152</v>
      </c>
      <c r="M1841" t="s">
        <v>29</v>
      </c>
      <c r="N1841" t="s">
        <v>76</v>
      </c>
      <c r="O1841" t="s">
        <v>152</v>
      </c>
      <c r="P1841" t="s">
        <v>152</v>
      </c>
      <c r="Q1841" s="3">
        <v>32</v>
      </c>
      <c r="R1841" t="s">
        <v>35</v>
      </c>
      <c r="S1841" t="s">
        <v>50</v>
      </c>
    </row>
    <row r="1842" spans="1:19" x14ac:dyDescent="0.25">
      <c r="A1842">
        <v>1841</v>
      </c>
      <c r="B1842">
        <v>42</v>
      </c>
      <c r="C1842" t="s">
        <v>19</v>
      </c>
      <c r="D1842" t="s">
        <v>42</v>
      </c>
      <c r="E1842" t="s">
        <v>43</v>
      </c>
      <c r="F1842" s="1">
        <v>98</v>
      </c>
      <c r="G1842" t="s">
        <v>52</v>
      </c>
      <c r="H1842" t="s">
        <v>45</v>
      </c>
      <c r="I1842" t="s">
        <v>81</v>
      </c>
      <c r="J1842" t="s">
        <v>25</v>
      </c>
      <c r="K1842" s="2">
        <v>2.6</v>
      </c>
      <c r="L1842" t="s">
        <v>152</v>
      </c>
      <c r="M1842" t="s">
        <v>35</v>
      </c>
      <c r="N1842" t="s">
        <v>76</v>
      </c>
      <c r="O1842" t="s">
        <v>152</v>
      </c>
      <c r="P1842" t="s">
        <v>152</v>
      </c>
      <c r="Q1842" s="3">
        <v>46</v>
      </c>
      <c r="R1842" t="s">
        <v>34</v>
      </c>
      <c r="S1842" t="s">
        <v>97</v>
      </c>
    </row>
    <row r="1843" spans="1:19" x14ac:dyDescent="0.25">
      <c r="A1843">
        <v>1842</v>
      </c>
      <c r="B1843">
        <v>31</v>
      </c>
      <c r="C1843" t="s">
        <v>19</v>
      </c>
      <c r="D1843" t="s">
        <v>125</v>
      </c>
      <c r="E1843" t="s">
        <v>21</v>
      </c>
      <c r="F1843" s="1">
        <v>57</v>
      </c>
      <c r="G1843" t="s">
        <v>129</v>
      </c>
      <c r="H1843" t="s">
        <v>23</v>
      </c>
      <c r="I1843" t="s">
        <v>144</v>
      </c>
      <c r="J1843" t="s">
        <v>25</v>
      </c>
      <c r="K1843" s="2">
        <v>3</v>
      </c>
      <c r="L1843" t="s">
        <v>152</v>
      </c>
      <c r="M1843" t="s">
        <v>59</v>
      </c>
      <c r="N1843" t="s">
        <v>55</v>
      </c>
      <c r="O1843" t="s">
        <v>152</v>
      </c>
      <c r="P1843" t="s">
        <v>152</v>
      </c>
      <c r="Q1843" s="3">
        <v>7</v>
      </c>
      <c r="R1843" t="s">
        <v>46</v>
      </c>
      <c r="S1843" t="s">
        <v>97</v>
      </c>
    </row>
    <row r="1844" spans="1:19" x14ac:dyDescent="0.25">
      <c r="A1844">
        <v>1843</v>
      </c>
      <c r="B1844">
        <v>61</v>
      </c>
      <c r="C1844" t="s">
        <v>19</v>
      </c>
      <c r="D1844" t="s">
        <v>68</v>
      </c>
      <c r="E1844" t="s">
        <v>69</v>
      </c>
      <c r="F1844" s="1">
        <v>78</v>
      </c>
      <c r="G1844" t="s">
        <v>90</v>
      </c>
      <c r="H1844" t="s">
        <v>45</v>
      </c>
      <c r="I1844" t="s">
        <v>94</v>
      </c>
      <c r="J1844" t="s">
        <v>54</v>
      </c>
      <c r="K1844" s="2">
        <v>4.4000000000000004</v>
      </c>
      <c r="L1844" t="s">
        <v>152</v>
      </c>
      <c r="M1844" t="s">
        <v>34</v>
      </c>
      <c r="N1844" t="s">
        <v>28</v>
      </c>
      <c r="O1844" t="s">
        <v>152</v>
      </c>
      <c r="P1844" t="s">
        <v>152</v>
      </c>
      <c r="Q1844" s="3">
        <v>1</v>
      </c>
      <c r="R1844" t="s">
        <v>59</v>
      </c>
      <c r="S1844" t="s">
        <v>50</v>
      </c>
    </row>
    <row r="1845" spans="1:19" x14ac:dyDescent="0.25">
      <c r="A1845">
        <v>1844</v>
      </c>
      <c r="B1845">
        <v>36</v>
      </c>
      <c r="C1845" t="s">
        <v>19</v>
      </c>
      <c r="D1845" t="s">
        <v>102</v>
      </c>
      <c r="E1845" t="s">
        <v>65</v>
      </c>
      <c r="F1845" s="1">
        <v>76</v>
      </c>
      <c r="G1845" t="s">
        <v>22</v>
      </c>
      <c r="H1845" t="s">
        <v>45</v>
      </c>
      <c r="I1845" t="s">
        <v>63</v>
      </c>
      <c r="J1845" t="s">
        <v>58</v>
      </c>
      <c r="K1845" s="2">
        <v>4.7</v>
      </c>
      <c r="L1845" t="s">
        <v>152</v>
      </c>
      <c r="M1845" t="s">
        <v>34</v>
      </c>
      <c r="N1845" t="s">
        <v>47</v>
      </c>
      <c r="O1845" t="s">
        <v>152</v>
      </c>
      <c r="P1845" t="s">
        <v>152</v>
      </c>
      <c r="Q1845" s="3">
        <v>32</v>
      </c>
      <c r="R1845" t="s">
        <v>27</v>
      </c>
      <c r="S1845" t="s">
        <v>88</v>
      </c>
    </row>
    <row r="1846" spans="1:19" x14ac:dyDescent="0.25">
      <c r="A1846">
        <v>1845</v>
      </c>
      <c r="B1846">
        <v>60</v>
      </c>
      <c r="C1846" t="s">
        <v>19</v>
      </c>
      <c r="D1846" t="s">
        <v>61</v>
      </c>
      <c r="E1846" t="s">
        <v>21</v>
      </c>
      <c r="F1846" s="1">
        <v>26</v>
      </c>
      <c r="G1846" t="s">
        <v>147</v>
      </c>
      <c r="H1846" t="s">
        <v>45</v>
      </c>
      <c r="I1846" t="s">
        <v>75</v>
      </c>
      <c r="J1846" t="s">
        <v>39</v>
      </c>
      <c r="K1846" s="2">
        <v>2.7</v>
      </c>
      <c r="L1846" t="s">
        <v>152</v>
      </c>
      <c r="M1846" t="s">
        <v>29</v>
      </c>
      <c r="N1846" t="s">
        <v>72</v>
      </c>
      <c r="O1846" t="s">
        <v>152</v>
      </c>
      <c r="P1846" t="s">
        <v>152</v>
      </c>
      <c r="Q1846" s="3">
        <v>31</v>
      </c>
      <c r="R1846" t="s">
        <v>27</v>
      </c>
      <c r="S1846" t="s">
        <v>50</v>
      </c>
    </row>
    <row r="1847" spans="1:19" x14ac:dyDescent="0.25">
      <c r="A1847">
        <v>1846</v>
      </c>
      <c r="B1847">
        <v>51</v>
      </c>
      <c r="C1847" t="s">
        <v>19</v>
      </c>
      <c r="D1847" t="s">
        <v>42</v>
      </c>
      <c r="E1847" t="s">
        <v>43</v>
      </c>
      <c r="F1847" s="1">
        <v>78</v>
      </c>
      <c r="G1847" t="s">
        <v>80</v>
      </c>
      <c r="H1847" t="s">
        <v>45</v>
      </c>
      <c r="I1847" t="s">
        <v>121</v>
      </c>
      <c r="J1847" t="s">
        <v>25</v>
      </c>
      <c r="K1847" s="2">
        <v>2.8</v>
      </c>
      <c r="L1847" t="s">
        <v>152</v>
      </c>
      <c r="M1847" t="s">
        <v>59</v>
      </c>
      <c r="N1847" t="s">
        <v>72</v>
      </c>
      <c r="O1847" t="s">
        <v>152</v>
      </c>
      <c r="P1847" t="s">
        <v>152</v>
      </c>
      <c r="Q1847" s="3">
        <v>39</v>
      </c>
      <c r="R1847" t="s">
        <v>34</v>
      </c>
      <c r="S1847" t="s">
        <v>60</v>
      </c>
    </row>
    <row r="1848" spans="1:19" x14ac:dyDescent="0.25">
      <c r="A1848">
        <v>1847</v>
      </c>
      <c r="B1848">
        <v>68</v>
      </c>
      <c r="C1848" t="s">
        <v>19</v>
      </c>
      <c r="D1848" t="s">
        <v>119</v>
      </c>
      <c r="E1848" t="s">
        <v>69</v>
      </c>
      <c r="F1848" s="1">
        <v>53</v>
      </c>
      <c r="G1848" t="s">
        <v>150</v>
      </c>
      <c r="H1848" t="s">
        <v>45</v>
      </c>
      <c r="I1848" t="s">
        <v>134</v>
      </c>
      <c r="J1848" t="s">
        <v>54</v>
      </c>
      <c r="K1848" s="2">
        <v>2.9</v>
      </c>
      <c r="L1848" t="s">
        <v>152</v>
      </c>
      <c r="M1848" t="s">
        <v>59</v>
      </c>
      <c r="N1848" t="s">
        <v>55</v>
      </c>
      <c r="O1848" t="s">
        <v>152</v>
      </c>
      <c r="P1848" t="s">
        <v>152</v>
      </c>
      <c r="Q1848" s="3">
        <v>9</v>
      </c>
      <c r="R1848" t="s">
        <v>29</v>
      </c>
      <c r="S1848" t="s">
        <v>60</v>
      </c>
    </row>
    <row r="1849" spans="1:19" x14ac:dyDescent="0.25">
      <c r="A1849">
        <v>1848</v>
      </c>
      <c r="B1849">
        <v>46</v>
      </c>
      <c r="C1849" t="s">
        <v>19</v>
      </c>
      <c r="D1849" t="s">
        <v>42</v>
      </c>
      <c r="E1849" t="s">
        <v>43</v>
      </c>
      <c r="F1849" s="1">
        <v>100</v>
      </c>
      <c r="G1849" t="s">
        <v>117</v>
      </c>
      <c r="H1849" t="s">
        <v>92</v>
      </c>
      <c r="I1849" t="s">
        <v>109</v>
      </c>
      <c r="J1849" t="s">
        <v>54</v>
      </c>
      <c r="K1849" s="2">
        <v>4.4000000000000004</v>
      </c>
      <c r="L1849" t="s">
        <v>152</v>
      </c>
      <c r="M1849" t="s">
        <v>59</v>
      </c>
      <c r="N1849" t="s">
        <v>40</v>
      </c>
      <c r="O1849" t="s">
        <v>152</v>
      </c>
      <c r="P1849" t="s">
        <v>152</v>
      </c>
      <c r="Q1849" s="3">
        <v>49</v>
      </c>
      <c r="R1849" t="s">
        <v>27</v>
      </c>
      <c r="S1849" t="s">
        <v>41</v>
      </c>
    </row>
    <row r="1850" spans="1:19" x14ac:dyDescent="0.25">
      <c r="A1850">
        <v>1849</v>
      </c>
      <c r="B1850">
        <v>19</v>
      </c>
      <c r="C1850" t="s">
        <v>19</v>
      </c>
      <c r="D1850" t="s">
        <v>36</v>
      </c>
      <c r="E1850" t="s">
        <v>21</v>
      </c>
      <c r="F1850" s="1">
        <v>73</v>
      </c>
      <c r="G1850" t="s">
        <v>32</v>
      </c>
      <c r="H1850" t="s">
        <v>92</v>
      </c>
      <c r="I1850" t="s">
        <v>134</v>
      </c>
      <c r="J1850" t="s">
        <v>25</v>
      </c>
      <c r="K1850" s="2">
        <v>2.7</v>
      </c>
      <c r="L1850" t="s">
        <v>152</v>
      </c>
      <c r="M1850" t="s">
        <v>27</v>
      </c>
      <c r="N1850" t="s">
        <v>28</v>
      </c>
      <c r="O1850" t="s">
        <v>152</v>
      </c>
      <c r="P1850" t="s">
        <v>152</v>
      </c>
      <c r="Q1850" s="3">
        <v>34</v>
      </c>
      <c r="R1850" t="s">
        <v>35</v>
      </c>
      <c r="S1850" t="s">
        <v>97</v>
      </c>
    </row>
    <row r="1851" spans="1:19" x14ac:dyDescent="0.25">
      <c r="A1851">
        <v>1850</v>
      </c>
      <c r="B1851">
        <v>30</v>
      </c>
      <c r="C1851" t="s">
        <v>19</v>
      </c>
      <c r="D1851" t="s">
        <v>87</v>
      </c>
      <c r="E1851" t="s">
        <v>21</v>
      </c>
      <c r="F1851" s="1">
        <v>40</v>
      </c>
      <c r="G1851" t="s">
        <v>130</v>
      </c>
      <c r="H1851" t="s">
        <v>45</v>
      </c>
      <c r="I1851" t="s">
        <v>33</v>
      </c>
      <c r="J1851" t="s">
        <v>25</v>
      </c>
      <c r="K1851" s="2">
        <v>4.5</v>
      </c>
      <c r="L1851" t="s">
        <v>152</v>
      </c>
      <c r="M1851" t="s">
        <v>27</v>
      </c>
      <c r="N1851" t="s">
        <v>76</v>
      </c>
      <c r="O1851" t="s">
        <v>152</v>
      </c>
      <c r="P1851" t="s">
        <v>152</v>
      </c>
      <c r="Q1851" s="3">
        <v>35</v>
      </c>
      <c r="R1851" t="s">
        <v>34</v>
      </c>
      <c r="S1851" t="s">
        <v>88</v>
      </c>
    </row>
    <row r="1852" spans="1:19" x14ac:dyDescent="0.25">
      <c r="A1852">
        <v>1851</v>
      </c>
      <c r="B1852">
        <v>51</v>
      </c>
      <c r="C1852" t="s">
        <v>19</v>
      </c>
      <c r="D1852" t="s">
        <v>143</v>
      </c>
      <c r="E1852" t="s">
        <v>69</v>
      </c>
      <c r="F1852" s="1">
        <v>76</v>
      </c>
      <c r="G1852" t="s">
        <v>52</v>
      </c>
      <c r="H1852" t="s">
        <v>38</v>
      </c>
      <c r="I1852" t="s">
        <v>94</v>
      </c>
      <c r="J1852" t="s">
        <v>25</v>
      </c>
      <c r="K1852" s="2">
        <v>2.8</v>
      </c>
      <c r="L1852" t="s">
        <v>152</v>
      </c>
      <c r="M1852" t="s">
        <v>27</v>
      </c>
      <c r="N1852" t="s">
        <v>76</v>
      </c>
      <c r="O1852" t="s">
        <v>152</v>
      </c>
      <c r="P1852" t="s">
        <v>152</v>
      </c>
      <c r="Q1852" s="3">
        <v>50</v>
      </c>
      <c r="R1852" t="s">
        <v>59</v>
      </c>
      <c r="S1852" t="s">
        <v>41</v>
      </c>
    </row>
    <row r="1853" spans="1:19" x14ac:dyDescent="0.25">
      <c r="A1853">
        <v>1852</v>
      </c>
      <c r="B1853">
        <v>28</v>
      </c>
      <c r="C1853" t="s">
        <v>19</v>
      </c>
      <c r="D1853" t="s">
        <v>87</v>
      </c>
      <c r="E1853" t="s">
        <v>21</v>
      </c>
      <c r="F1853" s="1">
        <v>80</v>
      </c>
      <c r="G1853" t="s">
        <v>80</v>
      </c>
      <c r="H1853" t="s">
        <v>38</v>
      </c>
      <c r="I1853" t="s">
        <v>93</v>
      </c>
      <c r="J1853" t="s">
        <v>58</v>
      </c>
      <c r="K1853" s="2">
        <v>3.1</v>
      </c>
      <c r="L1853" t="s">
        <v>152</v>
      </c>
      <c r="M1853" t="s">
        <v>29</v>
      </c>
      <c r="N1853" t="s">
        <v>40</v>
      </c>
      <c r="O1853" t="s">
        <v>152</v>
      </c>
      <c r="P1853" t="s">
        <v>152</v>
      </c>
      <c r="Q1853" s="3">
        <v>4</v>
      </c>
      <c r="R1853" t="s">
        <v>34</v>
      </c>
      <c r="S1853" t="s">
        <v>30</v>
      </c>
    </row>
    <row r="1854" spans="1:19" x14ac:dyDescent="0.25">
      <c r="A1854">
        <v>1853</v>
      </c>
      <c r="B1854">
        <v>41</v>
      </c>
      <c r="C1854" t="s">
        <v>19</v>
      </c>
      <c r="D1854" t="s">
        <v>31</v>
      </c>
      <c r="E1854" t="s">
        <v>21</v>
      </c>
      <c r="F1854" s="1">
        <v>80</v>
      </c>
      <c r="G1854" t="s">
        <v>138</v>
      </c>
      <c r="H1854" t="s">
        <v>92</v>
      </c>
      <c r="I1854" t="s">
        <v>84</v>
      </c>
      <c r="J1854" t="s">
        <v>25</v>
      </c>
      <c r="K1854" s="2">
        <v>3.8</v>
      </c>
      <c r="L1854" t="s">
        <v>152</v>
      </c>
      <c r="M1854" t="s">
        <v>35</v>
      </c>
      <c r="N1854" t="s">
        <v>76</v>
      </c>
      <c r="O1854" t="s">
        <v>152</v>
      </c>
      <c r="P1854" t="s">
        <v>152</v>
      </c>
      <c r="Q1854" s="3">
        <v>32</v>
      </c>
      <c r="R1854" t="s">
        <v>35</v>
      </c>
      <c r="S1854" t="s">
        <v>41</v>
      </c>
    </row>
    <row r="1855" spans="1:19" x14ac:dyDescent="0.25">
      <c r="A1855">
        <v>1854</v>
      </c>
      <c r="B1855">
        <v>29</v>
      </c>
      <c r="C1855" t="s">
        <v>19</v>
      </c>
      <c r="D1855" t="s">
        <v>20</v>
      </c>
      <c r="E1855" t="s">
        <v>21</v>
      </c>
      <c r="F1855" s="1">
        <v>67</v>
      </c>
      <c r="G1855" t="s">
        <v>114</v>
      </c>
      <c r="H1855" t="s">
        <v>92</v>
      </c>
      <c r="I1855" t="s">
        <v>79</v>
      </c>
      <c r="J1855" t="s">
        <v>39</v>
      </c>
      <c r="K1855" s="2">
        <v>2.9</v>
      </c>
      <c r="L1855" t="s">
        <v>152</v>
      </c>
      <c r="M1855" t="s">
        <v>34</v>
      </c>
      <c r="N1855" t="s">
        <v>28</v>
      </c>
      <c r="O1855" t="s">
        <v>152</v>
      </c>
      <c r="P1855" t="s">
        <v>152</v>
      </c>
      <c r="Q1855" s="3">
        <v>11</v>
      </c>
      <c r="R1855" t="s">
        <v>46</v>
      </c>
      <c r="S1855" t="s">
        <v>30</v>
      </c>
    </row>
    <row r="1856" spans="1:19" x14ac:dyDescent="0.25">
      <c r="A1856">
        <v>1855</v>
      </c>
      <c r="B1856">
        <v>25</v>
      </c>
      <c r="C1856" t="s">
        <v>19</v>
      </c>
      <c r="D1856" t="s">
        <v>31</v>
      </c>
      <c r="E1856" t="s">
        <v>21</v>
      </c>
      <c r="F1856" s="1">
        <v>61</v>
      </c>
      <c r="G1856" t="s">
        <v>22</v>
      </c>
      <c r="H1856" t="s">
        <v>45</v>
      </c>
      <c r="I1856" t="s">
        <v>86</v>
      </c>
      <c r="J1856" t="s">
        <v>39</v>
      </c>
      <c r="K1856" s="2">
        <v>3.8</v>
      </c>
      <c r="L1856" t="s">
        <v>152</v>
      </c>
      <c r="M1856" t="s">
        <v>27</v>
      </c>
      <c r="N1856" t="s">
        <v>28</v>
      </c>
      <c r="O1856" t="s">
        <v>152</v>
      </c>
      <c r="P1856" t="s">
        <v>152</v>
      </c>
      <c r="Q1856" s="3">
        <v>49</v>
      </c>
      <c r="R1856" t="s">
        <v>27</v>
      </c>
      <c r="S1856" t="s">
        <v>50</v>
      </c>
    </row>
    <row r="1857" spans="1:19" x14ac:dyDescent="0.25">
      <c r="A1857">
        <v>1856</v>
      </c>
      <c r="B1857">
        <v>60</v>
      </c>
      <c r="C1857" t="s">
        <v>19</v>
      </c>
      <c r="D1857" t="s">
        <v>56</v>
      </c>
      <c r="E1857" t="s">
        <v>21</v>
      </c>
      <c r="F1857" s="1">
        <v>76</v>
      </c>
      <c r="G1857" t="s">
        <v>44</v>
      </c>
      <c r="H1857" t="s">
        <v>92</v>
      </c>
      <c r="I1857" t="s">
        <v>86</v>
      </c>
      <c r="J1857" t="s">
        <v>39</v>
      </c>
      <c r="K1857" s="2">
        <v>4.7</v>
      </c>
      <c r="L1857" t="s">
        <v>152</v>
      </c>
      <c r="M1857" t="s">
        <v>34</v>
      </c>
      <c r="N1857" t="s">
        <v>55</v>
      </c>
      <c r="O1857" t="s">
        <v>152</v>
      </c>
      <c r="P1857" t="s">
        <v>152</v>
      </c>
      <c r="Q1857" s="3">
        <v>9</v>
      </c>
      <c r="R1857" t="s">
        <v>35</v>
      </c>
      <c r="S1857" t="s">
        <v>50</v>
      </c>
    </row>
    <row r="1858" spans="1:19" x14ac:dyDescent="0.25">
      <c r="A1858">
        <v>1857</v>
      </c>
      <c r="B1858">
        <v>63</v>
      </c>
      <c r="C1858" t="s">
        <v>19</v>
      </c>
      <c r="D1858" t="s">
        <v>106</v>
      </c>
      <c r="E1858" t="s">
        <v>69</v>
      </c>
      <c r="F1858" s="1">
        <v>55</v>
      </c>
      <c r="G1858" t="s">
        <v>117</v>
      </c>
      <c r="H1858" t="s">
        <v>92</v>
      </c>
      <c r="I1858" t="s">
        <v>118</v>
      </c>
      <c r="J1858" t="s">
        <v>54</v>
      </c>
      <c r="K1858" s="2">
        <v>3.2</v>
      </c>
      <c r="L1858" t="s">
        <v>152</v>
      </c>
      <c r="M1858" t="s">
        <v>29</v>
      </c>
      <c r="N1858" t="s">
        <v>40</v>
      </c>
      <c r="O1858" t="s">
        <v>152</v>
      </c>
      <c r="P1858" t="s">
        <v>152</v>
      </c>
      <c r="Q1858" s="3">
        <v>30</v>
      </c>
      <c r="R1858" t="s">
        <v>46</v>
      </c>
      <c r="S1858" t="s">
        <v>77</v>
      </c>
    </row>
    <row r="1859" spans="1:19" x14ac:dyDescent="0.25">
      <c r="A1859">
        <v>1858</v>
      </c>
      <c r="B1859">
        <v>51</v>
      </c>
      <c r="C1859" t="s">
        <v>19</v>
      </c>
      <c r="D1859" t="s">
        <v>113</v>
      </c>
      <c r="E1859" t="s">
        <v>21</v>
      </c>
      <c r="F1859" s="1">
        <v>85</v>
      </c>
      <c r="G1859" t="s">
        <v>112</v>
      </c>
      <c r="H1859" t="s">
        <v>23</v>
      </c>
      <c r="I1859" t="s">
        <v>33</v>
      </c>
      <c r="J1859" t="s">
        <v>54</v>
      </c>
      <c r="K1859" s="2">
        <v>4</v>
      </c>
      <c r="L1859" t="s">
        <v>152</v>
      </c>
      <c r="M1859" t="s">
        <v>35</v>
      </c>
      <c r="N1859" t="s">
        <v>47</v>
      </c>
      <c r="O1859" t="s">
        <v>152</v>
      </c>
      <c r="P1859" t="s">
        <v>152</v>
      </c>
      <c r="Q1859" s="3">
        <v>33</v>
      </c>
      <c r="R1859" t="s">
        <v>35</v>
      </c>
      <c r="S1859" t="s">
        <v>88</v>
      </c>
    </row>
    <row r="1860" spans="1:19" x14ac:dyDescent="0.25">
      <c r="A1860">
        <v>1859</v>
      </c>
      <c r="B1860">
        <v>22</v>
      </c>
      <c r="C1860" t="s">
        <v>19</v>
      </c>
      <c r="D1860" t="s">
        <v>119</v>
      </c>
      <c r="E1860" t="s">
        <v>69</v>
      </c>
      <c r="F1860" s="1">
        <v>69</v>
      </c>
      <c r="G1860" t="s">
        <v>32</v>
      </c>
      <c r="H1860" t="s">
        <v>38</v>
      </c>
      <c r="I1860" t="s">
        <v>100</v>
      </c>
      <c r="J1860" t="s">
        <v>39</v>
      </c>
      <c r="K1860" s="2">
        <v>4.9000000000000004</v>
      </c>
      <c r="L1860" t="s">
        <v>152</v>
      </c>
      <c r="M1860" t="s">
        <v>29</v>
      </c>
      <c r="N1860" t="s">
        <v>72</v>
      </c>
      <c r="O1860" t="s">
        <v>152</v>
      </c>
      <c r="P1860" t="s">
        <v>152</v>
      </c>
      <c r="Q1860" s="3">
        <v>8</v>
      </c>
      <c r="R1860" t="s">
        <v>59</v>
      </c>
      <c r="S1860" t="s">
        <v>50</v>
      </c>
    </row>
    <row r="1861" spans="1:19" x14ac:dyDescent="0.25">
      <c r="A1861">
        <v>1860</v>
      </c>
      <c r="B1861">
        <v>54</v>
      </c>
      <c r="C1861" t="s">
        <v>19</v>
      </c>
      <c r="D1861" t="s">
        <v>133</v>
      </c>
      <c r="E1861" t="s">
        <v>69</v>
      </c>
      <c r="F1861" s="1">
        <v>26</v>
      </c>
      <c r="G1861" t="s">
        <v>127</v>
      </c>
      <c r="H1861" t="s">
        <v>23</v>
      </c>
      <c r="I1861" t="s">
        <v>118</v>
      </c>
      <c r="J1861" t="s">
        <v>54</v>
      </c>
      <c r="K1861" s="2">
        <v>3.7</v>
      </c>
      <c r="L1861" t="s">
        <v>152</v>
      </c>
      <c r="M1861" t="s">
        <v>27</v>
      </c>
      <c r="N1861" t="s">
        <v>76</v>
      </c>
      <c r="O1861" t="s">
        <v>152</v>
      </c>
      <c r="P1861" t="s">
        <v>152</v>
      </c>
      <c r="Q1861" s="3">
        <v>29</v>
      </c>
      <c r="R1861" t="s">
        <v>59</v>
      </c>
      <c r="S1861" t="s">
        <v>30</v>
      </c>
    </row>
    <row r="1862" spans="1:19" x14ac:dyDescent="0.25">
      <c r="A1862">
        <v>1861</v>
      </c>
      <c r="B1862">
        <v>18</v>
      </c>
      <c r="C1862" t="s">
        <v>19</v>
      </c>
      <c r="D1862" t="s">
        <v>113</v>
      </c>
      <c r="E1862" t="s">
        <v>21</v>
      </c>
      <c r="F1862" s="1">
        <v>64</v>
      </c>
      <c r="G1862" t="s">
        <v>111</v>
      </c>
      <c r="H1862" t="s">
        <v>45</v>
      </c>
      <c r="I1862" t="s">
        <v>67</v>
      </c>
      <c r="J1862" t="s">
        <v>54</v>
      </c>
      <c r="K1862" s="2">
        <v>4.8</v>
      </c>
      <c r="L1862" t="s">
        <v>152</v>
      </c>
      <c r="M1862" t="s">
        <v>27</v>
      </c>
      <c r="N1862" t="s">
        <v>47</v>
      </c>
      <c r="O1862" t="s">
        <v>152</v>
      </c>
      <c r="P1862" t="s">
        <v>152</v>
      </c>
      <c r="Q1862" s="3">
        <v>4</v>
      </c>
      <c r="R1862" t="s">
        <v>27</v>
      </c>
      <c r="S1862" t="s">
        <v>88</v>
      </c>
    </row>
    <row r="1863" spans="1:19" x14ac:dyDescent="0.25">
      <c r="A1863">
        <v>1862</v>
      </c>
      <c r="B1863">
        <v>29</v>
      </c>
      <c r="C1863" t="s">
        <v>19</v>
      </c>
      <c r="D1863" t="s">
        <v>51</v>
      </c>
      <c r="E1863" t="s">
        <v>43</v>
      </c>
      <c r="F1863" s="1">
        <v>60</v>
      </c>
      <c r="G1863" t="s">
        <v>147</v>
      </c>
      <c r="H1863" t="s">
        <v>38</v>
      </c>
      <c r="I1863" t="s">
        <v>100</v>
      </c>
      <c r="J1863" t="s">
        <v>58</v>
      </c>
      <c r="K1863" s="2">
        <v>3.6</v>
      </c>
      <c r="L1863" t="s">
        <v>152</v>
      </c>
      <c r="M1863" t="s">
        <v>34</v>
      </c>
      <c r="N1863" t="s">
        <v>55</v>
      </c>
      <c r="O1863" t="s">
        <v>152</v>
      </c>
      <c r="P1863" t="s">
        <v>152</v>
      </c>
      <c r="Q1863" s="3">
        <v>19</v>
      </c>
      <c r="R1863" t="s">
        <v>59</v>
      </c>
      <c r="S1863" t="s">
        <v>88</v>
      </c>
    </row>
    <row r="1864" spans="1:19" x14ac:dyDescent="0.25">
      <c r="A1864">
        <v>1863</v>
      </c>
      <c r="B1864">
        <v>59</v>
      </c>
      <c r="C1864" t="s">
        <v>19</v>
      </c>
      <c r="D1864" t="s">
        <v>143</v>
      </c>
      <c r="E1864" t="s">
        <v>69</v>
      </c>
      <c r="F1864" s="1">
        <v>36</v>
      </c>
      <c r="G1864" t="s">
        <v>83</v>
      </c>
      <c r="H1864" t="s">
        <v>45</v>
      </c>
      <c r="I1864" t="s">
        <v>49</v>
      </c>
      <c r="J1864" t="s">
        <v>25</v>
      </c>
      <c r="K1864" s="2">
        <v>4.5999999999999996</v>
      </c>
      <c r="L1864" t="s">
        <v>152</v>
      </c>
      <c r="M1864" t="s">
        <v>59</v>
      </c>
      <c r="N1864" t="s">
        <v>28</v>
      </c>
      <c r="O1864" t="s">
        <v>152</v>
      </c>
      <c r="P1864" t="s">
        <v>152</v>
      </c>
      <c r="Q1864" s="3">
        <v>10</v>
      </c>
      <c r="R1864" t="s">
        <v>46</v>
      </c>
      <c r="S1864" t="s">
        <v>30</v>
      </c>
    </row>
    <row r="1865" spans="1:19" x14ac:dyDescent="0.25">
      <c r="A1865">
        <v>1864</v>
      </c>
      <c r="B1865">
        <v>25</v>
      </c>
      <c r="C1865" t="s">
        <v>19</v>
      </c>
      <c r="D1865" t="s">
        <v>42</v>
      </c>
      <c r="E1865" t="s">
        <v>43</v>
      </c>
      <c r="F1865" s="1">
        <v>21</v>
      </c>
      <c r="G1865" t="s">
        <v>139</v>
      </c>
      <c r="H1865" t="s">
        <v>23</v>
      </c>
      <c r="I1865" t="s">
        <v>121</v>
      </c>
      <c r="J1865" t="s">
        <v>39</v>
      </c>
      <c r="K1865" s="2">
        <v>4.3</v>
      </c>
      <c r="L1865" t="s">
        <v>152</v>
      </c>
      <c r="M1865" t="s">
        <v>29</v>
      </c>
      <c r="N1865" t="s">
        <v>72</v>
      </c>
      <c r="O1865" t="s">
        <v>152</v>
      </c>
      <c r="P1865" t="s">
        <v>152</v>
      </c>
      <c r="Q1865" s="3">
        <v>39</v>
      </c>
      <c r="R1865" t="s">
        <v>59</v>
      </c>
      <c r="S1865" t="s">
        <v>88</v>
      </c>
    </row>
    <row r="1866" spans="1:19" x14ac:dyDescent="0.25">
      <c r="A1866">
        <v>1865</v>
      </c>
      <c r="B1866">
        <v>19</v>
      </c>
      <c r="C1866" t="s">
        <v>19</v>
      </c>
      <c r="D1866" t="s">
        <v>132</v>
      </c>
      <c r="E1866" t="s">
        <v>69</v>
      </c>
      <c r="F1866" s="1">
        <v>72</v>
      </c>
      <c r="G1866" t="s">
        <v>52</v>
      </c>
      <c r="H1866" t="s">
        <v>38</v>
      </c>
      <c r="I1866" t="s">
        <v>109</v>
      </c>
      <c r="J1866" t="s">
        <v>58</v>
      </c>
      <c r="K1866" s="2">
        <v>3.2</v>
      </c>
      <c r="L1866" t="s">
        <v>152</v>
      </c>
      <c r="M1866" t="s">
        <v>34</v>
      </c>
      <c r="N1866" t="s">
        <v>72</v>
      </c>
      <c r="O1866" t="s">
        <v>152</v>
      </c>
      <c r="P1866" t="s">
        <v>152</v>
      </c>
      <c r="Q1866" s="3">
        <v>21</v>
      </c>
      <c r="R1866" t="s">
        <v>29</v>
      </c>
      <c r="S1866" t="s">
        <v>60</v>
      </c>
    </row>
    <row r="1867" spans="1:19" x14ac:dyDescent="0.25">
      <c r="A1867">
        <v>1866</v>
      </c>
      <c r="B1867">
        <v>56</v>
      </c>
      <c r="C1867" t="s">
        <v>19</v>
      </c>
      <c r="D1867" t="s">
        <v>95</v>
      </c>
      <c r="E1867" t="s">
        <v>21</v>
      </c>
      <c r="F1867" s="1">
        <v>62</v>
      </c>
      <c r="G1867" t="s">
        <v>70</v>
      </c>
      <c r="H1867" t="s">
        <v>38</v>
      </c>
      <c r="I1867" t="s">
        <v>67</v>
      </c>
      <c r="J1867" t="s">
        <v>54</v>
      </c>
      <c r="K1867" s="2">
        <v>3.8</v>
      </c>
      <c r="L1867" t="s">
        <v>152</v>
      </c>
      <c r="M1867" t="s">
        <v>29</v>
      </c>
      <c r="N1867" t="s">
        <v>76</v>
      </c>
      <c r="O1867" t="s">
        <v>152</v>
      </c>
      <c r="P1867" t="s">
        <v>152</v>
      </c>
      <c r="Q1867" s="3">
        <v>12</v>
      </c>
      <c r="R1867" t="s">
        <v>34</v>
      </c>
      <c r="S1867" t="s">
        <v>88</v>
      </c>
    </row>
    <row r="1868" spans="1:19" x14ac:dyDescent="0.25">
      <c r="A1868">
        <v>1867</v>
      </c>
      <c r="B1868">
        <v>31</v>
      </c>
      <c r="C1868" t="s">
        <v>19</v>
      </c>
      <c r="D1868" t="s">
        <v>113</v>
      </c>
      <c r="E1868" t="s">
        <v>21</v>
      </c>
      <c r="F1868" s="1">
        <v>44</v>
      </c>
      <c r="G1868" t="s">
        <v>120</v>
      </c>
      <c r="H1868" t="s">
        <v>92</v>
      </c>
      <c r="I1868" t="s">
        <v>81</v>
      </c>
      <c r="J1868" t="s">
        <v>25</v>
      </c>
      <c r="K1868" s="2">
        <v>4.2</v>
      </c>
      <c r="L1868" t="s">
        <v>152</v>
      </c>
      <c r="M1868" t="s">
        <v>59</v>
      </c>
      <c r="N1868" t="s">
        <v>55</v>
      </c>
      <c r="O1868" t="s">
        <v>152</v>
      </c>
      <c r="P1868" t="s">
        <v>152</v>
      </c>
      <c r="Q1868" s="3">
        <v>9</v>
      </c>
      <c r="R1868" t="s">
        <v>27</v>
      </c>
      <c r="S1868" t="s">
        <v>30</v>
      </c>
    </row>
    <row r="1869" spans="1:19" x14ac:dyDescent="0.25">
      <c r="A1869">
        <v>1868</v>
      </c>
      <c r="B1869">
        <v>45</v>
      </c>
      <c r="C1869" t="s">
        <v>19</v>
      </c>
      <c r="D1869" t="s">
        <v>87</v>
      </c>
      <c r="E1869" t="s">
        <v>21</v>
      </c>
      <c r="F1869" s="1">
        <v>52</v>
      </c>
      <c r="G1869" t="s">
        <v>80</v>
      </c>
      <c r="H1869" t="s">
        <v>45</v>
      </c>
      <c r="I1869" t="s">
        <v>110</v>
      </c>
      <c r="J1869" t="s">
        <v>58</v>
      </c>
      <c r="K1869" s="2">
        <v>3.4</v>
      </c>
      <c r="L1869" t="s">
        <v>152</v>
      </c>
      <c r="M1869" t="s">
        <v>59</v>
      </c>
      <c r="N1869" t="s">
        <v>72</v>
      </c>
      <c r="O1869" t="s">
        <v>152</v>
      </c>
      <c r="P1869" t="s">
        <v>152</v>
      </c>
      <c r="Q1869" s="3">
        <v>20</v>
      </c>
      <c r="R1869" t="s">
        <v>29</v>
      </c>
      <c r="S1869" t="s">
        <v>60</v>
      </c>
    </row>
    <row r="1870" spans="1:19" x14ac:dyDescent="0.25">
      <c r="A1870">
        <v>1869</v>
      </c>
      <c r="B1870">
        <v>23</v>
      </c>
      <c r="C1870" t="s">
        <v>19</v>
      </c>
      <c r="D1870" t="s">
        <v>143</v>
      </c>
      <c r="E1870" t="s">
        <v>69</v>
      </c>
      <c r="F1870" s="1">
        <v>58</v>
      </c>
      <c r="G1870" t="s">
        <v>116</v>
      </c>
      <c r="H1870" t="s">
        <v>45</v>
      </c>
      <c r="I1870" t="s">
        <v>67</v>
      </c>
      <c r="J1870" t="s">
        <v>39</v>
      </c>
      <c r="K1870" s="2">
        <v>4.7</v>
      </c>
      <c r="L1870" t="s">
        <v>152</v>
      </c>
      <c r="M1870" t="s">
        <v>34</v>
      </c>
      <c r="N1870" t="s">
        <v>47</v>
      </c>
      <c r="O1870" t="s">
        <v>152</v>
      </c>
      <c r="P1870" t="s">
        <v>152</v>
      </c>
      <c r="Q1870" s="3">
        <v>44</v>
      </c>
      <c r="R1870" t="s">
        <v>35</v>
      </c>
      <c r="S1870" t="s">
        <v>30</v>
      </c>
    </row>
    <row r="1871" spans="1:19" x14ac:dyDescent="0.25">
      <c r="A1871">
        <v>1870</v>
      </c>
      <c r="B1871">
        <v>18</v>
      </c>
      <c r="C1871" t="s">
        <v>19</v>
      </c>
      <c r="D1871" t="s">
        <v>20</v>
      </c>
      <c r="E1871" t="s">
        <v>21</v>
      </c>
      <c r="F1871" s="1">
        <v>77</v>
      </c>
      <c r="G1871" t="s">
        <v>66</v>
      </c>
      <c r="H1871" t="s">
        <v>38</v>
      </c>
      <c r="I1871" t="s">
        <v>118</v>
      </c>
      <c r="J1871" t="s">
        <v>39</v>
      </c>
      <c r="K1871" s="2">
        <v>3.9</v>
      </c>
      <c r="L1871" t="s">
        <v>152</v>
      </c>
      <c r="M1871" t="s">
        <v>46</v>
      </c>
      <c r="N1871" t="s">
        <v>72</v>
      </c>
      <c r="O1871" t="s">
        <v>152</v>
      </c>
      <c r="P1871" t="s">
        <v>152</v>
      </c>
      <c r="Q1871" s="3">
        <v>16</v>
      </c>
      <c r="R1871" t="s">
        <v>59</v>
      </c>
      <c r="S1871" t="s">
        <v>97</v>
      </c>
    </row>
    <row r="1872" spans="1:19" x14ac:dyDescent="0.25">
      <c r="A1872">
        <v>1871</v>
      </c>
      <c r="B1872">
        <v>43</v>
      </c>
      <c r="C1872" t="s">
        <v>19</v>
      </c>
      <c r="D1872" t="s">
        <v>20</v>
      </c>
      <c r="E1872" t="s">
        <v>21</v>
      </c>
      <c r="F1872" s="1">
        <v>99</v>
      </c>
      <c r="G1872" t="s">
        <v>52</v>
      </c>
      <c r="H1872" t="s">
        <v>23</v>
      </c>
      <c r="I1872" t="s">
        <v>84</v>
      </c>
      <c r="J1872" t="s">
        <v>39</v>
      </c>
      <c r="K1872" s="2">
        <v>4.3</v>
      </c>
      <c r="L1872" t="s">
        <v>152</v>
      </c>
      <c r="M1872" t="s">
        <v>59</v>
      </c>
      <c r="N1872" t="s">
        <v>76</v>
      </c>
      <c r="O1872" t="s">
        <v>152</v>
      </c>
      <c r="P1872" t="s">
        <v>152</v>
      </c>
      <c r="Q1872" s="3">
        <v>27</v>
      </c>
      <c r="R1872" t="s">
        <v>59</v>
      </c>
      <c r="S1872" t="s">
        <v>30</v>
      </c>
    </row>
    <row r="1873" spans="1:19" x14ac:dyDescent="0.25">
      <c r="A1873">
        <v>1872</v>
      </c>
      <c r="B1873">
        <v>56</v>
      </c>
      <c r="C1873" t="s">
        <v>19</v>
      </c>
      <c r="D1873" t="s">
        <v>36</v>
      </c>
      <c r="E1873" t="s">
        <v>21</v>
      </c>
      <c r="F1873" s="1">
        <v>96</v>
      </c>
      <c r="G1873" t="s">
        <v>115</v>
      </c>
      <c r="H1873" t="s">
        <v>92</v>
      </c>
      <c r="I1873" t="s">
        <v>84</v>
      </c>
      <c r="J1873" t="s">
        <v>58</v>
      </c>
      <c r="K1873" s="2">
        <v>2.7</v>
      </c>
      <c r="L1873" t="s">
        <v>152</v>
      </c>
      <c r="M1873" t="s">
        <v>34</v>
      </c>
      <c r="N1873" t="s">
        <v>55</v>
      </c>
      <c r="O1873" t="s">
        <v>152</v>
      </c>
      <c r="P1873" t="s">
        <v>152</v>
      </c>
      <c r="Q1873" s="3">
        <v>14</v>
      </c>
      <c r="R1873" t="s">
        <v>35</v>
      </c>
      <c r="S1873" t="s">
        <v>97</v>
      </c>
    </row>
    <row r="1874" spans="1:19" x14ac:dyDescent="0.25">
      <c r="A1874">
        <v>1873</v>
      </c>
      <c r="B1874">
        <v>43</v>
      </c>
      <c r="C1874" t="s">
        <v>19</v>
      </c>
      <c r="D1874" t="s">
        <v>113</v>
      </c>
      <c r="E1874" t="s">
        <v>21</v>
      </c>
      <c r="F1874" s="1">
        <v>64</v>
      </c>
      <c r="G1874" t="s">
        <v>120</v>
      </c>
      <c r="H1874" t="s">
        <v>45</v>
      </c>
      <c r="I1874" t="s">
        <v>93</v>
      </c>
      <c r="J1874" t="s">
        <v>54</v>
      </c>
      <c r="K1874" s="2">
        <v>4.5999999999999996</v>
      </c>
      <c r="L1874" t="s">
        <v>152</v>
      </c>
      <c r="M1874" t="s">
        <v>27</v>
      </c>
      <c r="N1874" t="s">
        <v>55</v>
      </c>
      <c r="O1874" t="s">
        <v>152</v>
      </c>
      <c r="P1874" t="s">
        <v>152</v>
      </c>
      <c r="Q1874" s="3">
        <v>24</v>
      </c>
      <c r="R1874" t="s">
        <v>27</v>
      </c>
      <c r="S1874" t="s">
        <v>88</v>
      </c>
    </row>
    <row r="1875" spans="1:19" x14ac:dyDescent="0.25">
      <c r="A1875">
        <v>1874</v>
      </c>
      <c r="B1875">
        <v>64</v>
      </c>
      <c r="C1875" t="s">
        <v>19</v>
      </c>
      <c r="D1875" t="s">
        <v>31</v>
      </c>
      <c r="E1875" t="s">
        <v>21</v>
      </c>
      <c r="F1875" s="1">
        <v>44</v>
      </c>
      <c r="G1875" t="s">
        <v>150</v>
      </c>
      <c r="H1875" t="s">
        <v>92</v>
      </c>
      <c r="I1875" t="s">
        <v>108</v>
      </c>
      <c r="J1875" t="s">
        <v>58</v>
      </c>
      <c r="K1875" s="2">
        <v>2.9</v>
      </c>
      <c r="L1875" t="s">
        <v>152</v>
      </c>
      <c r="M1875" t="s">
        <v>27</v>
      </c>
      <c r="N1875" t="s">
        <v>28</v>
      </c>
      <c r="O1875" t="s">
        <v>152</v>
      </c>
      <c r="P1875" t="s">
        <v>152</v>
      </c>
      <c r="Q1875" s="3">
        <v>49</v>
      </c>
      <c r="R1875" t="s">
        <v>34</v>
      </c>
      <c r="S1875" t="s">
        <v>41</v>
      </c>
    </row>
    <row r="1876" spans="1:19" x14ac:dyDescent="0.25">
      <c r="A1876">
        <v>1875</v>
      </c>
      <c r="B1876">
        <v>67</v>
      </c>
      <c r="C1876" t="s">
        <v>19</v>
      </c>
      <c r="D1876" t="s">
        <v>95</v>
      </c>
      <c r="E1876" t="s">
        <v>21</v>
      </c>
      <c r="F1876" s="1">
        <v>33</v>
      </c>
      <c r="G1876" t="s">
        <v>116</v>
      </c>
      <c r="H1876" t="s">
        <v>23</v>
      </c>
      <c r="I1876" t="s">
        <v>75</v>
      </c>
      <c r="J1876" t="s">
        <v>58</v>
      </c>
      <c r="K1876" s="2">
        <v>3.6</v>
      </c>
      <c r="L1876" t="s">
        <v>152</v>
      </c>
      <c r="M1876" t="s">
        <v>35</v>
      </c>
      <c r="N1876" t="s">
        <v>40</v>
      </c>
      <c r="O1876" t="s">
        <v>152</v>
      </c>
      <c r="P1876" t="s">
        <v>152</v>
      </c>
      <c r="Q1876" s="3">
        <v>14</v>
      </c>
      <c r="R1876" t="s">
        <v>35</v>
      </c>
      <c r="S1876" t="s">
        <v>41</v>
      </c>
    </row>
    <row r="1877" spans="1:19" x14ac:dyDescent="0.25">
      <c r="A1877">
        <v>1876</v>
      </c>
      <c r="B1877">
        <v>63</v>
      </c>
      <c r="C1877" t="s">
        <v>19</v>
      </c>
      <c r="D1877" t="s">
        <v>137</v>
      </c>
      <c r="E1877" t="s">
        <v>43</v>
      </c>
      <c r="F1877" s="1">
        <v>71</v>
      </c>
      <c r="G1877" t="s">
        <v>122</v>
      </c>
      <c r="H1877" t="s">
        <v>45</v>
      </c>
      <c r="I1877" t="s">
        <v>110</v>
      </c>
      <c r="J1877" t="s">
        <v>25</v>
      </c>
      <c r="K1877" s="2">
        <v>3.9</v>
      </c>
      <c r="L1877" t="s">
        <v>152</v>
      </c>
      <c r="M1877" t="s">
        <v>59</v>
      </c>
      <c r="N1877" t="s">
        <v>47</v>
      </c>
      <c r="O1877" t="s">
        <v>152</v>
      </c>
      <c r="P1877" t="s">
        <v>152</v>
      </c>
      <c r="Q1877" s="3">
        <v>6</v>
      </c>
      <c r="R1877" t="s">
        <v>27</v>
      </c>
      <c r="S1877" t="s">
        <v>60</v>
      </c>
    </row>
    <row r="1878" spans="1:19" x14ac:dyDescent="0.25">
      <c r="A1878">
        <v>1877</v>
      </c>
      <c r="B1878">
        <v>54</v>
      </c>
      <c r="C1878" t="s">
        <v>19</v>
      </c>
      <c r="D1878" t="s">
        <v>87</v>
      </c>
      <c r="E1878" t="s">
        <v>21</v>
      </c>
      <c r="F1878" s="1">
        <v>36</v>
      </c>
      <c r="G1878" t="s">
        <v>115</v>
      </c>
      <c r="H1878" t="s">
        <v>45</v>
      </c>
      <c r="I1878" t="s">
        <v>24</v>
      </c>
      <c r="J1878" t="s">
        <v>58</v>
      </c>
      <c r="K1878" s="2">
        <v>2.6</v>
      </c>
      <c r="L1878" t="s">
        <v>152</v>
      </c>
      <c r="M1878" t="s">
        <v>27</v>
      </c>
      <c r="N1878" t="s">
        <v>55</v>
      </c>
      <c r="O1878" t="s">
        <v>152</v>
      </c>
      <c r="P1878" t="s">
        <v>152</v>
      </c>
      <c r="Q1878" s="3">
        <v>20</v>
      </c>
      <c r="R1878" t="s">
        <v>29</v>
      </c>
      <c r="S1878" t="s">
        <v>60</v>
      </c>
    </row>
    <row r="1879" spans="1:19" x14ac:dyDescent="0.25">
      <c r="A1879">
        <v>1878</v>
      </c>
      <c r="B1879">
        <v>69</v>
      </c>
      <c r="C1879" t="s">
        <v>19</v>
      </c>
      <c r="D1879" t="s">
        <v>143</v>
      </c>
      <c r="E1879" t="s">
        <v>69</v>
      </c>
      <c r="F1879" s="1">
        <v>62</v>
      </c>
      <c r="G1879" t="s">
        <v>138</v>
      </c>
      <c r="H1879" t="s">
        <v>23</v>
      </c>
      <c r="I1879" t="s">
        <v>71</v>
      </c>
      <c r="J1879" t="s">
        <v>58</v>
      </c>
      <c r="K1879" s="2">
        <v>3.6</v>
      </c>
      <c r="L1879" t="s">
        <v>152</v>
      </c>
      <c r="M1879" t="s">
        <v>35</v>
      </c>
      <c r="N1879" t="s">
        <v>28</v>
      </c>
      <c r="O1879" t="s">
        <v>152</v>
      </c>
      <c r="P1879" t="s">
        <v>152</v>
      </c>
      <c r="Q1879" s="3">
        <v>3</v>
      </c>
      <c r="R1879" t="s">
        <v>27</v>
      </c>
      <c r="S1879" t="s">
        <v>50</v>
      </c>
    </row>
    <row r="1880" spans="1:19" x14ac:dyDescent="0.25">
      <c r="A1880">
        <v>1879</v>
      </c>
      <c r="B1880">
        <v>34</v>
      </c>
      <c r="C1880" t="s">
        <v>19</v>
      </c>
      <c r="D1880" t="s">
        <v>125</v>
      </c>
      <c r="E1880" t="s">
        <v>21</v>
      </c>
      <c r="F1880" s="1">
        <v>29</v>
      </c>
      <c r="G1880" t="s">
        <v>101</v>
      </c>
      <c r="H1880" t="s">
        <v>23</v>
      </c>
      <c r="I1880" t="s">
        <v>136</v>
      </c>
      <c r="J1880" t="s">
        <v>54</v>
      </c>
      <c r="K1880" s="2">
        <v>3.4</v>
      </c>
      <c r="L1880" t="s">
        <v>152</v>
      </c>
      <c r="M1880" t="s">
        <v>27</v>
      </c>
      <c r="N1880" t="s">
        <v>76</v>
      </c>
      <c r="O1880" t="s">
        <v>152</v>
      </c>
      <c r="P1880" t="s">
        <v>152</v>
      </c>
      <c r="Q1880" s="3">
        <v>5</v>
      </c>
      <c r="R1880" t="s">
        <v>27</v>
      </c>
      <c r="S1880" t="s">
        <v>88</v>
      </c>
    </row>
    <row r="1881" spans="1:19" x14ac:dyDescent="0.25">
      <c r="A1881">
        <v>1880</v>
      </c>
      <c r="B1881">
        <v>56</v>
      </c>
      <c r="C1881" t="s">
        <v>19</v>
      </c>
      <c r="D1881" t="s">
        <v>113</v>
      </c>
      <c r="E1881" t="s">
        <v>21</v>
      </c>
      <c r="F1881" s="1">
        <v>33</v>
      </c>
      <c r="G1881" t="s">
        <v>122</v>
      </c>
      <c r="H1881" t="s">
        <v>23</v>
      </c>
      <c r="I1881" t="s">
        <v>63</v>
      </c>
      <c r="J1881" t="s">
        <v>39</v>
      </c>
      <c r="K1881" s="2">
        <v>3.5</v>
      </c>
      <c r="L1881" t="s">
        <v>152</v>
      </c>
      <c r="M1881" t="s">
        <v>59</v>
      </c>
      <c r="N1881" t="s">
        <v>28</v>
      </c>
      <c r="O1881" t="s">
        <v>152</v>
      </c>
      <c r="P1881" t="s">
        <v>152</v>
      </c>
      <c r="Q1881" s="3">
        <v>46</v>
      </c>
      <c r="R1881" t="s">
        <v>35</v>
      </c>
      <c r="S1881" t="s">
        <v>77</v>
      </c>
    </row>
    <row r="1882" spans="1:19" x14ac:dyDescent="0.25">
      <c r="A1882">
        <v>1881</v>
      </c>
      <c r="B1882">
        <v>34</v>
      </c>
      <c r="C1882" t="s">
        <v>19</v>
      </c>
      <c r="D1882" t="s">
        <v>20</v>
      </c>
      <c r="E1882" t="s">
        <v>21</v>
      </c>
      <c r="F1882" s="1">
        <v>33</v>
      </c>
      <c r="G1882" t="s">
        <v>127</v>
      </c>
      <c r="H1882" t="s">
        <v>23</v>
      </c>
      <c r="I1882" t="s">
        <v>134</v>
      </c>
      <c r="J1882" t="s">
        <v>58</v>
      </c>
      <c r="K1882" s="2">
        <v>3.1</v>
      </c>
      <c r="L1882" t="s">
        <v>152</v>
      </c>
      <c r="M1882" t="s">
        <v>46</v>
      </c>
      <c r="N1882" t="s">
        <v>72</v>
      </c>
      <c r="O1882" t="s">
        <v>152</v>
      </c>
      <c r="P1882" t="s">
        <v>152</v>
      </c>
      <c r="Q1882" s="3">
        <v>8</v>
      </c>
      <c r="R1882" t="s">
        <v>59</v>
      </c>
      <c r="S1882" t="s">
        <v>88</v>
      </c>
    </row>
    <row r="1883" spans="1:19" x14ac:dyDescent="0.25">
      <c r="A1883">
        <v>1882</v>
      </c>
      <c r="B1883">
        <v>58</v>
      </c>
      <c r="C1883" t="s">
        <v>19</v>
      </c>
      <c r="D1883" t="s">
        <v>20</v>
      </c>
      <c r="E1883" t="s">
        <v>21</v>
      </c>
      <c r="F1883" s="1">
        <v>41</v>
      </c>
      <c r="G1883" t="s">
        <v>127</v>
      </c>
      <c r="H1883" t="s">
        <v>45</v>
      </c>
      <c r="I1883" t="s">
        <v>108</v>
      </c>
      <c r="J1883" t="s">
        <v>25</v>
      </c>
      <c r="K1883" s="2">
        <v>4.3</v>
      </c>
      <c r="L1883" t="s">
        <v>152</v>
      </c>
      <c r="M1883" t="s">
        <v>34</v>
      </c>
      <c r="N1883" t="s">
        <v>55</v>
      </c>
      <c r="O1883" t="s">
        <v>152</v>
      </c>
      <c r="P1883" t="s">
        <v>152</v>
      </c>
      <c r="Q1883" s="3">
        <v>13</v>
      </c>
      <c r="R1883" t="s">
        <v>35</v>
      </c>
      <c r="S1883" t="s">
        <v>77</v>
      </c>
    </row>
    <row r="1884" spans="1:19" x14ac:dyDescent="0.25">
      <c r="A1884">
        <v>1883</v>
      </c>
      <c r="B1884">
        <v>44</v>
      </c>
      <c r="C1884" t="s">
        <v>19</v>
      </c>
      <c r="D1884" t="s">
        <v>119</v>
      </c>
      <c r="E1884" t="s">
        <v>69</v>
      </c>
      <c r="F1884" s="1">
        <v>54</v>
      </c>
      <c r="G1884" t="s">
        <v>122</v>
      </c>
      <c r="H1884" t="s">
        <v>23</v>
      </c>
      <c r="I1884" t="s">
        <v>144</v>
      </c>
      <c r="J1884" t="s">
        <v>25</v>
      </c>
      <c r="K1884" s="2">
        <v>5</v>
      </c>
      <c r="L1884" t="s">
        <v>152</v>
      </c>
      <c r="M1884" t="s">
        <v>59</v>
      </c>
      <c r="N1884" t="s">
        <v>76</v>
      </c>
      <c r="O1884" t="s">
        <v>152</v>
      </c>
      <c r="P1884" t="s">
        <v>152</v>
      </c>
      <c r="Q1884" s="3">
        <v>25</v>
      </c>
      <c r="R1884" t="s">
        <v>34</v>
      </c>
      <c r="S1884" t="s">
        <v>60</v>
      </c>
    </row>
    <row r="1885" spans="1:19" x14ac:dyDescent="0.25">
      <c r="A1885">
        <v>1884</v>
      </c>
      <c r="B1885">
        <v>25</v>
      </c>
      <c r="C1885" t="s">
        <v>19</v>
      </c>
      <c r="D1885" t="s">
        <v>132</v>
      </c>
      <c r="E1885" t="s">
        <v>69</v>
      </c>
      <c r="F1885" s="1">
        <v>58</v>
      </c>
      <c r="G1885" t="s">
        <v>142</v>
      </c>
      <c r="H1885" t="s">
        <v>45</v>
      </c>
      <c r="I1885" t="s">
        <v>109</v>
      </c>
      <c r="J1885" t="s">
        <v>39</v>
      </c>
      <c r="K1885" s="2">
        <v>4.9000000000000004</v>
      </c>
      <c r="L1885" t="s">
        <v>152</v>
      </c>
      <c r="M1885" t="s">
        <v>46</v>
      </c>
      <c r="N1885" t="s">
        <v>76</v>
      </c>
      <c r="O1885" t="s">
        <v>152</v>
      </c>
      <c r="P1885" t="s">
        <v>152</v>
      </c>
      <c r="Q1885" s="3">
        <v>39</v>
      </c>
      <c r="R1885" t="s">
        <v>59</v>
      </c>
      <c r="S1885" t="s">
        <v>30</v>
      </c>
    </row>
    <row r="1886" spans="1:19" x14ac:dyDescent="0.25">
      <c r="A1886">
        <v>1885</v>
      </c>
      <c r="B1886">
        <v>27</v>
      </c>
      <c r="C1886" t="s">
        <v>19</v>
      </c>
      <c r="D1886" t="s">
        <v>61</v>
      </c>
      <c r="E1886" t="s">
        <v>21</v>
      </c>
      <c r="F1886" s="1">
        <v>30</v>
      </c>
      <c r="G1886" t="s">
        <v>117</v>
      </c>
      <c r="H1886" t="s">
        <v>38</v>
      </c>
      <c r="I1886" t="s">
        <v>71</v>
      </c>
      <c r="J1886" t="s">
        <v>54</v>
      </c>
      <c r="K1886" s="2">
        <v>4.3</v>
      </c>
      <c r="L1886" t="s">
        <v>152</v>
      </c>
      <c r="M1886" t="s">
        <v>34</v>
      </c>
      <c r="N1886" t="s">
        <v>47</v>
      </c>
      <c r="O1886" t="s">
        <v>152</v>
      </c>
      <c r="P1886" t="s">
        <v>152</v>
      </c>
      <c r="Q1886" s="3">
        <v>15</v>
      </c>
      <c r="R1886" t="s">
        <v>34</v>
      </c>
      <c r="S1886" t="s">
        <v>77</v>
      </c>
    </row>
    <row r="1887" spans="1:19" x14ac:dyDescent="0.25">
      <c r="A1887">
        <v>1886</v>
      </c>
      <c r="B1887">
        <v>26</v>
      </c>
      <c r="C1887" t="s">
        <v>19</v>
      </c>
      <c r="D1887" t="s">
        <v>106</v>
      </c>
      <c r="E1887" t="s">
        <v>69</v>
      </c>
      <c r="F1887" s="1">
        <v>53</v>
      </c>
      <c r="G1887" t="s">
        <v>107</v>
      </c>
      <c r="H1887" t="s">
        <v>38</v>
      </c>
      <c r="I1887" t="s">
        <v>33</v>
      </c>
      <c r="J1887" t="s">
        <v>25</v>
      </c>
      <c r="K1887" s="2">
        <v>4.4000000000000004</v>
      </c>
      <c r="L1887" t="s">
        <v>152</v>
      </c>
      <c r="M1887" t="s">
        <v>27</v>
      </c>
      <c r="N1887" t="s">
        <v>55</v>
      </c>
      <c r="O1887" t="s">
        <v>152</v>
      </c>
      <c r="P1887" t="s">
        <v>152</v>
      </c>
      <c r="Q1887" s="3">
        <v>35</v>
      </c>
      <c r="R1887" t="s">
        <v>35</v>
      </c>
      <c r="S1887" t="s">
        <v>88</v>
      </c>
    </row>
    <row r="1888" spans="1:19" x14ac:dyDescent="0.25">
      <c r="A1888">
        <v>1887</v>
      </c>
      <c r="B1888">
        <v>18</v>
      </c>
      <c r="C1888" t="s">
        <v>19</v>
      </c>
      <c r="D1888" t="s">
        <v>143</v>
      </c>
      <c r="E1888" t="s">
        <v>69</v>
      </c>
      <c r="F1888" s="1">
        <v>91</v>
      </c>
      <c r="G1888" t="s">
        <v>74</v>
      </c>
      <c r="H1888" t="s">
        <v>23</v>
      </c>
      <c r="I1888" t="s">
        <v>118</v>
      </c>
      <c r="J1888" t="s">
        <v>39</v>
      </c>
      <c r="K1888" s="2">
        <v>4.4000000000000004</v>
      </c>
      <c r="L1888" t="s">
        <v>152</v>
      </c>
      <c r="M1888" t="s">
        <v>35</v>
      </c>
      <c r="N1888" t="s">
        <v>47</v>
      </c>
      <c r="O1888" t="s">
        <v>152</v>
      </c>
      <c r="P1888" t="s">
        <v>152</v>
      </c>
      <c r="Q1888" s="3">
        <v>46</v>
      </c>
      <c r="R1888" t="s">
        <v>35</v>
      </c>
      <c r="S1888" t="s">
        <v>77</v>
      </c>
    </row>
    <row r="1889" spans="1:19" x14ac:dyDescent="0.25">
      <c r="A1889">
        <v>1888</v>
      </c>
      <c r="B1889">
        <v>64</v>
      </c>
      <c r="C1889" t="s">
        <v>19</v>
      </c>
      <c r="D1889" t="s">
        <v>104</v>
      </c>
      <c r="E1889" t="s">
        <v>21</v>
      </c>
      <c r="F1889" s="1">
        <v>44</v>
      </c>
      <c r="G1889" t="s">
        <v>114</v>
      </c>
      <c r="H1889" t="s">
        <v>92</v>
      </c>
      <c r="I1889" t="s">
        <v>81</v>
      </c>
      <c r="J1889" t="s">
        <v>58</v>
      </c>
      <c r="K1889" s="2">
        <v>3.5</v>
      </c>
      <c r="L1889" t="s">
        <v>152</v>
      </c>
      <c r="M1889" t="s">
        <v>35</v>
      </c>
      <c r="N1889" t="s">
        <v>28</v>
      </c>
      <c r="O1889" t="s">
        <v>152</v>
      </c>
      <c r="P1889" t="s">
        <v>152</v>
      </c>
      <c r="Q1889" s="3">
        <v>3</v>
      </c>
      <c r="R1889" t="s">
        <v>46</v>
      </c>
      <c r="S1889" t="s">
        <v>88</v>
      </c>
    </row>
    <row r="1890" spans="1:19" x14ac:dyDescent="0.25">
      <c r="A1890">
        <v>1889</v>
      </c>
      <c r="B1890">
        <v>62</v>
      </c>
      <c r="C1890" t="s">
        <v>19</v>
      </c>
      <c r="D1890" t="s">
        <v>104</v>
      </c>
      <c r="E1890" t="s">
        <v>21</v>
      </c>
      <c r="F1890" s="1">
        <v>89</v>
      </c>
      <c r="G1890" t="s">
        <v>147</v>
      </c>
      <c r="H1890" t="s">
        <v>92</v>
      </c>
      <c r="I1890" t="s">
        <v>49</v>
      </c>
      <c r="J1890" t="s">
        <v>25</v>
      </c>
      <c r="K1890" s="2">
        <v>3.4</v>
      </c>
      <c r="L1890" t="s">
        <v>152</v>
      </c>
      <c r="M1890" t="s">
        <v>34</v>
      </c>
      <c r="N1890" t="s">
        <v>40</v>
      </c>
      <c r="O1890" t="s">
        <v>152</v>
      </c>
      <c r="P1890" t="s">
        <v>152</v>
      </c>
      <c r="Q1890" s="3">
        <v>48</v>
      </c>
      <c r="R1890" t="s">
        <v>27</v>
      </c>
      <c r="S1890" t="s">
        <v>41</v>
      </c>
    </row>
    <row r="1891" spans="1:19" x14ac:dyDescent="0.25">
      <c r="A1891">
        <v>1890</v>
      </c>
      <c r="B1891">
        <v>59</v>
      </c>
      <c r="C1891" t="s">
        <v>19</v>
      </c>
      <c r="D1891" t="s">
        <v>87</v>
      </c>
      <c r="E1891" t="s">
        <v>21</v>
      </c>
      <c r="F1891" s="1">
        <v>57</v>
      </c>
      <c r="G1891" t="s">
        <v>98</v>
      </c>
      <c r="H1891" t="s">
        <v>23</v>
      </c>
      <c r="I1891" t="s">
        <v>100</v>
      </c>
      <c r="J1891" t="s">
        <v>39</v>
      </c>
      <c r="K1891" s="2">
        <v>2.5</v>
      </c>
      <c r="L1891" t="s">
        <v>152</v>
      </c>
      <c r="M1891" t="s">
        <v>59</v>
      </c>
      <c r="N1891" t="s">
        <v>47</v>
      </c>
      <c r="O1891" t="s">
        <v>152</v>
      </c>
      <c r="P1891" t="s">
        <v>152</v>
      </c>
      <c r="Q1891" s="3">
        <v>27</v>
      </c>
      <c r="R1891" t="s">
        <v>34</v>
      </c>
      <c r="S1891" t="s">
        <v>41</v>
      </c>
    </row>
    <row r="1892" spans="1:19" x14ac:dyDescent="0.25">
      <c r="A1892">
        <v>1891</v>
      </c>
      <c r="B1892">
        <v>36</v>
      </c>
      <c r="C1892" t="s">
        <v>19</v>
      </c>
      <c r="D1892" t="s">
        <v>89</v>
      </c>
      <c r="E1892" t="s">
        <v>69</v>
      </c>
      <c r="F1892" s="1">
        <v>57</v>
      </c>
      <c r="G1892" t="s">
        <v>78</v>
      </c>
      <c r="H1892" t="s">
        <v>45</v>
      </c>
      <c r="I1892" t="s">
        <v>93</v>
      </c>
      <c r="J1892" t="s">
        <v>39</v>
      </c>
      <c r="K1892" s="2">
        <v>3.4</v>
      </c>
      <c r="L1892" t="s">
        <v>152</v>
      </c>
      <c r="M1892" t="s">
        <v>59</v>
      </c>
      <c r="N1892" t="s">
        <v>76</v>
      </c>
      <c r="O1892" t="s">
        <v>152</v>
      </c>
      <c r="P1892" t="s">
        <v>152</v>
      </c>
      <c r="Q1892" s="3">
        <v>5</v>
      </c>
      <c r="R1892" t="s">
        <v>27</v>
      </c>
      <c r="S1892" t="s">
        <v>41</v>
      </c>
    </row>
    <row r="1893" spans="1:19" x14ac:dyDescent="0.25">
      <c r="A1893">
        <v>1892</v>
      </c>
      <c r="B1893">
        <v>69</v>
      </c>
      <c r="C1893" t="s">
        <v>19</v>
      </c>
      <c r="D1893" t="s">
        <v>106</v>
      </c>
      <c r="E1893" t="s">
        <v>69</v>
      </c>
      <c r="F1893" s="1">
        <v>74</v>
      </c>
      <c r="G1893" t="s">
        <v>83</v>
      </c>
      <c r="H1893" t="s">
        <v>45</v>
      </c>
      <c r="I1893" t="s">
        <v>24</v>
      </c>
      <c r="J1893" t="s">
        <v>54</v>
      </c>
      <c r="K1893" s="2">
        <v>2.6</v>
      </c>
      <c r="L1893" t="s">
        <v>152</v>
      </c>
      <c r="M1893" t="s">
        <v>29</v>
      </c>
      <c r="N1893" t="s">
        <v>47</v>
      </c>
      <c r="O1893" t="s">
        <v>152</v>
      </c>
      <c r="P1893" t="s">
        <v>152</v>
      </c>
      <c r="Q1893" s="3">
        <v>48</v>
      </c>
      <c r="R1893" t="s">
        <v>59</v>
      </c>
      <c r="S1893" t="s">
        <v>60</v>
      </c>
    </row>
    <row r="1894" spans="1:19" x14ac:dyDescent="0.25">
      <c r="A1894">
        <v>1893</v>
      </c>
      <c r="B1894">
        <v>39</v>
      </c>
      <c r="C1894" t="s">
        <v>19</v>
      </c>
      <c r="D1894" t="s">
        <v>102</v>
      </c>
      <c r="E1894" t="s">
        <v>65</v>
      </c>
      <c r="F1894" s="1">
        <v>30</v>
      </c>
      <c r="G1894" t="s">
        <v>99</v>
      </c>
      <c r="H1894" t="s">
        <v>45</v>
      </c>
      <c r="I1894" t="s">
        <v>144</v>
      </c>
      <c r="J1894" t="s">
        <v>58</v>
      </c>
      <c r="K1894" s="2">
        <v>4.5999999999999996</v>
      </c>
      <c r="L1894" t="s">
        <v>152</v>
      </c>
      <c r="M1894" t="s">
        <v>34</v>
      </c>
      <c r="N1894" t="s">
        <v>72</v>
      </c>
      <c r="O1894" t="s">
        <v>152</v>
      </c>
      <c r="P1894" t="s">
        <v>152</v>
      </c>
      <c r="Q1894" s="3">
        <v>12</v>
      </c>
      <c r="R1894" t="s">
        <v>29</v>
      </c>
      <c r="S1894" t="s">
        <v>41</v>
      </c>
    </row>
    <row r="1895" spans="1:19" x14ac:dyDescent="0.25">
      <c r="A1895">
        <v>1894</v>
      </c>
      <c r="B1895">
        <v>28</v>
      </c>
      <c r="C1895" t="s">
        <v>19</v>
      </c>
      <c r="D1895" t="s">
        <v>82</v>
      </c>
      <c r="E1895" t="s">
        <v>21</v>
      </c>
      <c r="F1895" s="1">
        <v>20</v>
      </c>
      <c r="G1895" t="s">
        <v>80</v>
      </c>
      <c r="H1895" t="s">
        <v>23</v>
      </c>
      <c r="I1895" t="s">
        <v>108</v>
      </c>
      <c r="J1895" t="s">
        <v>54</v>
      </c>
      <c r="K1895" s="2">
        <v>3.7</v>
      </c>
      <c r="L1895" t="s">
        <v>152</v>
      </c>
      <c r="M1895" t="s">
        <v>29</v>
      </c>
      <c r="N1895" t="s">
        <v>28</v>
      </c>
      <c r="O1895" t="s">
        <v>152</v>
      </c>
      <c r="P1895" t="s">
        <v>152</v>
      </c>
      <c r="Q1895" s="3">
        <v>10</v>
      </c>
      <c r="R1895" t="s">
        <v>46</v>
      </c>
      <c r="S1895" t="s">
        <v>30</v>
      </c>
    </row>
    <row r="1896" spans="1:19" x14ac:dyDescent="0.25">
      <c r="A1896">
        <v>1895</v>
      </c>
      <c r="B1896">
        <v>42</v>
      </c>
      <c r="C1896" t="s">
        <v>19</v>
      </c>
      <c r="D1896" t="s">
        <v>104</v>
      </c>
      <c r="E1896" t="s">
        <v>21</v>
      </c>
      <c r="F1896" s="1">
        <v>90</v>
      </c>
      <c r="G1896" t="s">
        <v>117</v>
      </c>
      <c r="H1896" t="s">
        <v>45</v>
      </c>
      <c r="I1896" t="s">
        <v>75</v>
      </c>
      <c r="J1896" t="s">
        <v>58</v>
      </c>
      <c r="K1896" s="2">
        <v>2.5</v>
      </c>
      <c r="L1896" t="s">
        <v>152</v>
      </c>
      <c r="M1896" t="s">
        <v>27</v>
      </c>
      <c r="N1896" t="s">
        <v>40</v>
      </c>
      <c r="O1896" t="s">
        <v>152</v>
      </c>
      <c r="P1896" t="s">
        <v>152</v>
      </c>
      <c r="Q1896" s="3">
        <v>48</v>
      </c>
      <c r="R1896" t="s">
        <v>59</v>
      </c>
      <c r="S1896" t="s">
        <v>77</v>
      </c>
    </row>
    <row r="1897" spans="1:19" x14ac:dyDescent="0.25">
      <c r="A1897">
        <v>1896</v>
      </c>
      <c r="B1897">
        <v>31</v>
      </c>
      <c r="C1897" t="s">
        <v>19</v>
      </c>
      <c r="D1897" t="s">
        <v>36</v>
      </c>
      <c r="E1897" t="s">
        <v>21</v>
      </c>
      <c r="F1897" s="1">
        <v>61</v>
      </c>
      <c r="G1897" t="s">
        <v>149</v>
      </c>
      <c r="H1897" t="s">
        <v>23</v>
      </c>
      <c r="I1897" t="s">
        <v>126</v>
      </c>
      <c r="J1897" t="s">
        <v>58</v>
      </c>
      <c r="K1897" s="2">
        <v>4.5</v>
      </c>
      <c r="L1897" t="s">
        <v>152</v>
      </c>
      <c r="M1897" t="s">
        <v>59</v>
      </c>
      <c r="N1897" t="s">
        <v>28</v>
      </c>
      <c r="O1897" t="s">
        <v>152</v>
      </c>
      <c r="P1897" t="s">
        <v>152</v>
      </c>
      <c r="Q1897" s="3">
        <v>3</v>
      </c>
      <c r="R1897" t="s">
        <v>59</v>
      </c>
      <c r="S1897" t="s">
        <v>88</v>
      </c>
    </row>
    <row r="1898" spans="1:19" x14ac:dyDescent="0.25">
      <c r="A1898">
        <v>1897</v>
      </c>
      <c r="B1898">
        <v>57</v>
      </c>
      <c r="C1898" t="s">
        <v>19</v>
      </c>
      <c r="D1898" t="s">
        <v>42</v>
      </c>
      <c r="E1898" t="s">
        <v>43</v>
      </c>
      <c r="F1898" s="1">
        <v>51</v>
      </c>
      <c r="G1898" t="s">
        <v>107</v>
      </c>
      <c r="H1898" t="s">
        <v>45</v>
      </c>
      <c r="I1898" t="s">
        <v>81</v>
      </c>
      <c r="J1898" t="s">
        <v>58</v>
      </c>
      <c r="K1898" s="2">
        <v>2.9</v>
      </c>
      <c r="L1898" t="s">
        <v>152</v>
      </c>
      <c r="M1898" t="s">
        <v>35</v>
      </c>
      <c r="N1898" t="s">
        <v>55</v>
      </c>
      <c r="O1898" t="s">
        <v>152</v>
      </c>
      <c r="P1898" t="s">
        <v>152</v>
      </c>
      <c r="Q1898" s="3">
        <v>19</v>
      </c>
      <c r="R1898" t="s">
        <v>29</v>
      </c>
      <c r="S1898" t="s">
        <v>88</v>
      </c>
    </row>
    <row r="1899" spans="1:19" x14ac:dyDescent="0.25">
      <c r="A1899">
        <v>1898</v>
      </c>
      <c r="B1899">
        <v>53</v>
      </c>
      <c r="C1899" t="s">
        <v>19</v>
      </c>
      <c r="D1899" t="s">
        <v>89</v>
      </c>
      <c r="E1899" t="s">
        <v>69</v>
      </c>
      <c r="F1899" s="1">
        <v>97</v>
      </c>
      <c r="G1899" t="s">
        <v>120</v>
      </c>
      <c r="H1899" t="s">
        <v>23</v>
      </c>
      <c r="I1899" t="s">
        <v>86</v>
      </c>
      <c r="J1899" t="s">
        <v>25</v>
      </c>
      <c r="K1899" s="2">
        <v>2.9</v>
      </c>
      <c r="L1899" t="s">
        <v>152</v>
      </c>
      <c r="M1899" t="s">
        <v>29</v>
      </c>
      <c r="N1899" t="s">
        <v>40</v>
      </c>
      <c r="O1899" t="s">
        <v>152</v>
      </c>
      <c r="P1899" t="s">
        <v>152</v>
      </c>
      <c r="Q1899" s="3">
        <v>11</v>
      </c>
      <c r="R1899" t="s">
        <v>59</v>
      </c>
      <c r="S1899" t="s">
        <v>30</v>
      </c>
    </row>
    <row r="1900" spans="1:19" x14ac:dyDescent="0.25">
      <c r="A1900">
        <v>1899</v>
      </c>
      <c r="B1900">
        <v>59</v>
      </c>
      <c r="C1900" t="s">
        <v>19</v>
      </c>
      <c r="D1900" t="s">
        <v>95</v>
      </c>
      <c r="E1900" t="s">
        <v>21</v>
      </c>
      <c r="F1900" s="1">
        <v>97</v>
      </c>
      <c r="G1900" t="s">
        <v>105</v>
      </c>
      <c r="H1900" t="s">
        <v>23</v>
      </c>
      <c r="I1900" t="s">
        <v>136</v>
      </c>
      <c r="J1900" t="s">
        <v>58</v>
      </c>
      <c r="K1900" s="2">
        <v>3.5</v>
      </c>
      <c r="L1900" t="s">
        <v>152</v>
      </c>
      <c r="M1900" t="s">
        <v>46</v>
      </c>
      <c r="N1900" t="s">
        <v>47</v>
      </c>
      <c r="O1900" t="s">
        <v>152</v>
      </c>
      <c r="P1900" t="s">
        <v>152</v>
      </c>
      <c r="Q1900" s="3">
        <v>25</v>
      </c>
      <c r="R1900" t="s">
        <v>29</v>
      </c>
      <c r="S1900" t="s">
        <v>88</v>
      </c>
    </row>
    <row r="1901" spans="1:19" x14ac:dyDescent="0.25">
      <c r="A1901">
        <v>1900</v>
      </c>
      <c r="B1901">
        <v>32</v>
      </c>
      <c r="C1901" t="s">
        <v>19</v>
      </c>
      <c r="D1901" t="s">
        <v>61</v>
      </c>
      <c r="E1901" t="s">
        <v>21</v>
      </c>
      <c r="F1901" s="1">
        <v>40</v>
      </c>
      <c r="G1901" t="s">
        <v>85</v>
      </c>
      <c r="H1901" t="s">
        <v>23</v>
      </c>
      <c r="I1901" t="s">
        <v>33</v>
      </c>
      <c r="J1901" t="s">
        <v>25</v>
      </c>
      <c r="K1901" s="2">
        <v>4.2</v>
      </c>
      <c r="L1901" t="s">
        <v>152</v>
      </c>
      <c r="M1901" t="s">
        <v>29</v>
      </c>
      <c r="N1901" t="s">
        <v>76</v>
      </c>
      <c r="O1901" t="s">
        <v>152</v>
      </c>
      <c r="P1901" t="s">
        <v>152</v>
      </c>
      <c r="Q1901" s="3">
        <v>42</v>
      </c>
      <c r="R1901" t="s">
        <v>46</v>
      </c>
      <c r="S1901" t="s">
        <v>41</v>
      </c>
    </row>
    <row r="1902" spans="1:19" x14ac:dyDescent="0.25">
      <c r="A1902">
        <v>1901</v>
      </c>
      <c r="B1902">
        <v>65</v>
      </c>
      <c r="C1902" t="s">
        <v>19</v>
      </c>
      <c r="D1902" t="s">
        <v>106</v>
      </c>
      <c r="E1902" t="s">
        <v>69</v>
      </c>
      <c r="F1902" s="1">
        <v>85</v>
      </c>
      <c r="G1902" t="s">
        <v>146</v>
      </c>
      <c r="H1902" t="s">
        <v>38</v>
      </c>
      <c r="I1902" t="s">
        <v>144</v>
      </c>
      <c r="J1902" t="s">
        <v>54</v>
      </c>
      <c r="K1902" s="2">
        <v>3.3</v>
      </c>
      <c r="L1902" t="s">
        <v>152</v>
      </c>
      <c r="M1902" t="s">
        <v>59</v>
      </c>
      <c r="N1902" t="s">
        <v>40</v>
      </c>
      <c r="O1902" t="s">
        <v>152</v>
      </c>
      <c r="P1902" t="s">
        <v>152</v>
      </c>
      <c r="Q1902" s="3">
        <v>34</v>
      </c>
      <c r="R1902" t="s">
        <v>35</v>
      </c>
      <c r="S1902" t="s">
        <v>60</v>
      </c>
    </row>
    <row r="1903" spans="1:19" x14ac:dyDescent="0.25">
      <c r="A1903">
        <v>1902</v>
      </c>
      <c r="B1903">
        <v>56</v>
      </c>
      <c r="C1903" t="s">
        <v>19</v>
      </c>
      <c r="D1903" t="s">
        <v>125</v>
      </c>
      <c r="E1903" t="s">
        <v>21</v>
      </c>
      <c r="F1903" s="1">
        <v>76</v>
      </c>
      <c r="G1903" t="s">
        <v>117</v>
      </c>
      <c r="H1903" t="s">
        <v>38</v>
      </c>
      <c r="I1903" t="s">
        <v>118</v>
      </c>
      <c r="J1903" t="s">
        <v>25</v>
      </c>
      <c r="K1903" s="2">
        <v>3.9</v>
      </c>
      <c r="L1903" t="s">
        <v>152</v>
      </c>
      <c r="M1903" t="s">
        <v>29</v>
      </c>
      <c r="N1903" t="s">
        <v>76</v>
      </c>
      <c r="O1903" t="s">
        <v>152</v>
      </c>
      <c r="P1903" t="s">
        <v>152</v>
      </c>
      <c r="Q1903" s="3">
        <v>50</v>
      </c>
      <c r="R1903" t="s">
        <v>35</v>
      </c>
      <c r="S1903" t="s">
        <v>60</v>
      </c>
    </row>
    <row r="1904" spans="1:19" x14ac:dyDescent="0.25">
      <c r="A1904">
        <v>1903</v>
      </c>
      <c r="B1904">
        <v>31</v>
      </c>
      <c r="C1904" t="s">
        <v>19</v>
      </c>
      <c r="D1904" t="s">
        <v>42</v>
      </c>
      <c r="E1904" t="s">
        <v>43</v>
      </c>
      <c r="F1904" s="1">
        <v>22</v>
      </c>
      <c r="G1904" t="s">
        <v>130</v>
      </c>
      <c r="H1904" t="s">
        <v>38</v>
      </c>
      <c r="I1904" t="s">
        <v>79</v>
      </c>
      <c r="J1904" t="s">
        <v>39</v>
      </c>
      <c r="K1904" s="2">
        <v>5</v>
      </c>
      <c r="L1904" t="s">
        <v>152</v>
      </c>
      <c r="M1904" t="s">
        <v>34</v>
      </c>
      <c r="N1904" t="s">
        <v>76</v>
      </c>
      <c r="O1904" t="s">
        <v>152</v>
      </c>
      <c r="P1904" t="s">
        <v>152</v>
      </c>
      <c r="Q1904" s="3">
        <v>21</v>
      </c>
      <c r="R1904" t="s">
        <v>29</v>
      </c>
      <c r="S1904" t="s">
        <v>88</v>
      </c>
    </row>
    <row r="1905" spans="1:19" x14ac:dyDescent="0.25">
      <c r="A1905">
        <v>1904</v>
      </c>
      <c r="B1905">
        <v>59</v>
      </c>
      <c r="C1905" t="s">
        <v>19</v>
      </c>
      <c r="D1905" t="s">
        <v>95</v>
      </c>
      <c r="E1905" t="s">
        <v>21</v>
      </c>
      <c r="F1905" s="1">
        <v>63</v>
      </c>
      <c r="G1905" t="s">
        <v>98</v>
      </c>
      <c r="H1905" t="s">
        <v>45</v>
      </c>
      <c r="I1905" t="s">
        <v>81</v>
      </c>
      <c r="J1905" t="s">
        <v>54</v>
      </c>
      <c r="K1905" s="2">
        <v>3.3</v>
      </c>
      <c r="L1905" t="s">
        <v>152</v>
      </c>
      <c r="M1905" t="s">
        <v>34</v>
      </c>
      <c r="N1905" t="s">
        <v>55</v>
      </c>
      <c r="O1905" t="s">
        <v>152</v>
      </c>
      <c r="P1905" t="s">
        <v>152</v>
      </c>
      <c r="Q1905" s="3">
        <v>37</v>
      </c>
      <c r="R1905" t="s">
        <v>34</v>
      </c>
      <c r="S1905" t="s">
        <v>41</v>
      </c>
    </row>
    <row r="1906" spans="1:19" x14ac:dyDescent="0.25">
      <c r="A1906">
        <v>1905</v>
      </c>
      <c r="B1906">
        <v>22</v>
      </c>
      <c r="C1906" t="s">
        <v>19</v>
      </c>
      <c r="D1906" t="s">
        <v>113</v>
      </c>
      <c r="E1906" t="s">
        <v>21</v>
      </c>
      <c r="F1906" s="1">
        <v>71</v>
      </c>
      <c r="G1906" t="s">
        <v>107</v>
      </c>
      <c r="H1906" t="s">
        <v>38</v>
      </c>
      <c r="I1906" t="s">
        <v>67</v>
      </c>
      <c r="J1906" t="s">
        <v>39</v>
      </c>
      <c r="K1906" s="2">
        <v>4.2</v>
      </c>
      <c r="L1906" t="s">
        <v>152</v>
      </c>
      <c r="M1906" t="s">
        <v>46</v>
      </c>
      <c r="N1906" t="s">
        <v>40</v>
      </c>
      <c r="O1906" t="s">
        <v>152</v>
      </c>
      <c r="P1906" t="s">
        <v>152</v>
      </c>
      <c r="Q1906" s="3">
        <v>46</v>
      </c>
      <c r="R1906" t="s">
        <v>35</v>
      </c>
      <c r="S1906" t="s">
        <v>88</v>
      </c>
    </row>
    <row r="1907" spans="1:19" x14ac:dyDescent="0.25">
      <c r="A1907">
        <v>1906</v>
      </c>
      <c r="B1907">
        <v>47</v>
      </c>
      <c r="C1907" t="s">
        <v>19</v>
      </c>
      <c r="D1907" t="s">
        <v>137</v>
      </c>
      <c r="E1907" t="s">
        <v>43</v>
      </c>
      <c r="F1907" s="1">
        <v>35</v>
      </c>
      <c r="G1907" t="s">
        <v>135</v>
      </c>
      <c r="H1907" t="s">
        <v>45</v>
      </c>
      <c r="I1907" t="s">
        <v>86</v>
      </c>
      <c r="J1907" t="s">
        <v>54</v>
      </c>
      <c r="K1907" s="2">
        <v>4.9000000000000004</v>
      </c>
      <c r="L1907" t="s">
        <v>152</v>
      </c>
      <c r="M1907" t="s">
        <v>59</v>
      </c>
      <c r="N1907" t="s">
        <v>72</v>
      </c>
      <c r="O1907" t="s">
        <v>152</v>
      </c>
      <c r="P1907" t="s">
        <v>152</v>
      </c>
      <c r="Q1907" s="3">
        <v>14</v>
      </c>
      <c r="R1907" t="s">
        <v>34</v>
      </c>
      <c r="S1907" t="s">
        <v>30</v>
      </c>
    </row>
    <row r="1908" spans="1:19" x14ac:dyDescent="0.25">
      <c r="A1908">
        <v>1907</v>
      </c>
      <c r="B1908">
        <v>23</v>
      </c>
      <c r="C1908" t="s">
        <v>19</v>
      </c>
      <c r="D1908" t="s">
        <v>132</v>
      </c>
      <c r="E1908" t="s">
        <v>69</v>
      </c>
      <c r="F1908" s="1">
        <v>30</v>
      </c>
      <c r="G1908" t="s">
        <v>129</v>
      </c>
      <c r="H1908" t="s">
        <v>45</v>
      </c>
      <c r="I1908" t="s">
        <v>96</v>
      </c>
      <c r="J1908" t="s">
        <v>39</v>
      </c>
      <c r="K1908" s="2">
        <v>4.5999999999999996</v>
      </c>
      <c r="L1908" t="s">
        <v>152</v>
      </c>
      <c r="M1908" t="s">
        <v>34</v>
      </c>
      <c r="N1908" t="s">
        <v>72</v>
      </c>
      <c r="O1908" t="s">
        <v>152</v>
      </c>
      <c r="P1908" t="s">
        <v>152</v>
      </c>
      <c r="Q1908" s="3">
        <v>24</v>
      </c>
      <c r="R1908" t="s">
        <v>46</v>
      </c>
      <c r="S1908" t="s">
        <v>30</v>
      </c>
    </row>
    <row r="1909" spans="1:19" x14ac:dyDescent="0.25">
      <c r="A1909">
        <v>1908</v>
      </c>
      <c r="B1909">
        <v>69</v>
      </c>
      <c r="C1909" t="s">
        <v>19</v>
      </c>
      <c r="D1909" t="s">
        <v>87</v>
      </c>
      <c r="E1909" t="s">
        <v>21</v>
      </c>
      <c r="F1909" s="1">
        <v>74</v>
      </c>
      <c r="G1909" t="s">
        <v>130</v>
      </c>
      <c r="H1909" t="s">
        <v>23</v>
      </c>
      <c r="I1909" t="s">
        <v>121</v>
      </c>
      <c r="J1909" t="s">
        <v>58</v>
      </c>
      <c r="K1909" s="2">
        <v>4.8</v>
      </c>
      <c r="L1909" t="s">
        <v>152</v>
      </c>
      <c r="M1909" t="s">
        <v>35</v>
      </c>
      <c r="N1909" t="s">
        <v>76</v>
      </c>
      <c r="O1909" t="s">
        <v>152</v>
      </c>
      <c r="P1909" t="s">
        <v>152</v>
      </c>
      <c r="Q1909" s="3">
        <v>36</v>
      </c>
      <c r="R1909" t="s">
        <v>27</v>
      </c>
      <c r="S1909" t="s">
        <v>97</v>
      </c>
    </row>
    <row r="1910" spans="1:19" x14ac:dyDescent="0.25">
      <c r="A1910">
        <v>1909</v>
      </c>
      <c r="B1910">
        <v>18</v>
      </c>
      <c r="C1910" t="s">
        <v>19</v>
      </c>
      <c r="D1910" t="s">
        <v>119</v>
      </c>
      <c r="E1910" t="s">
        <v>69</v>
      </c>
      <c r="F1910" s="1">
        <v>71</v>
      </c>
      <c r="G1910" t="s">
        <v>142</v>
      </c>
      <c r="H1910" t="s">
        <v>92</v>
      </c>
      <c r="I1910" t="s">
        <v>63</v>
      </c>
      <c r="J1910" t="s">
        <v>25</v>
      </c>
      <c r="K1910" s="2">
        <v>2.7</v>
      </c>
      <c r="L1910" t="s">
        <v>152</v>
      </c>
      <c r="M1910" t="s">
        <v>27</v>
      </c>
      <c r="N1910" t="s">
        <v>47</v>
      </c>
      <c r="O1910" t="s">
        <v>152</v>
      </c>
      <c r="P1910" t="s">
        <v>152</v>
      </c>
      <c r="Q1910" s="3">
        <v>19</v>
      </c>
      <c r="R1910" t="s">
        <v>59</v>
      </c>
      <c r="S1910" t="s">
        <v>77</v>
      </c>
    </row>
    <row r="1911" spans="1:19" x14ac:dyDescent="0.25">
      <c r="A1911">
        <v>1910</v>
      </c>
      <c r="B1911">
        <v>50</v>
      </c>
      <c r="C1911" t="s">
        <v>19</v>
      </c>
      <c r="D1911" t="s">
        <v>31</v>
      </c>
      <c r="E1911" t="s">
        <v>21</v>
      </c>
      <c r="F1911" s="1">
        <v>84</v>
      </c>
      <c r="G1911" t="s">
        <v>22</v>
      </c>
      <c r="H1911" t="s">
        <v>38</v>
      </c>
      <c r="I1911" t="s">
        <v>94</v>
      </c>
      <c r="J1911" t="s">
        <v>39</v>
      </c>
      <c r="K1911" s="2">
        <v>4.3</v>
      </c>
      <c r="L1911" t="s">
        <v>152</v>
      </c>
      <c r="M1911" t="s">
        <v>46</v>
      </c>
      <c r="N1911" t="s">
        <v>76</v>
      </c>
      <c r="O1911" t="s">
        <v>152</v>
      </c>
      <c r="P1911" t="s">
        <v>152</v>
      </c>
      <c r="Q1911" s="3">
        <v>12</v>
      </c>
      <c r="R1911" t="s">
        <v>27</v>
      </c>
      <c r="S1911" t="s">
        <v>88</v>
      </c>
    </row>
    <row r="1912" spans="1:19" x14ac:dyDescent="0.25">
      <c r="A1912">
        <v>1911</v>
      </c>
      <c r="B1912">
        <v>29</v>
      </c>
      <c r="C1912" t="s">
        <v>19</v>
      </c>
      <c r="D1912" t="s">
        <v>42</v>
      </c>
      <c r="E1912" t="s">
        <v>43</v>
      </c>
      <c r="F1912" s="1">
        <v>38</v>
      </c>
      <c r="G1912" t="s">
        <v>85</v>
      </c>
      <c r="H1912" t="s">
        <v>38</v>
      </c>
      <c r="I1912" t="s">
        <v>134</v>
      </c>
      <c r="J1912" t="s">
        <v>58</v>
      </c>
      <c r="K1912" s="2">
        <v>3.8</v>
      </c>
      <c r="L1912" t="s">
        <v>152</v>
      </c>
      <c r="M1912" t="s">
        <v>29</v>
      </c>
      <c r="N1912" t="s">
        <v>28</v>
      </c>
      <c r="O1912" t="s">
        <v>152</v>
      </c>
      <c r="P1912" t="s">
        <v>152</v>
      </c>
      <c r="Q1912" s="3">
        <v>13</v>
      </c>
      <c r="R1912" t="s">
        <v>59</v>
      </c>
      <c r="S1912" t="s">
        <v>60</v>
      </c>
    </row>
    <row r="1913" spans="1:19" x14ac:dyDescent="0.25">
      <c r="A1913">
        <v>1912</v>
      </c>
      <c r="B1913">
        <v>65</v>
      </c>
      <c r="C1913" t="s">
        <v>19</v>
      </c>
      <c r="D1913" t="s">
        <v>106</v>
      </c>
      <c r="E1913" t="s">
        <v>69</v>
      </c>
      <c r="F1913" s="1">
        <v>81</v>
      </c>
      <c r="G1913" t="s">
        <v>117</v>
      </c>
      <c r="H1913" t="s">
        <v>45</v>
      </c>
      <c r="I1913" t="s">
        <v>24</v>
      </c>
      <c r="J1913" t="s">
        <v>39</v>
      </c>
      <c r="K1913" s="2">
        <v>4.9000000000000004</v>
      </c>
      <c r="L1913" t="s">
        <v>152</v>
      </c>
      <c r="M1913" t="s">
        <v>27</v>
      </c>
      <c r="N1913" t="s">
        <v>28</v>
      </c>
      <c r="O1913" t="s">
        <v>152</v>
      </c>
      <c r="P1913" t="s">
        <v>152</v>
      </c>
      <c r="Q1913" s="3">
        <v>32</v>
      </c>
      <c r="R1913" t="s">
        <v>59</v>
      </c>
      <c r="S1913" t="s">
        <v>77</v>
      </c>
    </row>
    <row r="1914" spans="1:19" x14ac:dyDescent="0.25">
      <c r="A1914">
        <v>1913</v>
      </c>
      <c r="B1914">
        <v>29</v>
      </c>
      <c r="C1914" t="s">
        <v>19</v>
      </c>
      <c r="D1914" t="s">
        <v>31</v>
      </c>
      <c r="E1914" t="s">
        <v>21</v>
      </c>
      <c r="F1914" s="1">
        <v>56</v>
      </c>
      <c r="G1914" t="s">
        <v>112</v>
      </c>
      <c r="H1914" t="s">
        <v>38</v>
      </c>
      <c r="I1914" t="s">
        <v>63</v>
      </c>
      <c r="J1914" t="s">
        <v>25</v>
      </c>
      <c r="K1914" s="2">
        <v>3.4</v>
      </c>
      <c r="L1914" t="s">
        <v>152</v>
      </c>
      <c r="M1914" t="s">
        <v>35</v>
      </c>
      <c r="N1914" t="s">
        <v>72</v>
      </c>
      <c r="O1914" t="s">
        <v>152</v>
      </c>
      <c r="P1914" t="s">
        <v>152</v>
      </c>
      <c r="Q1914" s="3">
        <v>5</v>
      </c>
      <c r="R1914" t="s">
        <v>27</v>
      </c>
      <c r="S1914" t="s">
        <v>77</v>
      </c>
    </row>
    <row r="1915" spans="1:19" x14ac:dyDescent="0.25">
      <c r="A1915">
        <v>1914</v>
      </c>
      <c r="B1915">
        <v>49</v>
      </c>
      <c r="C1915" t="s">
        <v>19</v>
      </c>
      <c r="D1915" t="s">
        <v>87</v>
      </c>
      <c r="E1915" t="s">
        <v>21</v>
      </c>
      <c r="F1915" s="1">
        <v>48</v>
      </c>
      <c r="G1915" t="s">
        <v>22</v>
      </c>
      <c r="H1915" t="s">
        <v>45</v>
      </c>
      <c r="I1915" t="s">
        <v>100</v>
      </c>
      <c r="J1915" t="s">
        <v>25</v>
      </c>
      <c r="K1915" s="2">
        <v>3.6</v>
      </c>
      <c r="L1915" t="s">
        <v>152</v>
      </c>
      <c r="M1915" t="s">
        <v>29</v>
      </c>
      <c r="N1915" t="s">
        <v>28</v>
      </c>
      <c r="O1915" t="s">
        <v>152</v>
      </c>
      <c r="P1915" t="s">
        <v>152</v>
      </c>
      <c r="Q1915" s="3">
        <v>29</v>
      </c>
      <c r="R1915" t="s">
        <v>35</v>
      </c>
      <c r="S1915" t="s">
        <v>50</v>
      </c>
    </row>
    <row r="1916" spans="1:19" x14ac:dyDescent="0.25">
      <c r="A1916">
        <v>1915</v>
      </c>
      <c r="B1916">
        <v>28</v>
      </c>
      <c r="C1916" t="s">
        <v>19</v>
      </c>
      <c r="D1916" t="s">
        <v>61</v>
      </c>
      <c r="E1916" t="s">
        <v>21</v>
      </c>
      <c r="F1916" s="1">
        <v>97</v>
      </c>
      <c r="G1916" t="s">
        <v>120</v>
      </c>
      <c r="H1916" t="s">
        <v>23</v>
      </c>
      <c r="I1916" t="s">
        <v>96</v>
      </c>
      <c r="J1916" t="s">
        <v>58</v>
      </c>
      <c r="K1916" s="2">
        <v>3.4</v>
      </c>
      <c r="L1916" t="s">
        <v>152</v>
      </c>
      <c r="M1916" t="s">
        <v>29</v>
      </c>
      <c r="N1916" t="s">
        <v>55</v>
      </c>
      <c r="O1916" t="s">
        <v>152</v>
      </c>
      <c r="P1916" t="s">
        <v>152</v>
      </c>
      <c r="Q1916" s="3">
        <v>40</v>
      </c>
      <c r="R1916" t="s">
        <v>27</v>
      </c>
      <c r="S1916" t="s">
        <v>30</v>
      </c>
    </row>
    <row r="1917" spans="1:19" x14ac:dyDescent="0.25">
      <c r="A1917">
        <v>1916</v>
      </c>
      <c r="B1917">
        <v>51</v>
      </c>
      <c r="C1917" t="s">
        <v>19</v>
      </c>
      <c r="D1917" t="s">
        <v>132</v>
      </c>
      <c r="E1917" t="s">
        <v>69</v>
      </c>
      <c r="F1917" s="1">
        <v>74</v>
      </c>
      <c r="G1917" t="s">
        <v>90</v>
      </c>
      <c r="H1917" t="s">
        <v>45</v>
      </c>
      <c r="I1917" t="s">
        <v>136</v>
      </c>
      <c r="J1917" t="s">
        <v>58</v>
      </c>
      <c r="K1917" s="2">
        <v>4.7</v>
      </c>
      <c r="L1917" t="s">
        <v>152</v>
      </c>
      <c r="M1917" t="s">
        <v>46</v>
      </c>
      <c r="N1917" t="s">
        <v>72</v>
      </c>
      <c r="O1917" t="s">
        <v>152</v>
      </c>
      <c r="P1917" t="s">
        <v>152</v>
      </c>
      <c r="Q1917" s="3">
        <v>44</v>
      </c>
      <c r="R1917" t="s">
        <v>35</v>
      </c>
      <c r="S1917" t="s">
        <v>41</v>
      </c>
    </row>
    <row r="1918" spans="1:19" x14ac:dyDescent="0.25">
      <c r="A1918">
        <v>1917</v>
      </c>
      <c r="B1918">
        <v>26</v>
      </c>
      <c r="C1918" t="s">
        <v>19</v>
      </c>
      <c r="D1918" t="s">
        <v>104</v>
      </c>
      <c r="E1918" t="s">
        <v>21</v>
      </c>
      <c r="F1918" s="1">
        <v>50</v>
      </c>
      <c r="G1918" t="s">
        <v>139</v>
      </c>
      <c r="H1918" t="s">
        <v>38</v>
      </c>
      <c r="I1918" t="s">
        <v>118</v>
      </c>
      <c r="J1918" t="s">
        <v>25</v>
      </c>
      <c r="K1918" s="2">
        <v>3</v>
      </c>
      <c r="L1918" t="s">
        <v>152</v>
      </c>
      <c r="M1918" t="s">
        <v>46</v>
      </c>
      <c r="N1918" t="s">
        <v>47</v>
      </c>
      <c r="O1918" t="s">
        <v>152</v>
      </c>
      <c r="P1918" t="s">
        <v>152</v>
      </c>
      <c r="Q1918" s="3">
        <v>3</v>
      </c>
      <c r="R1918" t="s">
        <v>59</v>
      </c>
      <c r="S1918" t="s">
        <v>77</v>
      </c>
    </row>
    <row r="1919" spans="1:19" x14ac:dyDescent="0.25">
      <c r="A1919">
        <v>1918</v>
      </c>
      <c r="B1919">
        <v>38</v>
      </c>
      <c r="C1919" t="s">
        <v>19</v>
      </c>
      <c r="D1919" t="s">
        <v>87</v>
      </c>
      <c r="E1919" t="s">
        <v>21</v>
      </c>
      <c r="F1919" s="1">
        <v>71</v>
      </c>
      <c r="G1919" t="s">
        <v>78</v>
      </c>
      <c r="H1919" t="s">
        <v>23</v>
      </c>
      <c r="I1919" t="s">
        <v>94</v>
      </c>
      <c r="J1919" t="s">
        <v>25</v>
      </c>
      <c r="K1919" s="2">
        <v>3.4</v>
      </c>
      <c r="L1919" t="s">
        <v>152</v>
      </c>
      <c r="M1919" t="s">
        <v>29</v>
      </c>
      <c r="N1919" t="s">
        <v>40</v>
      </c>
      <c r="O1919" t="s">
        <v>152</v>
      </c>
      <c r="P1919" t="s">
        <v>152</v>
      </c>
      <c r="Q1919" s="3">
        <v>35</v>
      </c>
      <c r="R1919" t="s">
        <v>46</v>
      </c>
      <c r="S1919" t="s">
        <v>77</v>
      </c>
    </row>
    <row r="1920" spans="1:19" x14ac:dyDescent="0.25">
      <c r="A1920">
        <v>1919</v>
      </c>
      <c r="B1920">
        <v>35</v>
      </c>
      <c r="C1920" t="s">
        <v>19</v>
      </c>
      <c r="D1920" t="s">
        <v>87</v>
      </c>
      <c r="E1920" t="s">
        <v>21</v>
      </c>
      <c r="F1920" s="1">
        <v>33</v>
      </c>
      <c r="G1920" t="s">
        <v>135</v>
      </c>
      <c r="H1920" t="s">
        <v>38</v>
      </c>
      <c r="I1920" t="s">
        <v>75</v>
      </c>
      <c r="J1920" t="s">
        <v>54</v>
      </c>
      <c r="K1920" s="2">
        <v>4.5999999999999996</v>
      </c>
      <c r="L1920" t="s">
        <v>152</v>
      </c>
      <c r="M1920" t="s">
        <v>46</v>
      </c>
      <c r="N1920" t="s">
        <v>55</v>
      </c>
      <c r="O1920" t="s">
        <v>152</v>
      </c>
      <c r="P1920" t="s">
        <v>152</v>
      </c>
      <c r="Q1920" s="3">
        <v>33</v>
      </c>
      <c r="R1920" t="s">
        <v>59</v>
      </c>
      <c r="S1920" t="s">
        <v>88</v>
      </c>
    </row>
    <row r="1921" spans="1:19" x14ac:dyDescent="0.25">
      <c r="A1921">
        <v>1920</v>
      </c>
      <c r="B1921">
        <v>34</v>
      </c>
      <c r="C1921" t="s">
        <v>19</v>
      </c>
      <c r="D1921" t="s">
        <v>132</v>
      </c>
      <c r="E1921" t="s">
        <v>69</v>
      </c>
      <c r="F1921" s="1">
        <v>56</v>
      </c>
      <c r="G1921" t="s">
        <v>141</v>
      </c>
      <c r="H1921" t="s">
        <v>45</v>
      </c>
      <c r="I1921" t="s">
        <v>79</v>
      </c>
      <c r="J1921" t="s">
        <v>54</v>
      </c>
      <c r="K1921" s="2">
        <v>3.1</v>
      </c>
      <c r="L1921" t="s">
        <v>152</v>
      </c>
      <c r="M1921" t="s">
        <v>27</v>
      </c>
      <c r="N1921" t="s">
        <v>28</v>
      </c>
      <c r="O1921" t="s">
        <v>152</v>
      </c>
      <c r="P1921" t="s">
        <v>152</v>
      </c>
      <c r="Q1921" s="3">
        <v>20</v>
      </c>
      <c r="R1921" t="s">
        <v>46</v>
      </c>
      <c r="S1921" t="s">
        <v>77</v>
      </c>
    </row>
    <row r="1922" spans="1:19" x14ac:dyDescent="0.25">
      <c r="A1922">
        <v>1921</v>
      </c>
      <c r="B1922">
        <v>51</v>
      </c>
      <c r="C1922" t="s">
        <v>19</v>
      </c>
      <c r="D1922" t="s">
        <v>20</v>
      </c>
      <c r="E1922" t="s">
        <v>21</v>
      </c>
      <c r="F1922" s="1">
        <v>84</v>
      </c>
      <c r="G1922" t="s">
        <v>139</v>
      </c>
      <c r="H1922" t="s">
        <v>45</v>
      </c>
      <c r="I1922" t="s">
        <v>75</v>
      </c>
      <c r="J1922" t="s">
        <v>39</v>
      </c>
      <c r="K1922" s="2">
        <v>2.8</v>
      </c>
      <c r="L1922" t="s">
        <v>152</v>
      </c>
      <c r="M1922" t="s">
        <v>34</v>
      </c>
      <c r="N1922" t="s">
        <v>55</v>
      </c>
      <c r="O1922" t="s">
        <v>152</v>
      </c>
      <c r="P1922" t="s">
        <v>152</v>
      </c>
      <c r="Q1922" s="3">
        <v>40</v>
      </c>
      <c r="R1922" t="s">
        <v>35</v>
      </c>
      <c r="S1922" t="s">
        <v>97</v>
      </c>
    </row>
    <row r="1923" spans="1:19" x14ac:dyDescent="0.25">
      <c r="A1923">
        <v>1922</v>
      </c>
      <c r="B1923">
        <v>47</v>
      </c>
      <c r="C1923" t="s">
        <v>19</v>
      </c>
      <c r="D1923" t="s">
        <v>56</v>
      </c>
      <c r="E1923" t="s">
        <v>21</v>
      </c>
      <c r="F1923" s="1">
        <v>36</v>
      </c>
      <c r="G1923" t="s">
        <v>151</v>
      </c>
      <c r="H1923" t="s">
        <v>45</v>
      </c>
      <c r="I1923" t="s">
        <v>96</v>
      </c>
      <c r="J1923" t="s">
        <v>58</v>
      </c>
      <c r="K1923" s="2">
        <v>3.5</v>
      </c>
      <c r="L1923" t="s">
        <v>152</v>
      </c>
      <c r="M1923" t="s">
        <v>35</v>
      </c>
      <c r="N1923" t="s">
        <v>76</v>
      </c>
      <c r="O1923" t="s">
        <v>152</v>
      </c>
      <c r="P1923" t="s">
        <v>152</v>
      </c>
      <c r="Q1923" s="3">
        <v>13</v>
      </c>
      <c r="R1923" t="s">
        <v>29</v>
      </c>
      <c r="S1923" t="s">
        <v>50</v>
      </c>
    </row>
    <row r="1924" spans="1:19" x14ac:dyDescent="0.25">
      <c r="A1924">
        <v>1923</v>
      </c>
      <c r="B1924">
        <v>18</v>
      </c>
      <c r="C1924" t="s">
        <v>19</v>
      </c>
      <c r="D1924" t="s">
        <v>143</v>
      </c>
      <c r="E1924" t="s">
        <v>69</v>
      </c>
      <c r="F1924" s="1">
        <v>63</v>
      </c>
      <c r="G1924" t="s">
        <v>22</v>
      </c>
      <c r="H1924" t="s">
        <v>38</v>
      </c>
      <c r="I1924" t="s">
        <v>100</v>
      </c>
      <c r="J1924" t="s">
        <v>54</v>
      </c>
      <c r="K1924" s="2">
        <v>4.5999999999999996</v>
      </c>
      <c r="L1924" t="s">
        <v>152</v>
      </c>
      <c r="M1924" t="s">
        <v>46</v>
      </c>
      <c r="N1924" t="s">
        <v>55</v>
      </c>
      <c r="O1924" t="s">
        <v>152</v>
      </c>
      <c r="P1924" t="s">
        <v>152</v>
      </c>
      <c r="Q1924" s="3">
        <v>9</v>
      </c>
      <c r="R1924" t="s">
        <v>46</v>
      </c>
      <c r="S1924" t="s">
        <v>88</v>
      </c>
    </row>
    <row r="1925" spans="1:19" x14ac:dyDescent="0.25">
      <c r="A1925">
        <v>1924</v>
      </c>
      <c r="B1925">
        <v>64</v>
      </c>
      <c r="C1925" t="s">
        <v>19</v>
      </c>
      <c r="D1925" t="s">
        <v>42</v>
      </c>
      <c r="E1925" t="s">
        <v>43</v>
      </c>
      <c r="F1925" s="1">
        <v>36</v>
      </c>
      <c r="G1925" t="s">
        <v>145</v>
      </c>
      <c r="H1925" t="s">
        <v>92</v>
      </c>
      <c r="I1925" t="s">
        <v>144</v>
      </c>
      <c r="J1925" t="s">
        <v>54</v>
      </c>
      <c r="K1925" s="2">
        <v>4.3</v>
      </c>
      <c r="L1925" t="s">
        <v>152</v>
      </c>
      <c r="M1925" t="s">
        <v>46</v>
      </c>
      <c r="N1925" t="s">
        <v>55</v>
      </c>
      <c r="O1925" t="s">
        <v>152</v>
      </c>
      <c r="P1925" t="s">
        <v>152</v>
      </c>
      <c r="Q1925" s="3">
        <v>7</v>
      </c>
      <c r="R1925" t="s">
        <v>35</v>
      </c>
      <c r="S1925" t="s">
        <v>50</v>
      </c>
    </row>
    <row r="1926" spans="1:19" x14ac:dyDescent="0.25">
      <c r="A1926">
        <v>1925</v>
      </c>
      <c r="B1926">
        <v>30</v>
      </c>
      <c r="C1926" t="s">
        <v>19</v>
      </c>
      <c r="D1926" t="s">
        <v>102</v>
      </c>
      <c r="E1926" t="s">
        <v>65</v>
      </c>
      <c r="F1926" s="1">
        <v>63</v>
      </c>
      <c r="G1926" t="s">
        <v>151</v>
      </c>
      <c r="H1926" t="s">
        <v>45</v>
      </c>
      <c r="I1926" t="s">
        <v>24</v>
      </c>
      <c r="J1926" t="s">
        <v>58</v>
      </c>
      <c r="K1926" s="2">
        <v>4.8</v>
      </c>
      <c r="L1926" t="s">
        <v>152</v>
      </c>
      <c r="M1926" t="s">
        <v>29</v>
      </c>
      <c r="N1926" t="s">
        <v>40</v>
      </c>
      <c r="O1926" t="s">
        <v>152</v>
      </c>
      <c r="P1926" t="s">
        <v>152</v>
      </c>
      <c r="Q1926" s="3">
        <v>42</v>
      </c>
      <c r="R1926" t="s">
        <v>46</v>
      </c>
      <c r="S1926" t="s">
        <v>60</v>
      </c>
    </row>
    <row r="1927" spans="1:19" x14ac:dyDescent="0.25">
      <c r="A1927">
        <v>1926</v>
      </c>
      <c r="B1927">
        <v>59</v>
      </c>
      <c r="C1927" t="s">
        <v>19</v>
      </c>
      <c r="D1927" t="s">
        <v>51</v>
      </c>
      <c r="E1927" t="s">
        <v>43</v>
      </c>
      <c r="F1927" s="1">
        <v>32</v>
      </c>
      <c r="G1927" t="s">
        <v>140</v>
      </c>
      <c r="H1927" t="s">
        <v>23</v>
      </c>
      <c r="I1927" t="s">
        <v>94</v>
      </c>
      <c r="J1927" t="s">
        <v>25</v>
      </c>
      <c r="K1927" s="2">
        <v>2.9</v>
      </c>
      <c r="L1927" t="s">
        <v>152</v>
      </c>
      <c r="M1927" t="s">
        <v>29</v>
      </c>
      <c r="N1927" t="s">
        <v>28</v>
      </c>
      <c r="O1927" t="s">
        <v>152</v>
      </c>
      <c r="P1927" t="s">
        <v>152</v>
      </c>
      <c r="Q1927" s="3">
        <v>44</v>
      </c>
      <c r="R1927" t="s">
        <v>27</v>
      </c>
      <c r="S1927" t="s">
        <v>30</v>
      </c>
    </row>
    <row r="1928" spans="1:19" x14ac:dyDescent="0.25">
      <c r="A1928">
        <v>1927</v>
      </c>
      <c r="B1928">
        <v>66</v>
      </c>
      <c r="C1928" t="s">
        <v>19</v>
      </c>
      <c r="D1928" t="s">
        <v>132</v>
      </c>
      <c r="E1928" t="s">
        <v>69</v>
      </c>
      <c r="F1928" s="1">
        <v>93</v>
      </c>
      <c r="G1928" t="s">
        <v>130</v>
      </c>
      <c r="H1928" t="s">
        <v>45</v>
      </c>
      <c r="I1928" t="s">
        <v>67</v>
      </c>
      <c r="J1928" t="s">
        <v>39</v>
      </c>
      <c r="K1928" s="2">
        <v>3</v>
      </c>
      <c r="L1928" t="s">
        <v>152</v>
      </c>
      <c r="M1928" t="s">
        <v>29</v>
      </c>
      <c r="N1928" t="s">
        <v>28</v>
      </c>
      <c r="O1928" t="s">
        <v>152</v>
      </c>
      <c r="P1928" t="s">
        <v>152</v>
      </c>
      <c r="Q1928" s="3">
        <v>6</v>
      </c>
      <c r="R1928" t="s">
        <v>46</v>
      </c>
      <c r="S1928" t="s">
        <v>50</v>
      </c>
    </row>
    <row r="1929" spans="1:19" x14ac:dyDescent="0.25">
      <c r="A1929">
        <v>1928</v>
      </c>
      <c r="B1929">
        <v>40</v>
      </c>
      <c r="C1929" t="s">
        <v>19</v>
      </c>
      <c r="D1929" t="s">
        <v>95</v>
      </c>
      <c r="E1929" t="s">
        <v>21</v>
      </c>
      <c r="F1929" s="1">
        <v>29</v>
      </c>
      <c r="G1929" t="s">
        <v>103</v>
      </c>
      <c r="H1929" t="s">
        <v>45</v>
      </c>
      <c r="I1929" t="s">
        <v>71</v>
      </c>
      <c r="J1929" t="s">
        <v>54</v>
      </c>
      <c r="K1929" s="2">
        <v>2.9</v>
      </c>
      <c r="L1929" t="s">
        <v>152</v>
      </c>
      <c r="M1929" t="s">
        <v>59</v>
      </c>
      <c r="N1929" t="s">
        <v>55</v>
      </c>
      <c r="O1929" t="s">
        <v>152</v>
      </c>
      <c r="P1929" t="s">
        <v>152</v>
      </c>
      <c r="Q1929" s="3">
        <v>8</v>
      </c>
      <c r="R1929" t="s">
        <v>35</v>
      </c>
      <c r="S1929" t="s">
        <v>97</v>
      </c>
    </row>
    <row r="1930" spans="1:19" x14ac:dyDescent="0.25">
      <c r="A1930">
        <v>1929</v>
      </c>
      <c r="B1930">
        <v>25</v>
      </c>
      <c r="C1930" t="s">
        <v>19</v>
      </c>
      <c r="D1930" t="s">
        <v>89</v>
      </c>
      <c r="E1930" t="s">
        <v>69</v>
      </c>
      <c r="F1930" s="1">
        <v>92</v>
      </c>
      <c r="G1930" t="s">
        <v>91</v>
      </c>
      <c r="H1930" t="s">
        <v>38</v>
      </c>
      <c r="I1930" t="s">
        <v>93</v>
      </c>
      <c r="J1930" t="s">
        <v>54</v>
      </c>
      <c r="K1930" s="2">
        <v>3.7</v>
      </c>
      <c r="L1930" t="s">
        <v>152</v>
      </c>
      <c r="M1930" t="s">
        <v>46</v>
      </c>
      <c r="N1930" t="s">
        <v>55</v>
      </c>
      <c r="O1930" t="s">
        <v>152</v>
      </c>
      <c r="P1930" t="s">
        <v>152</v>
      </c>
      <c r="Q1930" s="3">
        <v>10</v>
      </c>
      <c r="R1930" t="s">
        <v>46</v>
      </c>
      <c r="S1930" t="s">
        <v>41</v>
      </c>
    </row>
    <row r="1931" spans="1:19" x14ac:dyDescent="0.25">
      <c r="A1931">
        <v>1930</v>
      </c>
      <c r="B1931">
        <v>59</v>
      </c>
      <c r="C1931" t="s">
        <v>19</v>
      </c>
      <c r="D1931" t="s">
        <v>36</v>
      </c>
      <c r="E1931" t="s">
        <v>21</v>
      </c>
      <c r="F1931" s="1">
        <v>33</v>
      </c>
      <c r="G1931" t="s">
        <v>78</v>
      </c>
      <c r="H1931" t="s">
        <v>23</v>
      </c>
      <c r="I1931" t="s">
        <v>110</v>
      </c>
      <c r="J1931" t="s">
        <v>58</v>
      </c>
      <c r="K1931" s="2">
        <v>4.7</v>
      </c>
      <c r="L1931" t="s">
        <v>152</v>
      </c>
      <c r="M1931" t="s">
        <v>59</v>
      </c>
      <c r="N1931" t="s">
        <v>55</v>
      </c>
      <c r="O1931" t="s">
        <v>152</v>
      </c>
      <c r="P1931" t="s">
        <v>152</v>
      </c>
      <c r="Q1931" s="3">
        <v>46</v>
      </c>
      <c r="R1931" t="s">
        <v>29</v>
      </c>
      <c r="S1931" t="s">
        <v>60</v>
      </c>
    </row>
    <row r="1932" spans="1:19" x14ac:dyDescent="0.25">
      <c r="A1932">
        <v>1931</v>
      </c>
      <c r="B1932">
        <v>66</v>
      </c>
      <c r="C1932" t="s">
        <v>19</v>
      </c>
      <c r="D1932" t="s">
        <v>95</v>
      </c>
      <c r="E1932" t="s">
        <v>21</v>
      </c>
      <c r="F1932" s="1">
        <v>52</v>
      </c>
      <c r="G1932" t="s">
        <v>98</v>
      </c>
      <c r="H1932" t="s">
        <v>23</v>
      </c>
      <c r="I1932" t="s">
        <v>49</v>
      </c>
      <c r="J1932" t="s">
        <v>39</v>
      </c>
      <c r="K1932" s="2">
        <v>3.5</v>
      </c>
      <c r="L1932" t="s">
        <v>152</v>
      </c>
      <c r="M1932" t="s">
        <v>34</v>
      </c>
      <c r="N1932" t="s">
        <v>76</v>
      </c>
      <c r="O1932" t="s">
        <v>152</v>
      </c>
      <c r="P1932" t="s">
        <v>152</v>
      </c>
      <c r="Q1932" s="3">
        <v>26</v>
      </c>
      <c r="R1932" t="s">
        <v>35</v>
      </c>
      <c r="S1932" t="s">
        <v>41</v>
      </c>
    </row>
    <row r="1933" spans="1:19" x14ac:dyDescent="0.25">
      <c r="A1933">
        <v>1932</v>
      </c>
      <c r="B1933">
        <v>54</v>
      </c>
      <c r="C1933" t="s">
        <v>19</v>
      </c>
      <c r="D1933" t="s">
        <v>106</v>
      </c>
      <c r="E1933" t="s">
        <v>69</v>
      </c>
      <c r="F1933" s="1">
        <v>42</v>
      </c>
      <c r="G1933" t="s">
        <v>115</v>
      </c>
      <c r="H1933" t="s">
        <v>38</v>
      </c>
      <c r="I1933" t="s">
        <v>79</v>
      </c>
      <c r="J1933" t="s">
        <v>39</v>
      </c>
      <c r="K1933" s="2">
        <v>2.7</v>
      </c>
      <c r="L1933" t="s">
        <v>152</v>
      </c>
      <c r="M1933" t="s">
        <v>46</v>
      </c>
      <c r="N1933" t="s">
        <v>76</v>
      </c>
      <c r="O1933" t="s">
        <v>152</v>
      </c>
      <c r="P1933" t="s">
        <v>152</v>
      </c>
      <c r="Q1933" s="3">
        <v>6</v>
      </c>
      <c r="R1933" t="s">
        <v>59</v>
      </c>
      <c r="S1933" t="s">
        <v>97</v>
      </c>
    </row>
    <row r="1934" spans="1:19" x14ac:dyDescent="0.25">
      <c r="A1934">
        <v>1933</v>
      </c>
      <c r="B1934">
        <v>42</v>
      </c>
      <c r="C1934" t="s">
        <v>19</v>
      </c>
      <c r="D1934" t="s">
        <v>104</v>
      </c>
      <c r="E1934" t="s">
        <v>21</v>
      </c>
      <c r="F1934" s="1">
        <v>36</v>
      </c>
      <c r="G1934" t="s">
        <v>128</v>
      </c>
      <c r="H1934" t="s">
        <v>45</v>
      </c>
      <c r="I1934" t="s">
        <v>53</v>
      </c>
      <c r="J1934" t="s">
        <v>39</v>
      </c>
      <c r="K1934" s="2">
        <v>5</v>
      </c>
      <c r="L1934" t="s">
        <v>152</v>
      </c>
      <c r="M1934" t="s">
        <v>35</v>
      </c>
      <c r="N1934" t="s">
        <v>40</v>
      </c>
      <c r="O1934" t="s">
        <v>152</v>
      </c>
      <c r="P1934" t="s">
        <v>152</v>
      </c>
      <c r="Q1934" s="3">
        <v>47</v>
      </c>
      <c r="R1934" t="s">
        <v>27</v>
      </c>
      <c r="S1934" t="s">
        <v>97</v>
      </c>
    </row>
    <row r="1935" spans="1:19" x14ac:dyDescent="0.25">
      <c r="A1935">
        <v>1934</v>
      </c>
      <c r="B1935">
        <v>48</v>
      </c>
      <c r="C1935" t="s">
        <v>19</v>
      </c>
      <c r="D1935" t="s">
        <v>42</v>
      </c>
      <c r="E1935" t="s">
        <v>43</v>
      </c>
      <c r="F1935" s="1">
        <v>67</v>
      </c>
      <c r="G1935" t="s">
        <v>57</v>
      </c>
      <c r="H1935" t="s">
        <v>23</v>
      </c>
      <c r="I1935" t="s">
        <v>84</v>
      </c>
      <c r="J1935" t="s">
        <v>54</v>
      </c>
      <c r="K1935" s="2">
        <v>4.0999999999999996</v>
      </c>
      <c r="L1935" t="s">
        <v>152</v>
      </c>
      <c r="M1935" t="s">
        <v>35</v>
      </c>
      <c r="N1935" t="s">
        <v>47</v>
      </c>
      <c r="O1935" t="s">
        <v>152</v>
      </c>
      <c r="P1935" t="s">
        <v>152</v>
      </c>
      <c r="Q1935" s="3">
        <v>28</v>
      </c>
      <c r="R1935" t="s">
        <v>29</v>
      </c>
      <c r="S1935" t="s">
        <v>50</v>
      </c>
    </row>
    <row r="1936" spans="1:19" x14ac:dyDescent="0.25">
      <c r="A1936">
        <v>1935</v>
      </c>
      <c r="B1936">
        <v>34</v>
      </c>
      <c r="C1936" t="s">
        <v>19</v>
      </c>
      <c r="D1936" t="s">
        <v>102</v>
      </c>
      <c r="E1936" t="s">
        <v>65</v>
      </c>
      <c r="F1936" s="1">
        <v>43</v>
      </c>
      <c r="G1936" t="s">
        <v>151</v>
      </c>
      <c r="H1936" t="s">
        <v>23</v>
      </c>
      <c r="I1936" t="s">
        <v>81</v>
      </c>
      <c r="J1936" t="s">
        <v>25</v>
      </c>
      <c r="K1936" s="2">
        <v>2.7</v>
      </c>
      <c r="L1936" t="s">
        <v>152</v>
      </c>
      <c r="M1936" t="s">
        <v>59</v>
      </c>
      <c r="N1936" t="s">
        <v>40</v>
      </c>
      <c r="O1936" t="s">
        <v>152</v>
      </c>
      <c r="P1936" t="s">
        <v>152</v>
      </c>
      <c r="Q1936" s="3">
        <v>23</v>
      </c>
      <c r="R1936" t="s">
        <v>34</v>
      </c>
      <c r="S1936" t="s">
        <v>50</v>
      </c>
    </row>
    <row r="1937" spans="1:19" x14ac:dyDescent="0.25">
      <c r="A1937">
        <v>1936</v>
      </c>
      <c r="B1937">
        <v>19</v>
      </c>
      <c r="C1937" t="s">
        <v>19</v>
      </c>
      <c r="D1937" t="s">
        <v>20</v>
      </c>
      <c r="E1937" t="s">
        <v>21</v>
      </c>
      <c r="F1937" s="1">
        <v>68</v>
      </c>
      <c r="G1937" t="s">
        <v>98</v>
      </c>
      <c r="H1937" t="s">
        <v>92</v>
      </c>
      <c r="I1937" t="s">
        <v>84</v>
      </c>
      <c r="J1937" t="s">
        <v>39</v>
      </c>
      <c r="K1937" s="2">
        <v>4.8</v>
      </c>
      <c r="L1937" t="s">
        <v>152</v>
      </c>
      <c r="M1937" t="s">
        <v>59</v>
      </c>
      <c r="N1937" t="s">
        <v>40</v>
      </c>
      <c r="O1937" t="s">
        <v>152</v>
      </c>
      <c r="P1937" t="s">
        <v>152</v>
      </c>
      <c r="Q1937" s="3">
        <v>45</v>
      </c>
      <c r="R1937" t="s">
        <v>35</v>
      </c>
      <c r="S1937" t="s">
        <v>30</v>
      </c>
    </row>
    <row r="1938" spans="1:19" x14ac:dyDescent="0.25">
      <c r="A1938">
        <v>1937</v>
      </c>
      <c r="B1938">
        <v>70</v>
      </c>
      <c r="C1938" t="s">
        <v>19</v>
      </c>
      <c r="D1938" t="s">
        <v>106</v>
      </c>
      <c r="E1938" t="s">
        <v>69</v>
      </c>
      <c r="F1938" s="1">
        <v>60</v>
      </c>
      <c r="G1938" t="s">
        <v>148</v>
      </c>
      <c r="H1938" t="s">
        <v>38</v>
      </c>
      <c r="I1938" t="s">
        <v>86</v>
      </c>
      <c r="J1938" t="s">
        <v>54</v>
      </c>
      <c r="K1938" s="2">
        <v>4.3</v>
      </c>
      <c r="L1938" t="s">
        <v>152</v>
      </c>
      <c r="M1938" t="s">
        <v>46</v>
      </c>
      <c r="N1938" t="s">
        <v>72</v>
      </c>
      <c r="O1938" t="s">
        <v>152</v>
      </c>
      <c r="P1938" t="s">
        <v>152</v>
      </c>
      <c r="Q1938" s="3">
        <v>44</v>
      </c>
      <c r="R1938" t="s">
        <v>46</v>
      </c>
      <c r="S1938" t="s">
        <v>97</v>
      </c>
    </row>
    <row r="1939" spans="1:19" x14ac:dyDescent="0.25">
      <c r="A1939">
        <v>1938</v>
      </c>
      <c r="B1939">
        <v>43</v>
      </c>
      <c r="C1939" t="s">
        <v>19</v>
      </c>
      <c r="D1939" t="s">
        <v>125</v>
      </c>
      <c r="E1939" t="s">
        <v>21</v>
      </c>
      <c r="F1939" s="1">
        <v>53</v>
      </c>
      <c r="G1939" t="s">
        <v>80</v>
      </c>
      <c r="H1939" t="s">
        <v>45</v>
      </c>
      <c r="I1939" t="s">
        <v>79</v>
      </c>
      <c r="J1939" t="s">
        <v>54</v>
      </c>
      <c r="K1939" s="2">
        <v>4.5</v>
      </c>
      <c r="L1939" t="s">
        <v>152</v>
      </c>
      <c r="M1939" t="s">
        <v>29</v>
      </c>
      <c r="N1939" t="s">
        <v>72</v>
      </c>
      <c r="O1939" t="s">
        <v>152</v>
      </c>
      <c r="P1939" t="s">
        <v>152</v>
      </c>
      <c r="Q1939" s="3">
        <v>11</v>
      </c>
      <c r="R1939" t="s">
        <v>34</v>
      </c>
      <c r="S1939" t="s">
        <v>88</v>
      </c>
    </row>
    <row r="1940" spans="1:19" x14ac:dyDescent="0.25">
      <c r="A1940">
        <v>1939</v>
      </c>
      <c r="B1940">
        <v>46</v>
      </c>
      <c r="C1940" t="s">
        <v>19</v>
      </c>
      <c r="D1940" t="s">
        <v>36</v>
      </c>
      <c r="E1940" t="s">
        <v>21</v>
      </c>
      <c r="F1940" s="1">
        <v>23</v>
      </c>
      <c r="G1940" t="s">
        <v>22</v>
      </c>
      <c r="H1940" t="s">
        <v>23</v>
      </c>
      <c r="I1940" t="s">
        <v>144</v>
      </c>
      <c r="J1940" t="s">
        <v>39</v>
      </c>
      <c r="K1940" s="2">
        <v>3.8</v>
      </c>
      <c r="L1940" t="s">
        <v>152</v>
      </c>
      <c r="M1940" t="s">
        <v>34</v>
      </c>
      <c r="N1940" t="s">
        <v>55</v>
      </c>
      <c r="O1940" t="s">
        <v>152</v>
      </c>
      <c r="P1940" t="s">
        <v>152</v>
      </c>
      <c r="Q1940" s="3">
        <v>39</v>
      </c>
      <c r="R1940" t="s">
        <v>59</v>
      </c>
      <c r="S1940" t="s">
        <v>77</v>
      </c>
    </row>
    <row r="1941" spans="1:19" x14ac:dyDescent="0.25">
      <c r="A1941">
        <v>1940</v>
      </c>
      <c r="B1941">
        <v>66</v>
      </c>
      <c r="C1941" t="s">
        <v>19</v>
      </c>
      <c r="D1941" t="s">
        <v>143</v>
      </c>
      <c r="E1941" t="s">
        <v>69</v>
      </c>
      <c r="F1941" s="1">
        <v>57</v>
      </c>
      <c r="G1941" t="s">
        <v>123</v>
      </c>
      <c r="H1941" t="s">
        <v>23</v>
      </c>
      <c r="I1941" t="s">
        <v>136</v>
      </c>
      <c r="J1941" t="s">
        <v>25</v>
      </c>
      <c r="K1941" s="2">
        <v>3.7</v>
      </c>
      <c r="L1941" t="s">
        <v>152</v>
      </c>
      <c r="M1941" t="s">
        <v>34</v>
      </c>
      <c r="N1941" t="s">
        <v>76</v>
      </c>
      <c r="O1941" t="s">
        <v>152</v>
      </c>
      <c r="P1941" t="s">
        <v>152</v>
      </c>
      <c r="Q1941" s="3">
        <v>20</v>
      </c>
      <c r="R1941" t="s">
        <v>46</v>
      </c>
      <c r="S1941" t="s">
        <v>97</v>
      </c>
    </row>
    <row r="1942" spans="1:19" x14ac:dyDescent="0.25">
      <c r="A1942">
        <v>1941</v>
      </c>
      <c r="B1942">
        <v>50</v>
      </c>
      <c r="C1942" t="s">
        <v>19</v>
      </c>
      <c r="D1942" t="s">
        <v>124</v>
      </c>
      <c r="E1942" t="s">
        <v>69</v>
      </c>
      <c r="F1942" s="1">
        <v>89</v>
      </c>
      <c r="G1942" t="s">
        <v>120</v>
      </c>
      <c r="H1942" t="s">
        <v>23</v>
      </c>
      <c r="I1942" t="s">
        <v>24</v>
      </c>
      <c r="J1942" t="s">
        <v>58</v>
      </c>
      <c r="K1942" s="2">
        <v>3.9</v>
      </c>
      <c r="L1942" t="s">
        <v>152</v>
      </c>
      <c r="M1942" t="s">
        <v>29</v>
      </c>
      <c r="N1942" t="s">
        <v>72</v>
      </c>
      <c r="O1942" t="s">
        <v>152</v>
      </c>
      <c r="P1942" t="s">
        <v>152</v>
      </c>
      <c r="Q1942" s="3">
        <v>48</v>
      </c>
      <c r="R1942" t="s">
        <v>46</v>
      </c>
      <c r="S1942" t="s">
        <v>30</v>
      </c>
    </row>
    <row r="1943" spans="1:19" x14ac:dyDescent="0.25">
      <c r="A1943">
        <v>1942</v>
      </c>
      <c r="B1943">
        <v>55</v>
      </c>
      <c r="C1943" t="s">
        <v>19</v>
      </c>
      <c r="D1943" t="s">
        <v>73</v>
      </c>
      <c r="E1943" t="s">
        <v>43</v>
      </c>
      <c r="F1943" s="1">
        <v>99</v>
      </c>
      <c r="G1943" t="s">
        <v>129</v>
      </c>
      <c r="H1943" t="s">
        <v>92</v>
      </c>
      <c r="I1943" t="s">
        <v>100</v>
      </c>
      <c r="J1943" t="s">
        <v>25</v>
      </c>
      <c r="K1943" s="2">
        <v>3.3</v>
      </c>
      <c r="L1943" t="s">
        <v>152</v>
      </c>
      <c r="M1943" t="s">
        <v>46</v>
      </c>
      <c r="N1943" t="s">
        <v>55</v>
      </c>
      <c r="O1943" t="s">
        <v>152</v>
      </c>
      <c r="P1943" t="s">
        <v>152</v>
      </c>
      <c r="Q1943" s="3">
        <v>46</v>
      </c>
      <c r="R1943" t="s">
        <v>27</v>
      </c>
      <c r="S1943" t="s">
        <v>60</v>
      </c>
    </row>
    <row r="1944" spans="1:19" x14ac:dyDescent="0.25">
      <c r="A1944">
        <v>1943</v>
      </c>
      <c r="B1944">
        <v>63</v>
      </c>
      <c r="C1944" t="s">
        <v>19</v>
      </c>
      <c r="D1944" t="s">
        <v>95</v>
      </c>
      <c r="E1944" t="s">
        <v>21</v>
      </c>
      <c r="F1944" s="1">
        <v>28</v>
      </c>
      <c r="G1944" t="s">
        <v>90</v>
      </c>
      <c r="H1944" t="s">
        <v>45</v>
      </c>
      <c r="I1944" t="s">
        <v>109</v>
      </c>
      <c r="J1944" t="s">
        <v>58</v>
      </c>
      <c r="K1944" s="2">
        <v>3.4</v>
      </c>
      <c r="L1944" t="s">
        <v>152</v>
      </c>
      <c r="M1944" t="s">
        <v>27</v>
      </c>
      <c r="N1944" t="s">
        <v>28</v>
      </c>
      <c r="O1944" t="s">
        <v>152</v>
      </c>
      <c r="P1944" t="s">
        <v>152</v>
      </c>
      <c r="Q1944" s="3">
        <v>22</v>
      </c>
      <c r="R1944" t="s">
        <v>46</v>
      </c>
      <c r="S1944" t="s">
        <v>88</v>
      </c>
    </row>
    <row r="1945" spans="1:19" x14ac:dyDescent="0.25">
      <c r="A1945">
        <v>1944</v>
      </c>
      <c r="B1945">
        <v>32</v>
      </c>
      <c r="C1945" t="s">
        <v>19</v>
      </c>
      <c r="D1945" t="s">
        <v>125</v>
      </c>
      <c r="E1945" t="s">
        <v>21</v>
      </c>
      <c r="F1945" s="1">
        <v>53</v>
      </c>
      <c r="G1945" t="s">
        <v>150</v>
      </c>
      <c r="H1945" t="s">
        <v>23</v>
      </c>
      <c r="I1945" t="s">
        <v>84</v>
      </c>
      <c r="J1945" t="s">
        <v>54</v>
      </c>
      <c r="K1945" s="2">
        <v>3.8</v>
      </c>
      <c r="L1945" t="s">
        <v>152</v>
      </c>
      <c r="M1945" t="s">
        <v>59</v>
      </c>
      <c r="N1945" t="s">
        <v>47</v>
      </c>
      <c r="O1945" t="s">
        <v>152</v>
      </c>
      <c r="P1945" t="s">
        <v>152</v>
      </c>
      <c r="Q1945" s="3">
        <v>45</v>
      </c>
      <c r="R1945" t="s">
        <v>35</v>
      </c>
      <c r="S1945" t="s">
        <v>50</v>
      </c>
    </row>
    <row r="1946" spans="1:19" x14ac:dyDescent="0.25">
      <c r="A1946">
        <v>1945</v>
      </c>
      <c r="B1946">
        <v>30</v>
      </c>
      <c r="C1946" t="s">
        <v>19</v>
      </c>
      <c r="D1946" t="s">
        <v>104</v>
      </c>
      <c r="E1946" t="s">
        <v>21</v>
      </c>
      <c r="F1946" s="1">
        <v>45</v>
      </c>
      <c r="G1946" t="s">
        <v>74</v>
      </c>
      <c r="H1946" t="s">
        <v>45</v>
      </c>
      <c r="I1946" t="s">
        <v>81</v>
      </c>
      <c r="J1946" t="s">
        <v>25</v>
      </c>
      <c r="K1946" s="2">
        <v>2.7</v>
      </c>
      <c r="L1946" t="s">
        <v>152</v>
      </c>
      <c r="M1946" t="s">
        <v>59</v>
      </c>
      <c r="N1946" t="s">
        <v>40</v>
      </c>
      <c r="O1946" t="s">
        <v>152</v>
      </c>
      <c r="P1946" t="s">
        <v>152</v>
      </c>
      <c r="Q1946" s="3">
        <v>49</v>
      </c>
      <c r="R1946" t="s">
        <v>35</v>
      </c>
      <c r="S1946" t="s">
        <v>97</v>
      </c>
    </row>
    <row r="1947" spans="1:19" x14ac:dyDescent="0.25">
      <c r="A1947">
        <v>1946</v>
      </c>
      <c r="B1947">
        <v>35</v>
      </c>
      <c r="C1947" t="s">
        <v>19</v>
      </c>
      <c r="D1947" t="s">
        <v>104</v>
      </c>
      <c r="E1947" t="s">
        <v>21</v>
      </c>
      <c r="F1947" s="1">
        <v>38</v>
      </c>
      <c r="G1947" t="s">
        <v>142</v>
      </c>
      <c r="H1947" t="s">
        <v>45</v>
      </c>
      <c r="I1947" t="s">
        <v>81</v>
      </c>
      <c r="J1947" t="s">
        <v>25</v>
      </c>
      <c r="K1947" s="2">
        <v>2.9</v>
      </c>
      <c r="L1947" t="s">
        <v>152</v>
      </c>
      <c r="M1947" t="s">
        <v>59</v>
      </c>
      <c r="N1947" t="s">
        <v>72</v>
      </c>
      <c r="O1947" t="s">
        <v>152</v>
      </c>
      <c r="P1947" t="s">
        <v>152</v>
      </c>
      <c r="Q1947" s="3">
        <v>9</v>
      </c>
      <c r="R1947" t="s">
        <v>27</v>
      </c>
      <c r="S1947" t="s">
        <v>97</v>
      </c>
    </row>
    <row r="1948" spans="1:19" x14ac:dyDescent="0.25">
      <c r="A1948">
        <v>1947</v>
      </c>
      <c r="B1948">
        <v>59</v>
      </c>
      <c r="C1948" t="s">
        <v>19</v>
      </c>
      <c r="D1948" t="s">
        <v>95</v>
      </c>
      <c r="E1948" t="s">
        <v>21</v>
      </c>
      <c r="F1948" s="1">
        <v>49</v>
      </c>
      <c r="G1948" t="s">
        <v>62</v>
      </c>
      <c r="H1948" t="s">
        <v>45</v>
      </c>
      <c r="I1948" t="s">
        <v>53</v>
      </c>
      <c r="J1948" t="s">
        <v>54</v>
      </c>
      <c r="K1948" s="2">
        <v>4.5</v>
      </c>
      <c r="L1948" t="s">
        <v>152</v>
      </c>
      <c r="M1948" t="s">
        <v>34</v>
      </c>
      <c r="N1948" t="s">
        <v>55</v>
      </c>
      <c r="O1948" t="s">
        <v>152</v>
      </c>
      <c r="P1948" t="s">
        <v>152</v>
      </c>
      <c r="Q1948" s="3">
        <v>41</v>
      </c>
      <c r="R1948" t="s">
        <v>27</v>
      </c>
      <c r="S1948" t="s">
        <v>60</v>
      </c>
    </row>
    <row r="1949" spans="1:19" x14ac:dyDescent="0.25">
      <c r="A1949">
        <v>1948</v>
      </c>
      <c r="B1949">
        <v>59</v>
      </c>
      <c r="C1949" t="s">
        <v>19</v>
      </c>
      <c r="D1949" t="s">
        <v>56</v>
      </c>
      <c r="E1949" t="s">
        <v>21</v>
      </c>
      <c r="F1949" s="1">
        <v>32</v>
      </c>
      <c r="G1949" t="s">
        <v>85</v>
      </c>
      <c r="H1949" t="s">
        <v>45</v>
      </c>
      <c r="I1949" t="s">
        <v>24</v>
      </c>
      <c r="J1949" t="s">
        <v>54</v>
      </c>
      <c r="K1949" s="2">
        <v>2.6</v>
      </c>
      <c r="L1949" t="s">
        <v>152</v>
      </c>
      <c r="M1949" t="s">
        <v>59</v>
      </c>
      <c r="N1949" t="s">
        <v>76</v>
      </c>
      <c r="O1949" t="s">
        <v>152</v>
      </c>
      <c r="P1949" t="s">
        <v>152</v>
      </c>
      <c r="Q1949" s="3">
        <v>2</v>
      </c>
      <c r="R1949" t="s">
        <v>46</v>
      </c>
      <c r="S1949" t="s">
        <v>88</v>
      </c>
    </row>
    <row r="1950" spans="1:19" x14ac:dyDescent="0.25">
      <c r="A1950">
        <v>1949</v>
      </c>
      <c r="B1950">
        <v>54</v>
      </c>
      <c r="C1950" t="s">
        <v>19</v>
      </c>
      <c r="D1950" t="s">
        <v>113</v>
      </c>
      <c r="E1950" t="s">
        <v>21</v>
      </c>
      <c r="F1950" s="1">
        <v>37</v>
      </c>
      <c r="G1950" t="s">
        <v>139</v>
      </c>
      <c r="H1950" t="s">
        <v>23</v>
      </c>
      <c r="I1950" t="s">
        <v>110</v>
      </c>
      <c r="J1950" t="s">
        <v>25</v>
      </c>
      <c r="K1950" s="2">
        <v>3.1</v>
      </c>
      <c r="L1950" t="s">
        <v>152</v>
      </c>
      <c r="M1950" t="s">
        <v>59</v>
      </c>
      <c r="N1950" t="s">
        <v>47</v>
      </c>
      <c r="O1950" t="s">
        <v>152</v>
      </c>
      <c r="P1950" t="s">
        <v>152</v>
      </c>
      <c r="Q1950" s="3">
        <v>39</v>
      </c>
      <c r="R1950" t="s">
        <v>46</v>
      </c>
      <c r="S1950" t="s">
        <v>77</v>
      </c>
    </row>
    <row r="1951" spans="1:19" x14ac:dyDescent="0.25">
      <c r="A1951">
        <v>1950</v>
      </c>
      <c r="B1951">
        <v>63</v>
      </c>
      <c r="C1951" t="s">
        <v>19</v>
      </c>
      <c r="D1951" t="s">
        <v>82</v>
      </c>
      <c r="E1951" t="s">
        <v>21</v>
      </c>
      <c r="F1951" s="1">
        <v>80</v>
      </c>
      <c r="G1951" t="s">
        <v>145</v>
      </c>
      <c r="H1951" t="s">
        <v>23</v>
      </c>
      <c r="I1951" t="s">
        <v>24</v>
      </c>
      <c r="J1951" t="s">
        <v>25</v>
      </c>
      <c r="K1951" s="2">
        <v>4.7</v>
      </c>
      <c r="L1951" t="s">
        <v>152</v>
      </c>
      <c r="M1951" t="s">
        <v>29</v>
      </c>
      <c r="N1951" t="s">
        <v>76</v>
      </c>
      <c r="O1951" t="s">
        <v>152</v>
      </c>
      <c r="P1951" t="s">
        <v>152</v>
      </c>
      <c r="Q1951" s="3">
        <v>12</v>
      </c>
      <c r="R1951" t="s">
        <v>46</v>
      </c>
      <c r="S1951" t="s">
        <v>60</v>
      </c>
    </row>
    <row r="1952" spans="1:19" x14ac:dyDescent="0.25">
      <c r="A1952">
        <v>1951</v>
      </c>
      <c r="B1952">
        <v>43</v>
      </c>
      <c r="C1952" t="s">
        <v>19</v>
      </c>
      <c r="D1952" t="s">
        <v>132</v>
      </c>
      <c r="E1952" t="s">
        <v>69</v>
      </c>
      <c r="F1952" s="1">
        <v>78</v>
      </c>
      <c r="G1952" t="s">
        <v>74</v>
      </c>
      <c r="H1952" t="s">
        <v>23</v>
      </c>
      <c r="I1952" t="s">
        <v>144</v>
      </c>
      <c r="J1952" t="s">
        <v>54</v>
      </c>
      <c r="K1952" s="2">
        <v>4.5999999999999996</v>
      </c>
      <c r="L1952" t="s">
        <v>152</v>
      </c>
      <c r="M1952" t="s">
        <v>35</v>
      </c>
      <c r="N1952" t="s">
        <v>40</v>
      </c>
      <c r="O1952" t="s">
        <v>152</v>
      </c>
      <c r="P1952" t="s">
        <v>152</v>
      </c>
      <c r="Q1952" s="3">
        <v>26</v>
      </c>
      <c r="R1952" t="s">
        <v>46</v>
      </c>
      <c r="S1952" t="s">
        <v>97</v>
      </c>
    </row>
    <row r="1953" spans="1:19" x14ac:dyDescent="0.25">
      <c r="A1953">
        <v>1952</v>
      </c>
      <c r="B1953">
        <v>33</v>
      </c>
      <c r="C1953" t="s">
        <v>19</v>
      </c>
      <c r="D1953" t="s">
        <v>143</v>
      </c>
      <c r="E1953" t="s">
        <v>69</v>
      </c>
      <c r="F1953" s="1">
        <v>53</v>
      </c>
      <c r="G1953" t="s">
        <v>139</v>
      </c>
      <c r="H1953" t="s">
        <v>23</v>
      </c>
      <c r="I1953" t="s">
        <v>81</v>
      </c>
      <c r="J1953" t="s">
        <v>54</v>
      </c>
      <c r="K1953" s="2">
        <v>2.7</v>
      </c>
      <c r="L1953" t="s">
        <v>152</v>
      </c>
      <c r="M1953" t="s">
        <v>34</v>
      </c>
      <c r="N1953" t="s">
        <v>47</v>
      </c>
      <c r="O1953" t="s">
        <v>152</v>
      </c>
      <c r="P1953" t="s">
        <v>152</v>
      </c>
      <c r="Q1953" s="3">
        <v>32</v>
      </c>
      <c r="R1953" t="s">
        <v>34</v>
      </c>
      <c r="S1953" t="s">
        <v>77</v>
      </c>
    </row>
    <row r="1954" spans="1:19" x14ac:dyDescent="0.25">
      <c r="A1954">
        <v>1953</v>
      </c>
      <c r="B1954">
        <v>57</v>
      </c>
      <c r="C1954" t="s">
        <v>19</v>
      </c>
      <c r="D1954" t="s">
        <v>73</v>
      </c>
      <c r="E1954" t="s">
        <v>43</v>
      </c>
      <c r="F1954" s="1">
        <v>82</v>
      </c>
      <c r="G1954" t="s">
        <v>128</v>
      </c>
      <c r="H1954" t="s">
        <v>23</v>
      </c>
      <c r="I1954" t="s">
        <v>134</v>
      </c>
      <c r="J1954" t="s">
        <v>54</v>
      </c>
      <c r="K1954" s="2">
        <v>4.5999999999999996</v>
      </c>
      <c r="L1954" t="s">
        <v>152</v>
      </c>
      <c r="M1954" t="s">
        <v>46</v>
      </c>
      <c r="N1954" t="s">
        <v>72</v>
      </c>
      <c r="O1954" t="s">
        <v>152</v>
      </c>
      <c r="P1954" t="s">
        <v>152</v>
      </c>
      <c r="Q1954" s="3">
        <v>50</v>
      </c>
      <c r="R1954" t="s">
        <v>35</v>
      </c>
      <c r="S1954" t="s">
        <v>77</v>
      </c>
    </row>
    <row r="1955" spans="1:19" x14ac:dyDescent="0.25">
      <c r="A1955">
        <v>1954</v>
      </c>
      <c r="B1955">
        <v>25</v>
      </c>
      <c r="C1955" t="s">
        <v>19</v>
      </c>
      <c r="D1955" t="s">
        <v>87</v>
      </c>
      <c r="E1955" t="s">
        <v>21</v>
      </c>
      <c r="F1955" s="1">
        <v>33</v>
      </c>
      <c r="G1955" t="s">
        <v>112</v>
      </c>
      <c r="H1955" t="s">
        <v>92</v>
      </c>
      <c r="I1955" t="s">
        <v>96</v>
      </c>
      <c r="J1955" t="s">
        <v>39</v>
      </c>
      <c r="K1955" s="2">
        <v>4.8</v>
      </c>
      <c r="L1955" t="s">
        <v>152</v>
      </c>
      <c r="M1955" t="s">
        <v>35</v>
      </c>
      <c r="N1955" t="s">
        <v>55</v>
      </c>
      <c r="O1955" t="s">
        <v>152</v>
      </c>
      <c r="P1955" t="s">
        <v>152</v>
      </c>
      <c r="Q1955" s="3">
        <v>3</v>
      </c>
      <c r="R1955" t="s">
        <v>46</v>
      </c>
      <c r="S1955" t="s">
        <v>30</v>
      </c>
    </row>
    <row r="1956" spans="1:19" x14ac:dyDescent="0.25">
      <c r="A1956">
        <v>1955</v>
      </c>
      <c r="B1956">
        <v>26</v>
      </c>
      <c r="C1956" t="s">
        <v>19</v>
      </c>
      <c r="D1956" t="s">
        <v>143</v>
      </c>
      <c r="E1956" t="s">
        <v>69</v>
      </c>
      <c r="F1956" s="1">
        <v>77</v>
      </c>
      <c r="G1956" t="s">
        <v>112</v>
      </c>
      <c r="H1956" t="s">
        <v>45</v>
      </c>
      <c r="I1956" t="s">
        <v>71</v>
      </c>
      <c r="J1956" t="s">
        <v>25</v>
      </c>
      <c r="K1956" s="2">
        <v>4.2</v>
      </c>
      <c r="L1956" t="s">
        <v>152</v>
      </c>
      <c r="M1956" t="s">
        <v>34</v>
      </c>
      <c r="N1956" t="s">
        <v>40</v>
      </c>
      <c r="O1956" t="s">
        <v>152</v>
      </c>
      <c r="P1956" t="s">
        <v>152</v>
      </c>
      <c r="Q1956" s="3">
        <v>3</v>
      </c>
      <c r="R1956" t="s">
        <v>29</v>
      </c>
      <c r="S1956" t="s">
        <v>60</v>
      </c>
    </row>
    <row r="1957" spans="1:19" x14ac:dyDescent="0.25">
      <c r="A1957">
        <v>1956</v>
      </c>
      <c r="B1957">
        <v>50</v>
      </c>
      <c r="C1957" t="s">
        <v>19</v>
      </c>
      <c r="D1957" t="s">
        <v>104</v>
      </c>
      <c r="E1957" t="s">
        <v>21</v>
      </c>
      <c r="F1957" s="1">
        <v>56</v>
      </c>
      <c r="G1957" t="s">
        <v>32</v>
      </c>
      <c r="H1957" t="s">
        <v>45</v>
      </c>
      <c r="I1957" t="s">
        <v>71</v>
      </c>
      <c r="J1957" t="s">
        <v>25</v>
      </c>
      <c r="K1957" s="2">
        <v>4.9000000000000004</v>
      </c>
      <c r="L1957" t="s">
        <v>152</v>
      </c>
      <c r="M1957" t="s">
        <v>27</v>
      </c>
      <c r="N1957" t="s">
        <v>28</v>
      </c>
      <c r="O1957" t="s">
        <v>152</v>
      </c>
      <c r="P1957" t="s">
        <v>152</v>
      </c>
      <c r="Q1957" s="3">
        <v>37</v>
      </c>
      <c r="R1957" t="s">
        <v>35</v>
      </c>
      <c r="S1957" t="s">
        <v>88</v>
      </c>
    </row>
    <row r="1958" spans="1:19" x14ac:dyDescent="0.25">
      <c r="A1958">
        <v>1957</v>
      </c>
      <c r="B1958">
        <v>70</v>
      </c>
      <c r="C1958" t="s">
        <v>19</v>
      </c>
      <c r="D1958" t="s">
        <v>125</v>
      </c>
      <c r="E1958" t="s">
        <v>21</v>
      </c>
      <c r="F1958" s="1">
        <v>37</v>
      </c>
      <c r="G1958" t="s">
        <v>101</v>
      </c>
      <c r="H1958" t="s">
        <v>45</v>
      </c>
      <c r="I1958" t="s">
        <v>71</v>
      </c>
      <c r="J1958" t="s">
        <v>25</v>
      </c>
      <c r="K1958" s="2">
        <v>4.9000000000000004</v>
      </c>
      <c r="L1958" t="s">
        <v>152</v>
      </c>
      <c r="M1958" t="s">
        <v>35</v>
      </c>
      <c r="N1958" t="s">
        <v>28</v>
      </c>
      <c r="O1958" t="s">
        <v>152</v>
      </c>
      <c r="P1958" t="s">
        <v>152</v>
      </c>
      <c r="Q1958" s="3">
        <v>20</v>
      </c>
      <c r="R1958" t="s">
        <v>27</v>
      </c>
      <c r="S1958" t="s">
        <v>30</v>
      </c>
    </row>
    <row r="1959" spans="1:19" x14ac:dyDescent="0.25">
      <c r="A1959">
        <v>1958</v>
      </c>
      <c r="B1959">
        <v>68</v>
      </c>
      <c r="C1959" t="s">
        <v>19</v>
      </c>
      <c r="D1959" t="s">
        <v>143</v>
      </c>
      <c r="E1959" t="s">
        <v>69</v>
      </c>
      <c r="F1959" s="1">
        <v>54</v>
      </c>
      <c r="G1959" t="s">
        <v>131</v>
      </c>
      <c r="H1959" t="s">
        <v>45</v>
      </c>
      <c r="I1959" t="s">
        <v>109</v>
      </c>
      <c r="J1959" t="s">
        <v>39</v>
      </c>
      <c r="K1959" s="2">
        <v>4.5</v>
      </c>
      <c r="L1959" t="s">
        <v>152</v>
      </c>
      <c r="M1959" t="s">
        <v>29</v>
      </c>
      <c r="N1959" t="s">
        <v>76</v>
      </c>
      <c r="O1959" t="s">
        <v>152</v>
      </c>
      <c r="P1959" t="s">
        <v>152</v>
      </c>
      <c r="Q1959" s="3">
        <v>26</v>
      </c>
      <c r="R1959" t="s">
        <v>35</v>
      </c>
      <c r="S1959" t="s">
        <v>77</v>
      </c>
    </row>
    <row r="1960" spans="1:19" x14ac:dyDescent="0.25">
      <c r="A1960">
        <v>1959</v>
      </c>
      <c r="B1960">
        <v>39</v>
      </c>
      <c r="C1960" t="s">
        <v>19</v>
      </c>
      <c r="D1960" t="s">
        <v>61</v>
      </c>
      <c r="E1960" t="s">
        <v>21</v>
      </c>
      <c r="F1960" s="1">
        <v>67</v>
      </c>
      <c r="G1960" t="s">
        <v>107</v>
      </c>
      <c r="H1960" t="s">
        <v>45</v>
      </c>
      <c r="I1960" t="s">
        <v>24</v>
      </c>
      <c r="J1960" t="s">
        <v>25</v>
      </c>
      <c r="K1960" s="2">
        <v>2.7</v>
      </c>
      <c r="L1960" t="s">
        <v>152</v>
      </c>
      <c r="M1960" t="s">
        <v>35</v>
      </c>
      <c r="N1960" t="s">
        <v>76</v>
      </c>
      <c r="O1960" t="s">
        <v>152</v>
      </c>
      <c r="P1960" t="s">
        <v>152</v>
      </c>
      <c r="Q1960" s="3">
        <v>47</v>
      </c>
      <c r="R1960" t="s">
        <v>35</v>
      </c>
      <c r="S1960" t="s">
        <v>60</v>
      </c>
    </row>
    <row r="1961" spans="1:19" x14ac:dyDescent="0.25">
      <c r="A1961">
        <v>1960</v>
      </c>
      <c r="B1961">
        <v>46</v>
      </c>
      <c r="C1961" t="s">
        <v>19</v>
      </c>
      <c r="D1961" t="s">
        <v>73</v>
      </c>
      <c r="E1961" t="s">
        <v>43</v>
      </c>
      <c r="F1961" s="1">
        <v>90</v>
      </c>
      <c r="G1961" t="s">
        <v>112</v>
      </c>
      <c r="H1961" t="s">
        <v>45</v>
      </c>
      <c r="I1961" t="s">
        <v>53</v>
      </c>
      <c r="J1961" t="s">
        <v>58</v>
      </c>
      <c r="K1961" s="2">
        <v>3.1</v>
      </c>
      <c r="L1961" t="s">
        <v>152</v>
      </c>
      <c r="M1961" t="s">
        <v>27</v>
      </c>
      <c r="N1961" t="s">
        <v>76</v>
      </c>
      <c r="O1961" t="s">
        <v>152</v>
      </c>
      <c r="P1961" t="s">
        <v>152</v>
      </c>
      <c r="Q1961" s="3">
        <v>7</v>
      </c>
      <c r="R1961" t="s">
        <v>27</v>
      </c>
      <c r="S1961" t="s">
        <v>97</v>
      </c>
    </row>
    <row r="1962" spans="1:19" x14ac:dyDescent="0.25">
      <c r="A1962">
        <v>1961</v>
      </c>
      <c r="B1962">
        <v>57</v>
      </c>
      <c r="C1962" t="s">
        <v>19</v>
      </c>
      <c r="D1962" t="s">
        <v>36</v>
      </c>
      <c r="E1962" t="s">
        <v>21</v>
      </c>
      <c r="F1962" s="1">
        <v>72</v>
      </c>
      <c r="G1962" t="s">
        <v>37</v>
      </c>
      <c r="H1962" t="s">
        <v>23</v>
      </c>
      <c r="I1962" t="s">
        <v>108</v>
      </c>
      <c r="J1962" t="s">
        <v>54</v>
      </c>
      <c r="K1962" s="2">
        <v>3.3</v>
      </c>
      <c r="L1962" t="s">
        <v>152</v>
      </c>
      <c r="M1962" t="s">
        <v>34</v>
      </c>
      <c r="N1962" t="s">
        <v>72</v>
      </c>
      <c r="O1962" t="s">
        <v>152</v>
      </c>
      <c r="P1962" t="s">
        <v>152</v>
      </c>
      <c r="Q1962" s="3">
        <v>40</v>
      </c>
      <c r="R1962" t="s">
        <v>27</v>
      </c>
      <c r="S1962" t="s">
        <v>50</v>
      </c>
    </row>
    <row r="1963" spans="1:19" x14ac:dyDescent="0.25">
      <c r="A1963">
        <v>1962</v>
      </c>
      <c r="B1963">
        <v>47</v>
      </c>
      <c r="C1963" t="s">
        <v>19</v>
      </c>
      <c r="D1963" t="s">
        <v>137</v>
      </c>
      <c r="E1963" t="s">
        <v>43</v>
      </c>
      <c r="F1963" s="1">
        <v>59</v>
      </c>
      <c r="G1963" t="s">
        <v>107</v>
      </c>
      <c r="H1963" t="s">
        <v>23</v>
      </c>
      <c r="I1963" t="s">
        <v>94</v>
      </c>
      <c r="J1963" t="s">
        <v>54</v>
      </c>
      <c r="K1963" s="2">
        <v>2.6</v>
      </c>
      <c r="L1963" t="s">
        <v>152</v>
      </c>
      <c r="M1963" t="s">
        <v>35</v>
      </c>
      <c r="N1963" t="s">
        <v>40</v>
      </c>
      <c r="O1963" t="s">
        <v>152</v>
      </c>
      <c r="P1963" t="s">
        <v>152</v>
      </c>
      <c r="Q1963" s="3">
        <v>45</v>
      </c>
      <c r="R1963" t="s">
        <v>59</v>
      </c>
      <c r="S1963" t="s">
        <v>60</v>
      </c>
    </row>
    <row r="1964" spans="1:19" x14ac:dyDescent="0.25">
      <c r="A1964">
        <v>1963</v>
      </c>
      <c r="B1964">
        <v>40</v>
      </c>
      <c r="C1964" t="s">
        <v>19</v>
      </c>
      <c r="D1964" t="s">
        <v>124</v>
      </c>
      <c r="E1964" t="s">
        <v>69</v>
      </c>
      <c r="F1964" s="1">
        <v>45</v>
      </c>
      <c r="G1964" t="s">
        <v>146</v>
      </c>
      <c r="H1964" t="s">
        <v>45</v>
      </c>
      <c r="I1964" t="s">
        <v>67</v>
      </c>
      <c r="J1964" t="s">
        <v>58</v>
      </c>
      <c r="K1964" s="2">
        <v>4.4000000000000004</v>
      </c>
      <c r="L1964" t="s">
        <v>152</v>
      </c>
      <c r="M1964" t="s">
        <v>59</v>
      </c>
      <c r="N1964" t="s">
        <v>55</v>
      </c>
      <c r="O1964" t="s">
        <v>152</v>
      </c>
      <c r="P1964" t="s">
        <v>152</v>
      </c>
      <c r="Q1964" s="3">
        <v>20</v>
      </c>
      <c r="R1964" t="s">
        <v>46</v>
      </c>
      <c r="S1964" t="s">
        <v>30</v>
      </c>
    </row>
    <row r="1965" spans="1:19" x14ac:dyDescent="0.25">
      <c r="A1965">
        <v>1964</v>
      </c>
      <c r="B1965">
        <v>52</v>
      </c>
      <c r="C1965" t="s">
        <v>19</v>
      </c>
      <c r="D1965" t="s">
        <v>61</v>
      </c>
      <c r="E1965" t="s">
        <v>21</v>
      </c>
      <c r="F1965" s="1">
        <v>30</v>
      </c>
      <c r="G1965" t="s">
        <v>151</v>
      </c>
      <c r="H1965" t="s">
        <v>23</v>
      </c>
      <c r="I1965" t="s">
        <v>71</v>
      </c>
      <c r="J1965" t="s">
        <v>39</v>
      </c>
      <c r="K1965" s="2">
        <v>3.9</v>
      </c>
      <c r="L1965" t="s">
        <v>152</v>
      </c>
      <c r="M1965" t="s">
        <v>34</v>
      </c>
      <c r="N1965" t="s">
        <v>55</v>
      </c>
      <c r="O1965" t="s">
        <v>152</v>
      </c>
      <c r="P1965" t="s">
        <v>152</v>
      </c>
      <c r="Q1965" s="3">
        <v>11</v>
      </c>
      <c r="R1965" t="s">
        <v>27</v>
      </c>
      <c r="S1965" t="s">
        <v>41</v>
      </c>
    </row>
    <row r="1966" spans="1:19" x14ac:dyDescent="0.25">
      <c r="A1966">
        <v>1965</v>
      </c>
      <c r="B1966">
        <v>40</v>
      </c>
      <c r="C1966" t="s">
        <v>19</v>
      </c>
      <c r="D1966" t="s">
        <v>95</v>
      </c>
      <c r="E1966" t="s">
        <v>21</v>
      </c>
      <c r="F1966" s="1">
        <v>51</v>
      </c>
      <c r="G1966" t="s">
        <v>66</v>
      </c>
      <c r="H1966" t="s">
        <v>38</v>
      </c>
      <c r="I1966" t="s">
        <v>109</v>
      </c>
      <c r="J1966" t="s">
        <v>54</v>
      </c>
      <c r="K1966" s="2">
        <v>4.5999999999999996</v>
      </c>
      <c r="L1966" t="s">
        <v>152</v>
      </c>
      <c r="M1966" t="s">
        <v>46</v>
      </c>
      <c r="N1966" t="s">
        <v>28</v>
      </c>
      <c r="O1966" t="s">
        <v>152</v>
      </c>
      <c r="P1966" t="s">
        <v>152</v>
      </c>
      <c r="Q1966" s="3">
        <v>50</v>
      </c>
      <c r="R1966" t="s">
        <v>59</v>
      </c>
      <c r="S1966" t="s">
        <v>88</v>
      </c>
    </row>
    <row r="1967" spans="1:19" x14ac:dyDescent="0.25">
      <c r="A1967">
        <v>1966</v>
      </c>
      <c r="B1967">
        <v>67</v>
      </c>
      <c r="C1967" t="s">
        <v>19</v>
      </c>
      <c r="D1967" t="s">
        <v>31</v>
      </c>
      <c r="E1967" t="s">
        <v>21</v>
      </c>
      <c r="F1967" s="1">
        <v>90</v>
      </c>
      <c r="G1967" t="s">
        <v>116</v>
      </c>
      <c r="H1967" t="s">
        <v>45</v>
      </c>
      <c r="I1967" t="s">
        <v>53</v>
      </c>
      <c r="J1967" t="s">
        <v>58</v>
      </c>
      <c r="K1967" s="2">
        <v>4.9000000000000004</v>
      </c>
      <c r="L1967" t="s">
        <v>152</v>
      </c>
      <c r="M1967" t="s">
        <v>29</v>
      </c>
      <c r="N1967" t="s">
        <v>28</v>
      </c>
      <c r="O1967" t="s">
        <v>152</v>
      </c>
      <c r="P1967" t="s">
        <v>152</v>
      </c>
      <c r="Q1967" s="3">
        <v>25</v>
      </c>
      <c r="R1967" t="s">
        <v>59</v>
      </c>
      <c r="S1967" t="s">
        <v>60</v>
      </c>
    </row>
    <row r="1968" spans="1:19" x14ac:dyDescent="0.25">
      <c r="A1968">
        <v>1967</v>
      </c>
      <c r="B1968">
        <v>67</v>
      </c>
      <c r="C1968" t="s">
        <v>19</v>
      </c>
      <c r="D1968" t="s">
        <v>102</v>
      </c>
      <c r="E1968" t="s">
        <v>65</v>
      </c>
      <c r="F1968" s="1">
        <v>95</v>
      </c>
      <c r="G1968" t="s">
        <v>116</v>
      </c>
      <c r="H1968" t="s">
        <v>92</v>
      </c>
      <c r="I1968" t="s">
        <v>75</v>
      </c>
      <c r="J1968" t="s">
        <v>25</v>
      </c>
      <c r="K1968" s="2">
        <v>3.7</v>
      </c>
      <c r="L1968" t="s">
        <v>152</v>
      </c>
      <c r="M1968" t="s">
        <v>29</v>
      </c>
      <c r="N1968" t="s">
        <v>28</v>
      </c>
      <c r="O1968" t="s">
        <v>152</v>
      </c>
      <c r="P1968" t="s">
        <v>152</v>
      </c>
      <c r="Q1968" s="3">
        <v>5</v>
      </c>
      <c r="R1968" t="s">
        <v>27</v>
      </c>
      <c r="S1968" t="s">
        <v>30</v>
      </c>
    </row>
    <row r="1969" spans="1:19" x14ac:dyDescent="0.25">
      <c r="A1969">
        <v>1968</v>
      </c>
      <c r="B1969">
        <v>37</v>
      </c>
      <c r="C1969" t="s">
        <v>19</v>
      </c>
      <c r="D1969" t="s">
        <v>82</v>
      </c>
      <c r="E1969" t="s">
        <v>21</v>
      </c>
      <c r="F1969" s="1">
        <v>81</v>
      </c>
      <c r="G1969" t="s">
        <v>142</v>
      </c>
      <c r="H1969" t="s">
        <v>23</v>
      </c>
      <c r="I1969" t="s">
        <v>134</v>
      </c>
      <c r="J1969" t="s">
        <v>58</v>
      </c>
      <c r="K1969" s="2">
        <v>3.7</v>
      </c>
      <c r="L1969" t="s">
        <v>152</v>
      </c>
      <c r="M1969" t="s">
        <v>29</v>
      </c>
      <c r="N1969" t="s">
        <v>55</v>
      </c>
      <c r="O1969" t="s">
        <v>152</v>
      </c>
      <c r="P1969" t="s">
        <v>152</v>
      </c>
      <c r="Q1969" s="3">
        <v>4</v>
      </c>
      <c r="R1969" t="s">
        <v>29</v>
      </c>
      <c r="S1969" t="s">
        <v>50</v>
      </c>
    </row>
    <row r="1970" spans="1:19" x14ac:dyDescent="0.25">
      <c r="A1970">
        <v>1969</v>
      </c>
      <c r="B1970">
        <v>67</v>
      </c>
      <c r="C1970" t="s">
        <v>19</v>
      </c>
      <c r="D1970" t="s">
        <v>56</v>
      </c>
      <c r="E1970" t="s">
        <v>21</v>
      </c>
      <c r="F1970" s="1">
        <v>70</v>
      </c>
      <c r="G1970" t="s">
        <v>148</v>
      </c>
      <c r="H1970" t="s">
        <v>38</v>
      </c>
      <c r="I1970" t="s">
        <v>144</v>
      </c>
      <c r="J1970" t="s">
        <v>39</v>
      </c>
      <c r="K1970" s="2">
        <v>4.2</v>
      </c>
      <c r="L1970" t="s">
        <v>152</v>
      </c>
      <c r="M1970" t="s">
        <v>27</v>
      </c>
      <c r="N1970" t="s">
        <v>55</v>
      </c>
      <c r="O1970" t="s">
        <v>152</v>
      </c>
      <c r="P1970" t="s">
        <v>152</v>
      </c>
      <c r="Q1970" s="3">
        <v>25</v>
      </c>
      <c r="R1970" t="s">
        <v>27</v>
      </c>
      <c r="S1970" t="s">
        <v>41</v>
      </c>
    </row>
    <row r="1971" spans="1:19" x14ac:dyDescent="0.25">
      <c r="A1971">
        <v>1970</v>
      </c>
      <c r="B1971">
        <v>64</v>
      </c>
      <c r="C1971" t="s">
        <v>19</v>
      </c>
      <c r="D1971" t="s">
        <v>82</v>
      </c>
      <c r="E1971" t="s">
        <v>21</v>
      </c>
      <c r="F1971" s="1">
        <v>32</v>
      </c>
      <c r="G1971" t="s">
        <v>62</v>
      </c>
      <c r="H1971" t="s">
        <v>38</v>
      </c>
      <c r="I1971" t="s">
        <v>109</v>
      </c>
      <c r="J1971" t="s">
        <v>25</v>
      </c>
      <c r="K1971" s="2">
        <v>3.5</v>
      </c>
      <c r="L1971" t="s">
        <v>152</v>
      </c>
      <c r="M1971" t="s">
        <v>46</v>
      </c>
      <c r="N1971" t="s">
        <v>47</v>
      </c>
      <c r="O1971" t="s">
        <v>152</v>
      </c>
      <c r="P1971" t="s">
        <v>152</v>
      </c>
      <c r="Q1971" s="3">
        <v>11</v>
      </c>
      <c r="R1971" t="s">
        <v>34</v>
      </c>
      <c r="S1971" t="s">
        <v>30</v>
      </c>
    </row>
    <row r="1972" spans="1:19" x14ac:dyDescent="0.25">
      <c r="A1972">
        <v>1971</v>
      </c>
      <c r="B1972">
        <v>28</v>
      </c>
      <c r="C1972" t="s">
        <v>19</v>
      </c>
      <c r="D1972" t="s">
        <v>133</v>
      </c>
      <c r="E1972" t="s">
        <v>69</v>
      </c>
      <c r="F1972" s="1">
        <v>94</v>
      </c>
      <c r="G1972" t="s">
        <v>128</v>
      </c>
      <c r="H1972" t="s">
        <v>45</v>
      </c>
      <c r="I1972" t="s">
        <v>126</v>
      </c>
      <c r="J1972" t="s">
        <v>39</v>
      </c>
      <c r="K1972" s="2">
        <v>2.9</v>
      </c>
      <c r="L1972" t="s">
        <v>152</v>
      </c>
      <c r="M1972" t="s">
        <v>59</v>
      </c>
      <c r="N1972" t="s">
        <v>47</v>
      </c>
      <c r="O1972" t="s">
        <v>152</v>
      </c>
      <c r="P1972" t="s">
        <v>152</v>
      </c>
      <c r="Q1972" s="3">
        <v>4</v>
      </c>
      <c r="R1972" t="s">
        <v>27</v>
      </c>
      <c r="S1972" t="s">
        <v>77</v>
      </c>
    </row>
    <row r="1973" spans="1:19" x14ac:dyDescent="0.25">
      <c r="A1973">
        <v>1972</v>
      </c>
      <c r="B1973">
        <v>54</v>
      </c>
      <c r="C1973" t="s">
        <v>19</v>
      </c>
      <c r="D1973" t="s">
        <v>124</v>
      </c>
      <c r="E1973" t="s">
        <v>69</v>
      </c>
      <c r="F1973" s="1">
        <v>29</v>
      </c>
      <c r="G1973" t="s">
        <v>138</v>
      </c>
      <c r="H1973" t="s">
        <v>92</v>
      </c>
      <c r="I1973" t="s">
        <v>126</v>
      </c>
      <c r="J1973" t="s">
        <v>39</v>
      </c>
      <c r="K1973" s="2">
        <v>3.4</v>
      </c>
      <c r="L1973" t="s">
        <v>152</v>
      </c>
      <c r="M1973" t="s">
        <v>46</v>
      </c>
      <c r="N1973" t="s">
        <v>47</v>
      </c>
      <c r="O1973" t="s">
        <v>152</v>
      </c>
      <c r="P1973" t="s">
        <v>152</v>
      </c>
      <c r="Q1973" s="3">
        <v>1</v>
      </c>
      <c r="R1973" t="s">
        <v>29</v>
      </c>
      <c r="S1973" t="s">
        <v>88</v>
      </c>
    </row>
    <row r="1974" spans="1:19" x14ac:dyDescent="0.25">
      <c r="A1974">
        <v>1973</v>
      </c>
      <c r="B1974">
        <v>54</v>
      </c>
      <c r="C1974" t="s">
        <v>19</v>
      </c>
      <c r="D1974" t="s">
        <v>132</v>
      </c>
      <c r="E1974" t="s">
        <v>69</v>
      </c>
      <c r="F1974" s="1">
        <v>31</v>
      </c>
      <c r="G1974" t="s">
        <v>62</v>
      </c>
      <c r="H1974" t="s">
        <v>45</v>
      </c>
      <c r="I1974" t="s">
        <v>67</v>
      </c>
      <c r="J1974" t="s">
        <v>54</v>
      </c>
      <c r="K1974" s="2">
        <v>3.3</v>
      </c>
      <c r="L1974" t="s">
        <v>152</v>
      </c>
      <c r="M1974" t="s">
        <v>59</v>
      </c>
      <c r="N1974" t="s">
        <v>28</v>
      </c>
      <c r="O1974" t="s">
        <v>152</v>
      </c>
      <c r="P1974" t="s">
        <v>152</v>
      </c>
      <c r="Q1974" s="3">
        <v>48</v>
      </c>
      <c r="R1974" t="s">
        <v>46</v>
      </c>
      <c r="S1974" t="s">
        <v>97</v>
      </c>
    </row>
    <row r="1975" spans="1:19" x14ac:dyDescent="0.25">
      <c r="A1975">
        <v>1974</v>
      </c>
      <c r="B1975">
        <v>24</v>
      </c>
      <c r="C1975" t="s">
        <v>19</v>
      </c>
      <c r="D1975" t="s">
        <v>87</v>
      </c>
      <c r="E1975" t="s">
        <v>21</v>
      </c>
      <c r="F1975" s="1">
        <v>20</v>
      </c>
      <c r="G1975" t="s">
        <v>128</v>
      </c>
      <c r="H1975" t="s">
        <v>92</v>
      </c>
      <c r="I1975" t="s">
        <v>108</v>
      </c>
      <c r="J1975" t="s">
        <v>58</v>
      </c>
      <c r="K1975" s="2">
        <v>4.5</v>
      </c>
      <c r="L1975" t="s">
        <v>152</v>
      </c>
      <c r="M1975" t="s">
        <v>59</v>
      </c>
      <c r="N1975" t="s">
        <v>55</v>
      </c>
      <c r="O1975" t="s">
        <v>152</v>
      </c>
      <c r="P1975" t="s">
        <v>152</v>
      </c>
      <c r="Q1975" s="3">
        <v>9</v>
      </c>
      <c r="R1975" t="s">
        <v>29</v>
      </c>
      <c r="S1975" t="s">
        <v>97</v>
      </c>
    </row>
    <row r="1976" spans="1:19" x14ac:dyDescent="0.25">
      <c r="A1976">
        <v>1975</v>
      </c>
      <c r="B1976">
        <v>27</v>
      </c>
      <c r="C1976" t="s">
        <v>19</v>
      </c>
      <c r="D1976" t="s">
        <v>143</v>
      </c>
      <c r="E1976" t="s">
        <v>69</v>
      </c>
      <c r="F1976" s="1">
        <v>44</v>
      </c>
      <c r="G1976" t="s">
        <v>122</v>
      </c>
      <c r="H1976" t="s">
        <v>45</v>
      </c>
      <c r="I1976" t="s">
        <v>100</v>
      </c>
      <c r="J1976" t="s">
        <v>25</v>
      </c>
      <c r="K1976" s="2">
        <v>4.5999999999999996</v>
      </c>
      <c r="L1976" t="s">
        <v>152</v>
      </c>
      <c r="M1976" t="s">
        <v>27</v>
      </c>
      <c r="N1976" t="s">
        <v>72</v>
      </c>
      <c r="O1976" t="s">
        <v>152</v>
      </c>
      <c r="P1976" t="s">
        <v>152</v>
      </c>
      <c r="Q1976" s="3">
        <v>2</v>
      </c>
      <c r="R1976" t="s">
        <v>46</v>
      </c>
      <c r="S1976" t="s">
        <v>30</v>
      </c>
    </row>
    <row r="1977" spans="1:19" x14ac:dyDescent="0.25">
      <c r="A1977">
        <v>1976</v>
      </c>
      <c r="B1977">
        <v>53</v>
      </c>
      <c r="C1977" t="s">
        <v>19</v>
      </c>
      <c r="D1977" t="s">
        <v>102</v>
      </c>
      <c r="E1977" t="s">
        <v>65</v>
      </c>
      <c r="F1977" s="1">
        <v>77</v>
      </c>
      <c r="G1977" t="s">
        <v>115</v>
      </c>
      <c r="H1977" t="s">
        <v>23</v>
      </c>
      <c r="I1977" t="s">
        <v>49</v>
      </c>
      <c r="J1977" t="s">
        <v>58</v>
      </c>
      <c r="K1977" s="2">
        <v>2.9</v>
      </c>
      <c r="L1977" t="s">
        <v>152</v>
      </c>
      <c r="M1977" t="s">
        <v>27</v>
      </c>
      <c r="N1977" t="s">
        <v>28</v>
      </c>
      <c r="O1977" t="s">
        <v>152</v>
      </c>
      <c r="P1977" t="s">
        <v>152</v>
      </c>
      <c r="Q1977" s="3">
        <v>4</v>
      </c>
      <c r="R1977" t="s">
        <v>35</v>
      </c>
      <c r="S1977" t="s">
        <v>60</v>
      </c>
    </row>
    <row r="1978" spans="1:19" x14ac:dyDescent="0.25">
      <c r="A1978">
        <v>1977</v>
      </c>
      <c r="B1978">
        <v>32</v>
      </c>
      <c r="C1978" t="s">
        <v>19</v>
      </c>
      <c r="D1978" t="s">
        <v>68</v>
      </c>
      <c r="E1978" t="s">
        <v>69</v>
      </c>
      <c r="F1978" s="1">
        <v>51</v>
      </c>
      <c r="G1978" t="s">
        <v>52</v>
      </c>
      <c r="H1978" t="s">
        <v>45</v>
      </c>
      <c r="I1978" t="s">
        <v>71</v>
      </c>
      <c r="J1978" t="s">
        <v>39</v>
      </c>
      <c r="K1978" s="2">
        <v>3.2</v>
      </c>
      <c r="L1978" t="s">
        <v>152</v>
      </c>
      <c r="M1978" t="s">
        <v>59</v>
      </c>
      <c r="N1978" t="s">
        <v>47</v>
      </c>
      <c r="O1978" t="s">
        <v>152</v>
      </c>
      <c r="P1978" t="s">
        <v>152</v>
      </c>
      <c r="Q1978" s="3">
        <v>43</v>
      </c>
      <c r="R1978" t="s">
        <v>46</v>
      </c>
      <c r="S1978" t="s">
        <v>30</v>
      </c>
    </row>
    <row r="1979" spans="1:19" x14ac:dyDescent="0.25">
      <c r="A1979">
        <v>1978</v>
      </c>
      <c r="B1979">
        <v>24</v>
      </c>
      <c r="C1979" t="s">
        <v>19</v>
      </c>
      <c r="D1979" t="s">
        <v>42</v>
      </c>
      <c r="E1979" t="s">
        <v>43</v>
      </c>
      <c r="F1979" s="1">
        <v>49</v>
      </c>
      <c r="G1979" t="s">
        <v>103</v>
      </c>
      <c r="H1979" t="s">
        <v>45</v>
      </c>
      <c r="I1979" t="s">
        <v>86</v>
      </c>
      <c r="J1979" t="s">
        <v>54</v>
      </c>
      <c r="K1979" s="2">
        <v>2.6</v>
      </c>
      <c r="L1979" t="s">
        <v>152</v>
      </c>
      <c r="M1979" t="s">
        <v>59</v>
      </c>
      <c r="N1979" t="s">
        <v>40</v>
      </c>
      <c r="O1979" t="s">
        <v>152</v>
      </c>
      <c r="P1979" t="s">
        <v>152</v>
      </c>
      <c r="Q1979" s="3">
        <v>32</v>
      </c>
      <c r="R1979" t="s">
        <v>34</v>
      </c>
      <c r="S1979" t="s">
        <v>50</v>
      </c>
    </row>
    <row r="1980" spans="1:19" x14ac:dyDescent="0.25">
      <c r="A1980">
        <v>1979</v>
      </c>
      <c r="B1980">
        <v>45</v>
      </c>
      <c r="C1980" t="s">
        <v>19</v>
      </c>
      <c r="D1980" t="s">
        <v>89</v>
      </c>
      <c r="E1980" t="s">
        <v>69</v>
      </c>
      <c r="F1980" s="1">
        <v>78</v>
      </c>
      <c r="G1980" t="s">
        <v>37</v>
      </c>
      <c r="H1980" t="s">
        <v>23</v>
      </c>
      <c r="I1980" t="s">
        <v>136</v>
      </c>
      <c r="J1980" t="s">
        <v>39</v>
      </c>
      <c r="K1980" s="2">
        <v>3.8</v>
      </c>
      <c r="L1980" t="s">
        <v>152</v>
      </c>
      <c r="M1980" t="s">
        <v>35</v>
      </c>
      <c r="N1980" t="s">
        <v>76</v>
      </c>
      <c r="O1980" t="s">
        <v>152</v>
      </c>
      <c r="P1980" t="s">
        <v>152</v>
      </c>
      <c r="Q1980" s="3">
        <v>1</v>
      </c>
      <c r="R1980" t="s">
        <v>35</v>
      </c>
      <c r="S1980" t="s">
        <v>60</v>
      </c>
    </row>
    <row r="1981" spans="1:19" x14ac:dyDescent="0.25">
      <c r="A1981">
        <v>1980</v>
      </c>
      <c r="B1981">
        <v>49</v>
      </c>
      <c r="C1981" t="s">
        <v>19</v>
      </c>
      <c r="D1981" t="s">
        <v>36</v>
      </c>
      <c r="E1981" t="s">
        <v>21</v>
      </c>
      <c r="F1981" s="1">
        <v>98</v>
      </c>
      <c r="G1981" t="s">
        <v>122</v>
      </c>
      <c r="H1981" t="s">
        <v>23</v>
      </c>
      <c r="I1981" t="s">
        <v>144</v>
      </c>
      <c r="J1981" t="s">
        <v>39</v>
      </c>
      <c r="K1981" s="2">
        <v>2.8</v>
      </c>
      <c r="L1981" t="s">
        <v>152</v>
      </c>
      <c r="M1981" t="s">
        <v>46</v>
      </c>
      <c r="N1981" t="s">
        <v>76</v>
      </c>
      <c r="O1981" t="s">
        <v>152</v>
      </c>
      <c r="P1981" t="s">
        <v>152</v>
      </c>
      <c r="Q1981" s="3">
        <v>38</v>
      </c>
      <c r="R1981" t="s">
        <v>59</v>
      </c>
      <c r="S1981" t="s">
        <v>30</v>
      </c>
    </row>
    <row r="1982" spans="1:19" x14ac:dyDescent="0.25">
      <c r="A1982">
        <v>1981</v>
      </c>
      <c r="B1982">
        <v>51</v>
      </c>
      <c r="C1982" t="s">
        <v>19</v>
      </c>
      <c r="D1982" t="s">
        <v>42</v>
      </c>
      <c r="E1982" t="s">
        <v>43</v>
      </c>
      <c r="F1982" s="1">
        <v>94</v>
      </c>
      <c r="G1982" t="s">
        <v>146</v>
      </c>
      <c r="H1982" t="s">
        <v>45</v>
      </c>
      <c r="I1982" t="s">
        <v>96</v>
      </c>
      <c r="J1982" t="s">
        <v>25</v>
      </c>
      <c r="K1982" s="2">
        <v>4.4000000000000004</v>
      </c>
      <c r="L1982" t="s">
        <v>152</v>
      </c>
      <c r="M1982" t="s">
        <v>29</v>
      </c>
      <c r="N1982" t="s">
        <v>76</v>
      </c>
      <c r="O1982" t="s">
        <v>152</v>
      </c>
      <c r="P1982" t="s">
        <v>152</v>
      </c>
      <c r="Q1982" s="3">
        <v>25</v>
      </c>
      <c r="R1982" t="s">
        <v>46</v>
      </c>
      <c r="S1982" t="s">
        <v>30</v>
      </c>
    </row>
    <row r="1983" spans="1:19" x14ac:dyDescent="0.25">
      <c r="A1983">
        <v>1982</v>
      </c>
      <c r="B1983">
        <v>69</v>
      </c>
      <c r="C1983" t="s">
        <v>19</v>
      </c>
      <c r="D1983" t="s">
        <v>73</v>
      </c>
      <c r="E1983" t="s">
        <v>43</v>
      </c>
      <c r="F1983" s="1">
        <v>91</v>
      </c>
      <c r="G1983" t="s">
        <v>151</v>
      </c>
      <c r="H1983" t="s">
        <v>23</v>
      </c>
      <c r="I1983" t="s">
        <v>84</v>
      </c>
      <c r="J1983" t="s">
        <v>54</v>
      </c>
      <c r="K1983" s="2">
        <v>4.7</v>
      </c>
      <c r="L1983" t="s">
        <v>152</v>
      </c>
      <c r="M1983" t="s">
        <v>35</v>
      </c>
      <c r="N1983" t="s">
        <v>28</v>
      </c>
      <c r="O1983" t="s">
        <v>152</v>
      </c>
      <c r="P1983" t="s">
        <v>152</v>
      </c>
      <c r="Q1983" s="3">
        <v>42</v>
      </c>
      <c r="R1983" t="s">
        <v>46</v>
      </c>
      <c r="S1983" t="s">
        <v>60</v>
      </c>
    </row>
    <row r="1984" spans="1:19" x14ac:dyDescent="0.25">
      <c r="A1984">
        <v>1983</v>
      </c>
      <c r="B1984">
        <v>41</v>
      </c>
      <c r="C1984" t="s">
        <v>19</v>
      </c>
      <c r="D1984" t="s">
        <v>89</v>
      </c>
      <c r="E1984" t="s">
        <v>69</v>
      </c>
      <c r="F1984" s="1">
        <v>77</v>
      </c>
      <c r="G1984" t="s">
        <v>111</v>
      </c>
      <c r="H1984" t="s">
        <v>45</v>
      </c>
      <c r="I1984" t="s">
        <v>49</v>
      </c>
      <c r="J1984" t="s">
        <v>54</v>
      </c>
      <c r="K1984" s="2">
        <v>2.7</v>
      </c>
      <c r="L1984" t="s">
        <v>152</v>
      </c>
      <c r="M1984" t="s">
        <v>46</v>
      </c>
      <c r="N1984" t="s">
        <v>72</v>
      </c>
      <c r="O1984" t="s">
        <v>152</v>
      </c>
      <c r="P1984" t="s">
        <v>152</v>
      </c>
      <c r="Q1984" s="3">
        <v>32</v>
      </c>
      <c r="R1984" t="s">
        <v>46</v>
      </c>
      <c r="S1984" t="s">
        <v>88</v>
      </c>
    </row>
    <row r="1985" spans="1:19" x14ac:dyDescent="0.25">
      <c r="A1985">
        <v>1984</v>
      </c>
      <c r="B1985">
        <v>59</v>
      </c>
      <c r="C1985" t="s">
        <v>19</v>
      </c>
      <c r="D1985" t="s">
        <v>119</v>
      </c>
      <c r="E1985" t="s">
        <v>69</v>
      </c>
      <c r="F1985" s="1">
        <v>97</v>
      </c>
      <c r="G1985" t="s">
        <v>142</v>
      </c>
      <c r="H1985" t="s">
        <v>45</v>
      </c>
      <c r="I1985" t="s">
        <v>71</v>
      </c>
      <c r="J1985" t="s">
        <v>54</v>
      </c>
      <c r="K1985" s="2">
        <v>2.6</v>
      </c>
      <c r="L1985" t="s">
        <v>152</v>
      </c>
      <c r="M1985" t="s">
        <v>27</v>
      </c>
      <c r="N1985" t="s">
        <v>47</v>
      </c>
      <c r="O1985" t="s">
        <v>152</v>
      </c>
      <c r="P1985" t="s">
        <v>152</v>
      </c>
      <c r="Q1985" s="3">
        <v>21</v>
      </c>
      <c r="R1985" t="s">
        <v>59</v>
      </c>
      <c r="S1985" t="s">
        <v>60</v>
      </c>
    </row>
    <row r="1986" spans="1:19" x14ac:dyDescent="0.25">
      <c r="A1986">
        <v>1985</v>
      </c>
      <c r="B1986">
        <v>26</v>
      </c>
      <c r="C1986" t="s">
        <v>19</v>
      </c>
      <c r="D1986" t="s">
        <v>87</v>
      </c>
      <c r="E1986" t="s">
        <v>21</v>
      </c>
      <c r="F1986" s="1">
        <v>58</v>
      </c>
      <c r="G1986" t="s">
        <v>66</v>
      </c>
      <c r="H1986" t="s">
        <v>45</v>
      </c>
      <c r="I1986" t="s">
        <v>94</v>
      </c>
      <c r="J1986" t="s">
        <v>54</v>
      </c>
      <c r="K1986" s="2">
        <v>3.4</v>
      </c>
      <c r="L1986" t="s">
        <v>152</v>
      </c>
      <c r="M1986" t="s">
        <v>34</v>
      </c>
      <c r="N1986" t="s">
        <v>72</v>
      </c>
      <c r="O1986" t="s">
        <v>152</v>
      </c>
      <c r="P1986" t="s">
        <v>152</v>
      </c>
      <c r="Q1986" s="3">
        <v>26</v>
      </c>
      <c r="R1986" t="s">
        <v>46</v>
      </c>
      <c r="S1986" t="s">
        <v>30</v>
      </c>
    </row>
    <row r="1987" spans="1:19" x14ac:dyDescent="0.25">
      <c r="A1987">
        <v>1986</v>
      </c>
      <c r="B1987">
        <v>23</v>
      </c>
      <c r="C1987" t="s">
        <v>19</v>
      </c>
      <c r="D1987" t="s">
        <v>143</v>
      </c>
      <c r="E1987" t="s">
        <v>69</v>
      </c>
      <c r="F1987" s="1">
        <v>97</v>
      </c>
      <c r="G1987" t="s">
        <v>122</v>
      </c>
      <c r="H1987" t="s">
        <v>45</v>
      </c>
      <c r="I1987" t="s">
        <v>81</v>
      </c>
      <c r="J1987" t="s">
        <v>39</v>
      </c>
      <c r="K1987" s="2">
        <v>3.9</v>
      </c>
      <c r="L1987" t="s">
        <v>152</v>
      </c>
      <c r="M1987" t="s">
        <v>35</v>
      </c>
      <c r="N1987" t="s">
        <v>72</v>
      </c>
      <c r="O1987" t="s">
        <v>152</v>
      </c>
      <c r="P1987" t="s">
        <v>152</v>
      </c>
      <c r="Q1987" s="3">
        <v>6</v>
      </c>
      <c r="R1987" t="s">
        <v>27</v>
      </c>
      <c r="S1987" t="s">
        <v>30</v>
      </c>
    </row>
    <row r="1988" spans="1:19" x14ac:dyDescent="0.25">
      <c r="A1988">
        <v>1987</v>
      </c>
      <c r="B1988">
        <v>62</v>
      </c>
      <c r="C1988" t="s">
        <v>19</v>
      </c>
      <c r="D1988" t="s">
        <v>64</v>
      </c>
      <c r="E1988" t="s">
        <v>65</v>
      </c>
      <c r="F1988" s="1">
        <v>48</v>
      </c>
      <c r="G1988" t="s">
        <v>74</v>
      </c>
      <c r="H1988" t="s">
        <v>23</v>
      </c>
      <c r="I1988" t="s">
        <v>96</v>
      </c>
      <c r="J1988" t="s">
        <v>54</v>
      </c>
      <c r="K1988" s="2">
        <v>3.4</v>
      </c>
      <c r="L1988" t="s">
        <v>152</v>
      </c>
      <c r="M1988" t="s">
        <v>59</v>
      </c>
      <c r="N1988" t="s">
        <v>72</v>
      </c>
      <c r="O1988" t="s">
        <v>152</v>
      </c>
      <c r="P1988" t="s">
        <v>152</v>
      </c>
      <c r="Q1988" s="3">
        <v>14</v>
      </c>
      <c r="R1988" t="s">
        <v>29</v>
      </c>
      <c r="S1988" t="s">
        <v>60</v>
      </c>
    </row>
    <row r="1989" spans="1:19" x14ac:dyDescent="0.25">
      <c r="A1989">
        <v>1988</v>
      </c>
      <c r="B1989">
        <v>69</v>
      </c>
      <c r="C1989" t="s">
        <v>19</v>
      </c>
      <c r="D1989" t="s">
        <v>133</v>
      </c>
      <c r="E1989" t="s">
        <v>69</v>
      </c>
      <c r="F1989" s="1">
        <v>23</v>
      </c>
      <c r="G1989" t="s">
        <v>129</v>
      </c>
      <c r="H1989" t="s">
        <v>92</v>
      </c>
      <c r="I1989" t="s">
        <v>53</v>
      </c>
      <c r="J1989" t="s">
        <v>54</v>
      </c>
      <c r="K1989" s="2">
        <v>3.4</v>
      </c>
      <c r="L1989" t="s">
        <v>152</v>
      </c>
      <c r="M1989" t="s">
        <v>59</v>
      </c>
      <c r="N1989" t="s">
        <v>28</v>
      </c>
      <c r="O1989" t="s">
        <v>152</v>
      </c>
      <c r="P1989" t="s">
        <v>152</v>
      </c>
      <c r="Q1989" s="3">
        <v>4</v>
      </c>
      <c r="R1989" t="s">
        <v>35</v>
      </c>
      <c r="S1989" t="s">
        <v>60</v>
      </c>
    </row>
    <row r="1990" spans="1:19" x14ac:dyDescent="0.25">
      <c r="A1990">
        <v>1989</v>
      </c>
      <c r="B1990">
        <v>46</v>
      </c>
      <c r="C1990" t="s">
        <v>19</v>
      </c>
      <c r="D1990" t="s">
        <v>95</v>
      </c>
      <c r="E1990" t="s">
        <v>21</v>
      </c>
      <c r="F1990" s="1">
        <v>79</v>
      </c>
      <c r="G1990" t="s">
        <v>141</v>
      </c>
      <c r="H1990" t="s">
        <v>45</v>
      </c>
      <c r="I1990" t="s">
        <v>81</v>
      </c>
      <c r="J1990" t="s">
        <v>25</v>
      </c>
      <c r="K1990" s="2">
        <v>3.9</v>
      </c>
      <c r="L1990" t="s">
        <v>152</v>
      </c>
      <c r="M1990" t="s">
        <v>27</v>
      </c>
      <c r="N1990" t="s">
        <v>40</v>
      </c>
      <c r="O1990" t="s">
        <v>152</v>
      </c>
      <c r="P1990" t="s">
        <v>152</v>
      </c>
      <c r="Q1990" s="3">
        <v>26</v>
      </c>
      <c r="R1990" t="s">
        <v>34</v>
      </c>
      <c r="S1990" t="s">
        <v>41</v>
      </c>
    </row>
    <row r="1991" spans="1:19" x14ac:dyDescent="0.25">
      <c r="A1991">
        <v>1990</v>
      </c>
      <c r="B1991">
        <v>35</v>
      </c>
      <c r="C1991" t="s">
        <v>19</v>
      </c>
      <c r="D1991" t="s">
        <v>106</v>
      </c>
      <c r="E1991" t="s">
        <v>69</v>
      </c>
      <c r="F1991" s="1">
        <v>42</v>
      </c>
      <c r="G1991" t="s">
        <v>128</v>
      </c>
      <c r="H1991" t="s">
        <v>38</v>
      </c>
      <c r="I1991" t="s">
        <v>63</v>
      </c>
      <c r="J1991" t="s">
        <v>39</v>
      </c>
      <c r="K1991" s="2">
        <v>4</v>
      </c>
      <c r="L1991" t="s">
        <v>152</v>
      </c>
      <c r="M1991" t="s">
        <v>35</v>
      </c>
      <c r="N1991" t="s">
        <v>28</v>
      </c>
      <c r="O1991" t="s">
        <v>152</v>
      </c>
      <c r="P1991" t="s">
        <v>152</v>
      </c>
      <c r="Q1991" s="3">
        <v>39</v>
      </c>
      <c r="R1991" t="s">
        <v>46</v>
      </c>
      <c r="S1991" t="s">
        <v>77</v>
      </c>
    </row>
    <row r="1992" spans="1:19" x14ac:dyDescent="0.25">
      <c r="A1992">
        <v>1991</v>
      </c>
      <c r="B1992">
        <v>32</v>
      </c>
      <c r="C1992" t="s">
        <v>19</v>
      </c>
      <c r="D1992" t="s">
        <v>132</v>
      </c>
      <c r="E1992" t="s">
        <v>69</v>
      </c>
      <c r="F1992" s="1">
        <v>95</v>
      </c>
      <c r="G1992" t="s">
        <v>139</v>
      </c>
      <c r="H1992" t="s">
        <v>23</v>
      </c>
      <c r="I1992" t="s">
        <v>53</v>
      </c>
      <c r="J1992" t="s">
        <v>39</v>
      </c>
      <c r="K1992" s="2">
        <v>3.4</v>
      </c>
      <c r="L1992" t="s">
        <v>152</v>
      </c>
      <c r="M1992" t="s">
        <v>59</v>
      </c>
      <c r="N1992" t="s">
        <v>72</v>
      </c>
      <c r="O1992" t="s">
        <v>152</v>
      </c>
      <c r="P1992" t="s">
        <v>152</v>
      </c>
      <c r="Q1992" s="3">
        <v>15</v>
      </c>
      <c r="R1992" t="s">
        <v>46</v>
      </c>
      <c r="S1992" t="s">
        <v>50</v>
      </c>
    </row>
    <row r="1993" spans="1:19" x14ac:dyDescent="0.25">
      <c r="A1993">
        <v>1992</v>
      </c>
      <c r="B1993">
        <v>46</v>
      </c>
      <c r="C1993" t="s">
        <v>19</v>
      </c>
      <c r="D1993" t="s">
        <v>51</v>
      </c>
      <c r="E1993" t="s">
        <v>43</v>
      </c>
      <c r="F1993" s="1">
        <v>29</v>
      </c>
      <c r="G1993" t="s">
        <v>70</v>
      </c>
      <c r="H1993" t="s">
        <v>45</v>
      </c>
      <c r="I1993" t="s">
        <v>110</v>
      </c>
      <c r="J1993" t="s">
        <v>54</v>
      </c>
      <c r="K1993" s="2">
        <v>3.7</v>
      </c>
      <c r="L1993" t="s">
        <v>152</v>
      </c>
      <c r="M1993" t="s">
        <v>29</v>
      </c>
      <c r="N1993" t="s">
        <v>47</v>
      </c>
      <c r="O1993" t="s">
        <v>152</v>
      </c>
      <c r="P1993" t="s">
        <v>152</v>
      </c>
      <c r="Q1993" s="3">
        <v>1</v>
      </c>
      <c r="R1993" t="s">
        <v>29</v>
      </c>
      <c r="S1993" t="s">
        <v>97</v>
      </c>
    </row>
    <row r="1994" spans="1:19" x14ac:dyDescent="0.25">
      <c r="A1994">
        <v>1993</v>
      </c>
      <c r="B1994">
        <v>33</v>
      </c>
      <c r="C1994" t="s">
        <v>19</v>
      </c>
      <c r="D1994" t="s">
        <v>104</v>
      </c>
      <c r="E1994" t="s">
        <v>21</v>
      </c>
      <c r="F1994" s="1">
        <v>98</v>
      </c>
      <c r="G1994" t="s">
        <v>127</v>
      </c>
      <c r="H1994" t="s">
        <v>23</v>
      </c>
      <c r="I1994" t="s">
        <v>81</v>
      </c>
      <c r="J1994" t="s">
        <v>25</v>
      </c>
      <c r="K1994" s="2">
        <v>4.9000000000000004</v>
      </c>
      <c r="L1994" t="s">
        <v>152</v>
      </c>
      <c r="M1994" t="s">
        <v>46</v>
      </c>
      <c r="N1994" t="s">
        <v>72</v>
      </c>
      <c r="O1994" t="s">
        <v>152</v>
      </c>
      <c r="P1994" t="s">
        <v>152</v>
      </c>
      <c r="Q1994" s="3">
        <v>28</v>
      </c>
      <c r="R1994" t="s">
        <v>29</v>
      </c>
      <c r="S1994" t="s">
        <v>88</v>
      </c>
    </row>
    <row r="1995" spans="1:19" x14ac:dyDescent="0.25">
      <c r="A1995">
        <v>1994</v>
      </c>
      <c r="B1995">
        <v>32</v>
      </c>
      <c r="C1995" t="s">
        <v>19</v>
      </c>
      <c r="D1995" t="s">
        <v>20</v>
      </c>
      <c r="E1995" t="s">
        <v>21</v>
      </c>
      <c r="F1995" s="1">
        <v>96</v>
      </c>
      <c r="G1995" t="s">
        <v>74</v>
      </c>
      <c r="H1995" t="s">
        <v>38</v>
      </c>
      <c r="I1995" t="s">
        <v>75</v>
      </c>
      <c r="J1995" t="s">
        <v>39</v>
      </c>
      <c r="K1995" s="2">
        <v>5</v>
      </c>
      <c r="L1995" t="s">
        <v>152</v>
      </c>
      <c r="M1995" t="s">
        <v>35</v>
      </c>
      <c r="N1995" t="s">
        <v>28</v>
      </c>
      <c r="O1995" t="s">
        <v>152</v>
      </c>
      <c r="P1995" t="s">
        <v>152</v>
      </c>
      <c r="Q1995" s="3">
        <v>17</v>
      </c>
      <c r="R1995" t="s">
        <v>35</v>
      </c>
      <c r="S1995" t="s">
        <v>41</v>
      </c>
    </row>
    <row r="1996" spans="1:19" x14ac:dyDescent="0.25">
      <c r="A1996">
        <v>1995</v>
      </c>
      <c r="B1996">
        <v>33</v>
      </c>
      <c r="C1996" t="s">
        <v>19</v>
      </c>
      <c r="D1996" t="s">
        <v>89</v>
      </c>
      <c r="E1996" t="s">
        <v>69</v>
      </c>
      <c r="F1996" s="1">
        <v>66</v>
      </c>
      <c r="G1996" t="s">
        <v>107</v>
      </c>
      <c r="H1996" t="s">
        <v>45</v>
      </c>
      <c r="I1996" t="s">
        <v>110</v>
      </c>
      <c r="J1996" t="s">
        <v>58</v>
      </c>
      <c r="K1996" s="2">
        <v>2.9</v>
      </c>
      <c r="L1996" t="s">
        <v>152</v>
      </c>
      <c r="M1996" t="s">
        <v>34</v>
      </c>
      <c r="N1996" t="s">
        <v>47</v>
      </c>
      <c r="O1996" t="s">
        <v>152</v>
      </c>
      <c r="P1996" t="s">
        <v>152</v>
      </c>
      <c r="Q1996" s="3">
        <v>24</v>
      </c>
      <c r="R1996" t="s">
        <v>27</v>
      </c>
      <c r="S1996" t="s">
        <v>41</v>
      </c>
    </row>
    <row r="1997" spans="1:19" x14ac:dyDescent="0.25">
      <c r="A1997">
        <v>1996</v>
      </c>
      <c r="B1997">
        <v>67</v>
      </c>
      <c r="C1997" t="s">
        <v>19</v>
      </c>
      <c r="D1997" t="s">
        <v>137</v>
      </c>
      <c r="E1997" t="s">
        <v>43</v>
      </c>
      <c r="F1997" s="1">
        <v>80</v>
      </c>
      <c r="G1997" t="s">
        <v>70</v>
      </c>
      <c r="H1997" t="s">
        <v>38</v>
      </c>
      <c r="I1997" t="s">
        <v>86</v>
      </c>
      <c r="J1997" t="s">
        <v>39</v>
      </c>
      <c r="K1997" s="2">
        <v>3</v>
      </c>
      <c r="L1997" t="s">
        <v>152</v>
      </c>
      <c r="M1997" t="s">
        <v>27</v>
      </c>
      <c r="N1997" t="s">
        <v>55</v>
      </c>
      <c r="O1997" t="s">
        <v>152</v>
      </c>
      <c r="P1997" t="s">
        <v>152</v>
      </c>
      <c r="Q1997" s="3">
        <v>29</v>
      </c>
      <c r="R1997" t="s">
        <v>59</v>
      </c>
      <c r="S1997" t="s">
        <v>60</v>
      </c>
    </row>
    <row r="1998" spans="1:19" x14ac:dyDescent="0.25">
      <c r="A1998">
        <v>1997</v>
      </c>
      <c r="B1998">
        <v>67</v>
      </c>
      <c r="C1998" t="s">
        <v>19</v>
      </c>
      <c r="D1998" t="s">
        <v>51</v>
      </c>
      <c r="E1998" t="s">
        <v>43</v>
      </c>
      <c r="F1998" s="1">
        <v>27</v>
      </c>
      <c r="G1998" t="s">
        <v>147</v>
      </c>
      <c r="H1998" t="s">
        <v>23</v>
      </c>
      <c r="I1998" t="s">
        <v>126</v>
      </c>
      <c r="J1998" t="s">
        <v>54</v>
      </c>
      <c r="K1998" s="2">
        <v>3.3</v>
      </c>
      <c r="L1998" t="s">
        <v>152</v>
      </c>
      <c r="M1998" t="s">
        <v>35</v>
      </c>
      <c r="N1998" t="s">
        <v>47</v>
      </c>
      <c r="O1998" t="s">
        <v>152</v>
      </c>
      <c r="P1998" t="s">
        <v>152</v>
      </c>
      <c r="Q1998" s="3">
        <v>18</v>
      </c>
      <c r="R1998" t="s">
        <v>35</v>
      </c>
      <c r="S1998" t="s">
        <v>97</v>
      </c>
    </row>
    <row r="1999" spans="1:19" x14ac:dyDescent="0.25">
      <c r="A1999">
        <v>1998</v>
      </c>
      <c r="B1999">
        <v>42</v>
      </c>
      <c r="C1999" t="s">
        <v>19</v>
      </c>
      <c r="D1999" t="s">
        <v>132</v>
      </c>
      <c r="E1999" t="s">
        <v>69</v>
      </c>
      <c r="F1999" s="1">
        <v>25</v>
      </c>
      <c r="G1999" t="s">
        <v>139</v>
      </c>
      <c r="H1999" t="s">
        <v>45</v>
      </c>
      <c r="I1999" t="s">
        <v>75</v>
      </c>
      <c r="J1999" t="s">
        <v>58</v>
      </c>
      <c r="K1999" s="2">
        <v>4.7</v>
      </c>
      <c r="L1999" t="s">
        <v>152</v>
      </c>
      <c r="M1999" t="s">
        <v>46</v>
      </c>
      <c r="N1999" t="s">
        <v>28</v>
      </c>
      <c r="O1999" t="s">
        <v>152</v>
      </c>
      <c r="P1999" t="s">
        <v>152</v>
      </c>
      <c r="Q1999" s="3">
        <v>10</v>
      </c>
      <c r="R1999" t="s">
        <v>59</v>
      </c>
      <c r="S1999" t="s">
        <v>77</v>
      </c>
    </row>
    <row r="2000" spans="1:19" x14ac:dyDescent="0.25">
      <c r="A2000">
        <v>1999</v>
      </c>
      <c r="B2000">
        <v>20</v>
      </c>
      <c r="C2000" t="s">
        <v>19</v>
      </c>
      <c r="D2000" t="s">
        <v>95</v>
      </c>
      <c r="E2000" t="s">
        <v>21</v>
      </c>
      <c r="F2000" s="1">
        <v>45</v>
      </c>
      <c r="G2000" t="s">
        <v>129</v>
      </c>
      <c r="H2000" t="s">
        <v>45</v>
      </c>
      <c r="I2000" t="s">
        <v>121</v>
      </c>
      <c r="J2000" t="s">
        <v>58</v>
      </c>
      <c r="K2000" s="2">
        <v>3.4</v>
      </c>
      <c r="L2000" t="s">
        <v>152</v>
      </c>
      <c r="M2000" t="s">
        <v>59</v>
      </c>
      <c r="N2000" t="s">
        <v>72</v>
      </c>
      <c r="O2000" t="s">
        <v>152</v>
      </c>
      <c r="P2000" t="s">
        <v>152</v>
      </c>
      <c r="Q2000" s="3">
        <v>19</v>
      </c>
      <c r="R2000" t="s">
        <v>35</v>
      </c>
      <c r="S2000" t="s">
        <v>60</v>
      </c>
    </row>
    <row r="2001" spans="1:19" x14ac:dyDescent="0.25">
      <c r="A2001">
        <v>2000</v>
      </c>
      <c r="B2001">
        <v>39</v>
      </c>
      <c r="C2001" t="s">
        <v>19</v>
      </c>
      <c r="D2001" t="s">
        <v>125</v>
      </c>
      <c r="E2001" t="s">
        <v>21</v>
      </c>
      <c r="F2001" s="1">
        <v>89</v>
      </c>
      <c r="G2001" t="s">
        <v>122</v>
      </c>
      <c r="H2001" t="s">
        <v>23</v>
      </c>
      <c r="I2001" t="s">
        <v>126</v>
      </c>
      <c r="J2001" t="s">
        <v>25</v>
      </c>
      <c r="K2001" s="2">
        <v>4.5999999999999996</v>
      </c>
      <c r="L2001" t="s">
        <v>152</v>
      </c>
      <c r="M2001" t="s">
        <v>27</v>
      </c>
      <c r="N2001" t="s">
        <v>72</v>
      </c>
      <c r="O2001" t="s">
        <v>152</v>
      </c>
      <c r="P2001" t="s">
        <v>152</v>
      </c>
      <c r="Q2001" s="3">
        <v>26</v>
      </c>
      <c r="R2001" t="s">
        <v>59</v>
      </c>
      <c r="S2001" t="s">
        <v>88</v>
      </c>
    </row>
    <row r="2002" spans="1:19" x14ac:dyDescent="0.25">
      <c r="A2002">
        <v>2001</v>
      </c>
      <c r="B2002">
        <v>26</v>
      </c>
      <c r="C2002" t="s">
        <v>19</v>
      </c>
      <c r="D2002" t="s">
        <v>133</v>
      </c>
      <c r="E2002" t="s">
        <v>69</v>
      </c>
      <c r="F2002" s="1">
        <v>27</v>
      </c>
      <c r="G2002" t="s">
        <v>99</v>
      </c>
      <c r="H2002" t="s">
        <v>45</v>
      </c>
      <c r="I2002" t="s">
        <v>93</v>
      </c>
      <c r="J2002" t="s">
        <v>25</v>
      </c>
      <c r="K2002" s="2">
        <v>3.6</v>
      </c>
      <c r="L2002" t="s">
        <v>152</v>
      </c>
      <c r="M2002" t="s">
        <v>29</v>
      </c>
      <c r="N2002" t="s">
        <v>72</v>
      </c>
      <c r="O2002" t="s">
        <v>152</v>
      </c>
      <c r="P2002" t="s">
        <v>152</v>
      </c>
      <c r="Q2002" s="3">
        <v>25</v>
      </c>
      <c r="R2002" t="s">
        <v>35</v>
      </c>
      <c r="S2002" t="s">
        <v>77</v>
      </c>
    </row>
    <row r="2003" spans="1:19" x14ac:dyDescent="0.25">
      <c r="A2003">
        <v>2002</v>
      </c>
      <c r="B2003">
        <v>51</v>
      </c>
      <c r="C2003" t="s">
        <v>19</v>
      </c>
      <c r="D2003" t="s">
        <v>89</v>
      </c>
      <c r="E2003" t="s">
        <v>69</v>
      </c>
      <c r="F2003" s="1">
        <v>90</v>
      </c>
      <c r="G2003" t="s">
        <v>52</v>
      </c>
      <c r="H2003" t="s">
        <v>38</v>
      </c>
      <c r="I2003" t="s">
        <v>75</v>
      </c>
      <c r="J2003" t="s">
        <v>25</v>
      </c>
      <c r="K2003" s="2">
        <v>2.6</v>
      </c>
      <c r="L2003" t="s">
        <v>152</v>
      </c>
      <c r="M2003" t="s">
        <v>59</v>
      </c>
      <c r="N2003" t="s">
        <v>40</v>
      </c>
      <c r="O2003" t="s">
        <v>152</v>
      </c>
      <c r="P2003" t="s">
        <v>152</v>
      </c>
      <c r="Q2003" s="3">
        <v>2</v>
      </c>
      <c r="R2003" t="s">
        <v>59</v>
      </c>
      <c r="S2003" t="s">
        <v>30</v>
      </c>
    </row>
    <row r="2004" spans="1:19" x14ac:dyDescent="0.25">
      <c r="A2004">
        <v>2003</v>
      </c>
      <c r="B2004">
        <v>31</v>
      </c>
      <c r="C2004" t="s">
        <v>19</v>
      </c>
      <c r="D2004" t="s">
        <v>56</v>
      </c>
      <c r="E2004" t="s">
        <v>21</v>
      </c>
      <c r="F2004" s="1">
        <v>65</v>
      </c>
      <c r="G2004" t="s">
        <v>85</v>
      </c>
      <c r="H2004" t="s">
        <v>45</v>
      </c>
      <c r="I2004" t="s">
        <v>108</v>
      </c>
      <c r="J2004" t="s">
        <v>54</v>
      </c>
      <c r="K2004" s="2">
        <v>2.7</v>
      </c>
      <c r="L2004" t="s">
        <v>152</v>
      </c>
      <c r="M2004" t="s">
        <v>35</v>
      </c>
      <c r="N2004" t="s">
        <v>28</v>
      </c>
      <c r="O2004" t="s">
        <v>152</v>
      </c>
      <c r="P2004" t="s">
        <v>152</v>
      </c>
      <c r="Q2004" s="3">
        <v>19</v>
      </c>
      <c r="R2004" t="s">
        <v>46</v>
      </c>
      <c r="S2004" t="s">
        <v>97</v>
      </c>
    </row>
    <row r="2005" spans="1:19" x14ac:dyDescent="0.25">
      <c r="A2005">
        <v>2004</v>
      </c>
      <c r="B2005">
        <v>68</v>
      </c>
      <c r="C2005" t="s">
        <v>19</v>
      </c>
      <c r="D2005" t="s">
        <v>51</v>
      </c>
      <c r="E2005" t="s">
        <v>43</v>
      </c>
      <c r="F2005" s="1">
        <v>72</v>
      </c>
      <c r="G2005" t="s">
        <v>32</v>
      </c>
      <c r="H2005" t="s">
        <v>38</v>
      </c>
      <c r="I2005" t="s">
        <v>144</v>
      </c>
      <c r="J2005" t="s">
        <v>39</v>
      </c>
      <c r="K2005" s="2">
        <v>3.1</v>
      </c>
      <c r="L2005" t="s">
        <v>152</v>
      </c>
      <c r="M2005" t="s">
        <v>29</v>
      </c>
      <c r="N2005" t="s">
        <v>28</v>
      </c>
      <c r="O2005" t="s">
        <v>152</v>
      </c>
      <c r="P2005" t="s">
        <v>152</v>
      </c>
      <c r="Q2005" s="3">
        <v>32</v>
      </c>
      <c r="R2005" t="s">
        <v>35</v>
      </c>
      <c r="S2005" t="s">
        <v>60</v>
      </c>
    </row>
    <row r="2006" spans="1:19" x14ac:dyDescent="0.25">
      <c r="A2006">
        <v>2005</v>
      </c>
      <c r="B2006">
        <v>44</v>
      </c>
      <c r="C2006" t="s">
        <v>19</v>
      </c>
      <c r="D2006" t="s">
        <v>73</v>
      </c>
      <c r="E2006" t="s">
        <v>43</v>
      </c>
      <c r="F2006" s="1">
        <v>70</v>
      </c>
      <c r="G2006" t="s">
        <v>142</v>
      </c>
      <c r="H2006" t="s">
        <v>23</v>
      </c>
      <c r="I2006" t="s">
        <v>144</v>
      </c>
      <c r="J2006" t="s">
        <v>58</v>
      </c>
      <c r="K2006" s="2">
        <v>3.2</v>
      </c>
      <c r="L2006" t="s">
        <v>152</v>
      </c>
      <c r="M2006" t="s">
        <v>35</v>
      </c>
      <c r="N2006" t="s">
        <v>72</v>
      </c>
      <c r="O2006" t="s">
        <v>152</v>
      </c>
      <c r="P2006" t="s">
        <v>152</v>
      </c>
      <c r="Q2006" s="3">
        <v>13</v>
      </c>
      <c r="R2006" t="s">
        <v>35</v>
      </c>
      <c r="S2006" t="s">
        <v>77</v>
      </c>
    </row>
    <row r="2007" spans="1:19" x14ac:dyDescent="0.25">
      <c r="A2007">
        <v>2006</v>
      </c>
      <c r="B2007">
        <v>18</v>
      </c>
      <c r="C2007" t="s">
        <v>19</v>
      </c>
      <c r="D2007" t="s">
        <v>42</v>
      </c>
      <c r="E2007" t="s">
        <v>43</v>
      </c>
      <c r="F2007" s="1">
        <v>82</v>
      </c>
      <c r="G2007" t="s">
        <v>122</v>
      </c>
      <c r="H2007" t="s">
        <v>45</v>
      </c>
      <c r="I2007" t="s">
        <v>109</v>
      </c>
      <c r="J2007" t="s">
        <v>25</v>
      </c>
      <c r="K2007" s="2">
        <v>3.4</v>
      </c>
      <c r="L2007" t="s">
        <v>152</v>
      </c>
      <c r="M2007" t="s">
        <v>46</v>
      </c>
      <c r="N2007" t="s">
        <v>76</v>
      </c>
      <c r="O2007" t="s">
        <v>152</v>
      </c>
      <c r="P2007" t="s">
        <v>152</v>
      </c>
      <c r="Q2007" s="3">
        <v>30</v>
      </c>
      <c r="R2007" t="s">
        <v>46</v>
      </c>
      <c r="S2007" t="s">
        <v>30</v>
      </c>
    </row>
    <row r="2008" spans="1:19" x14ac:dyDescent="0.25">
      <c r="A2008">
        <v>2007</v>
      </c>
      <c r="B2008">
        <v>58</v>
      </c>
      <c r="C2008" t="s">
        <v>19</v>
      </c>
      <c r="D2008" t="s">
        <v>119</v>
      </c>
      <c r="E2008" t="s">
        <v>69</v>
      </c>
      <c r="F2008" s="1">
        <v>97</v>
      </c>
      <c r="G2008" t="s">
        <v>130</v>
      </c>
      <c r="H2008" t="s">
        <v>38</v>
      </c>
      <c r="I2008" t="s">
        <v>71</v>
      </c>
      <c r="J2008" t="s">
        <v>58</v>
      </c>
      <c r="K2008" s="2">
        <v>4.4000000000000004</v>
      </c>
      <c r="L2008" t="s">
        <v>152</v>
      </c>
      <c r="M2008" t="s">
        <v>59</v>
      </c>
      <c r="N2008" t="s">
        <v>28</v>
      </c>
      <c r="O2008" t="s">
        <v>152</v>
      </c>
      <c r="P2008" t="s">
        <v>152</v>
      </c>
      <c r="Q2008" s="3">
        <v>2</v>
      </c>
      <c r="R2008" t="s">
        <v>27</v>
      </c>
      <c r="S2008" t="s">
        <v>50</v>
      </c>
    </row>
    <row r="2009" spans="1:19" x14ac:dyDescent="0.25">
      <c r="A2009">
        <v>2008</v>
      </c>
      <c r="B2009">
        <v>26</v>
      </c>
      <c r="C2009" t="s">
        <v>19</v>
      </c>
      <c r="D2009" t="s">
        <v>56</v>
      </c>
      <c r="E2009" t="s">
        <v>21</v>
      </c>
      <c r="F2009" s="1">
        <v>25</v>
      </c>
      <c r="G2009" t="s">
        <v>141</v>
      </c>
      <c r="H2009" t="s">
        <v>45</v>
      </c>
      <c r="I2009" t="s">
        <v>67</v>
      </c>
      <c r="J2009" t="s">
        <v>54</v>
      </c>
      <c r="K2009" s="2">
        <v>3.2</v>
      </c>
      <c r="L2009" t="s">
        <v>152</v>
      </c>
      <c r="M2009" t="s">
        <v>35</v>
      </c>
      <c r="N2009" t="s">
        <v>72</v>
      </c>
      <c r="O2009" t="s">
        <v>152</v>
      </c>
      <c r="P2009" t="s">
        <v>152</v>
      </c>
      <c r="Q2009" s="3">
        <v>8</v>
      </c>
      <c r="R2009" t="s">
        <v>46</v>
      </c>
      <c r="S2009" t="s">
        <v>60</v>
      </c>
    </row>
    <row r="2010" spans="1:19" x14ac:dyDescent="0.25">
      <c r="A2010">
        <v>2009</v>
      </c>
      <c r="B2010">
        <v>57</v>
      </c>
      <c r="C2010" t="s">
        <v>19</v>
      </c>
      <c r="D2010" t="s">
        <v>87</v>
      </c>
      <c r="E2010" t="s">
        <v>21</v>
      </c>
      <c r="F2010" s="1">
        <v>48</v>
      </c>
      <c r="G2010" t="s">
        <v>103</v>
      </c>
      <c r="H2010" t="s">
        <v>45</v>
      </c>
      <c r="I2010" t="s">
        <v>24</v>
      </c>
      <c r="J2010" t="s">
        <v>39</v>
      </c>
      <c r="K2010" s="2">
        <v>2.5</v>
      </c>
      <c r="L2010" t="s">
        <v>152</v>
      </c>
      <c r="M2010" t="s">
        <v>46</v>
      </c>
      <c r="N2010" t="s">
        <v>40</v>
      </c>
      <c r="O2010" t="s">
        <v>152</v>
      </c>
      <c r="P2010" t="s">
        <v>152</v>
      </c>
      <c r="Q2010" s="3">
        <v>27</v>
      </c>
      <c r="R2010" t="s">
        <v>46</v>
      </c>
      <c r="S2010" t="s">
        <v>97</v>
      </c>
    </row>
    <row r="2011" spans="1:19" x14ac:dyDescent="0.25">
      <c r="A2011">
        <v>2010</v>
      </c>
      <c r="B2011">
        <v>37</v>
      </c>
      <c r="C2011" t="s">
        <v>19</v>
      </c>
      <c r="D2011" t="s">
        <v>137</v>
      </c>
      <c r="E2011" t="s">
        <v>43</v>
      </c>
      <c r="F2011" s="1">
        <v>99</v>
      </c>
      <c r="G2011" t="s">
        <v>90</v>
      </c>
      <c r="H2011" t="s">
        <v>45</v>
      </c>
      <c r="I2011" t="s">
        <v>126</v>
      </c>
      <c r="J2011" t="s">
        <v>54</v>
      </c>
      <c r="K2011" s="2">
        <v>3.8</v>
      </c>
      <c r="L2011" t="s">
        <v>152</v>
      </c>
      <c r="M2011" t="s">
        <v>29</v>
      </c>
      <c r="N2011" t="s">
        <v>47</v>
      </c>
      <c r="O2011" t="s">
        <v>152</v>
      </c>
      <c r="P2011" t="s">
        <v>152</v>
      </c>
      <c r="Q2011" s="3">
        <v>26</v>
      </c>
      <c r="R2011" t="s">
        <v>29</v>
      </c>
      <c r="S2011" t="s">
        <v>77</v>
      </c>
    </row>
    <row r="2012" spans="1:19" x14ac:dyDescent="0.25">
      <c r="A2012">
        <v>2011</v>
      </c>
      <c r="B2012">
        <v>24</v>
      </c>
      <c r="C2012" t="s">
        <v>19</v>
      </c>
      <c r="D2012" t="s">
        <v>31</v>
      </c>
      <c r="E2012" t="s">
        <v>21</v>
      </c>
      <c r="F2012" s="1">
        <v>21</v>
      </c>
      <c r="G2012" t="s">
        <v>105</v>
      </c>
      <c r="H2012" t="s">
        <v>45</v>
      </c>
      <c r="I2012" t="s">
        <v>33</v>
      </c>
      <c r="J2012" t="s">
        <v>54</v>
      </c>
      <c r="K2012" s="2">
        <v>4.4000000000000004</v>
      </c>
      <c r="L2012" t="s">
        <v>152</v>
      </c>
      <c r="M2012" t="s">
        <v>29</v>
      </c>
      <c r="N2012" t="s">
        <v>72</v>
      </c>
      <c r="O2012" t="s">
        <v>152</v>
      </c>
      <c r="P2012" t="s">
        <v>152</v>
      </c>
      <c r="Q2012" s="3">
        <v>3</v>
      </c>
      <c r="R2012" t="s">
        <v>59</v>
      </c>
      <c r="S2012" t="s">
        <v>77</v>
      </c>
    </row>
    <row r="2013" spans="1:19" x14ac:dyDescent="0.25">
      <c r="A2013">
        <v>2012</v>
      </c>
      <c r="B2013">
        <v>57</v>
      </c>
      <c r="C2013" t="s">
        <v>19</v>
      </c>
      <c r="D2013" t="s">
        <v>42</v>
      </c>
      <c r="E2013" t="s">
        <v>43</v>
      </c>
      <c r="F2013" s="1">
        <v>94</v>
      </c>
      <c r="G2013" t="s">
        <v>66</v>
      </c>
      <c r="H2013" t="s">
        <v>45</v>
      </c>
      <c r="I2013" t="s">
        <v>118</v>
      </c>
      <c r="J2013" t="s">
        <v>39</v>
      </c>
      <c r="K2013" s="2">
        <v>3.7</v>
      </c>
      <c r="L2013" t="s">
        <v>152</v>
      </c>
      <c r="M2013" t="s">
        <v>59</v>
      </c>
      <c r="N2013" t="s">
        <v>28</v>
      </c>
      <c r="O2013" t="s">
        <v>152</v>
      </c>
      <c r="P2013" t="s">
        <v>152</v>
      </c>
      <c r="Q2013" s="3">
        <v>4</v>
      </c>
      <c r="R2013" t="s">
        <v>34</v>
      </c>
      <c r="S2013" t="s">
        <v>88</v>
      </c>
    </row>
    <row r="2014" spans="1:19" x14ac:dyDescent="0.25">
      <c r="A2014">
        <v>2013</v>
      </c>
      <c r="B2014">
        <v>48</v>
      </c>
      <c r="C2014" t="s">
        <v>19</v>
      </c>
      <c r="D2014" t="s">
        <v>36</v>
      </c>
      <c r="E2014" t="s">
        <v>21</v>
      </c>
      <c r="F2014" s="1">
        <v>53</v>
      </c>
      <c r="G2014" t="s">
        <v>107</v>
      </c>
      <c r="H2014" t="s">
        <v>23</v>
      </c>
      <c r="I2014" t="s">
        <v>96</v>
      </c>
      <c r="J2014" t="s">
        <v>58</v>
      </c>
      <c r="K2014" s="2">
        <v>3.2</v>
      </c>
      <c r="L2014" t="s">
        <v>152</v>
      </c>
      <c r="M2014" t="s">
        <v>34</v>
      </c>
      <c r="N2014" t="s">
        <v>76</v>
      </c>
      <c r="O2014" t="s">
        <v>152</v>
      </c>
      <c r="P2014" t="s">
        <v>152</v>
      </c>
      <c r="Q2014" s="3">
        <v>5</v>
      </c>
      <c r="R2014" t="s">
        <v>35</v>
      </c>
      <c r="S2014" t="s">
        <v>30</v>
      </c>
    </row>
    <row r="2015" spans="1:19" x14ac:dyDescent="0.25">
      <c r="A2015">
        <v>2014</v>
      </c>
      <c r="B2015">
        <v>39</v>
      </c>
      <c r="C2015" t="s">
        <v>19</v>
      </c>
      <c r="D2015" t="s">
        <v>132</v>
      </c>
      <c r="E2015" t="s">
        <v>69</v>
      </c>
      <c r="F2015" s="1">
        <v>70</v>
      </c>
      <c r="G2015" t="s">
        <v>141</v>
      </c>
      <c r="H2015" t="s">
        <v>45</v>
      </c>
      <c r="I2015" t="s">
        <v>100</v>
      </c>
      <c r="J2015" t="s">
        <v>25</v>
      </c>
      <c r="K2015" s="2">
        <v>4.9000000000000004</v>
      </c>
      <c r="L2015" t="s">
        <v>152</v>
      </c>
      <c r="M2015" t="s">
        <v>46</v>
      </c>
      <c r="N2015" t="s">
        <v>55</v>
      </c>
      <c r="O2015" t="s">
        <v>152</v>
      </c>
      <c r="P2015" t="s">
        <v>152</v>
      </c>
      <c r="Q2015" s="3">
        <v>25</v>
      </c>
      <c r="R2015" t="s">
        <v>59</v>
      </c>
      <c r="S2015" t="s">
        <v>60</v>
      </c>
    </row>
    <row r="2016" spans="1:19" x14ac:dyDescent="0.25">
      <c r="A2016">
        <v>2015</v>
      </c>
      <c r="B2016">
        <v>51</v>
      </c>
      <c r="C2016" t="s">
        <v>19</v>
      </c>
      <c r="D2016" t="s">
        <v>87</v>
      </c>
      <c r="E2016" t="s">
        <v>21</v>
      </c>
      <c r="F2016" s="1">
        <v>26</v>
      </c>
      <c r="G2016" t="s">
        <v>150</v>
      </c>
      <c r="H2016" t="s">
        <v>23</v>
      </c>
      <c r="I2016" t="s">
        <v>94</v>
      </c>
      <c r="J2016" t="s">
        <v>54</v>
      </c>
      <c r="K2016" s="2">
        <v>3.9</v>
      </c>
      <c r="L2016" t="s">
        <v>152</v>
      </c>
      <c r="M2016" t="s">
        <v>29</v>
      </c>
      <c r="N2016" t="s">
        <v>55</v>
      </c>
      <c r="O2016" t="s">
        <v>152</v>
      </c>
      <c r="P2016" t="s">
        <v>152</v>
      </c>
      <c r="Q2016" s="3">
        <v>47</v>
      </c>
      <c r="R2016" t="s">
        <v>46</v>
      </c>
      <c r="S2016" t="s">
        <v>77</v>
      </c>
    </row>
    <row r="2017" spans="1:19" x14ac:dyDescent="0.25">
      <c r="A2017">
        <v>2016</v>
      </c>
      <c r="B2017">
        <v>57</v>
      </c>
      <c r="C2017" t="s">
        <v>19</v>
      </c>
      <c r="D2017" t="s">
        <v>133</v>
      </c>
      <c r="E2017" t="s">
        <v>69</v>
      </c>
      <c r="F2017" s="1">
        <v>82</v>
      </c>
      <c r="G2017" t="s">
        <v>141</v>
      </c>
      <c r="H2017" t="s">
        <v>38</v>
      </c>
      <c r="I2017" t="s">
        <v>71</v>
      </c>
      <c r="J2017" t="s">
        <v>54</v>
      </c>
      <c r="K2017" s="2">
        <v>4.5</v>
      </c>
      <c r="L2017" t="s">
        <v>152</v>
      </c>
      <c r="M2017" t="s">
        <v>59</v>
      </c>
      <c r="N2017" t="s">
        <v>47</v>
      </c>
      <c r="O2017" t="s">
        <v>152</v>
      </c>
      <c r="P2017" t="s">
        <v>152</v>
      </c>
      <c r="Q2017" s="3">
        <v>8</v>
      </c>
      <c r="R2017" t="s">
        <v>27</v>
      </c>
      <c r="S2017" t="s">
        <v>30</v>
      </c>
    </row>
    <row r="2018" spans="1:19" x14ac:dyDescent="0.25">
      <c r="A2018">
        <v>2017</v>
      </c>
      <c r="B2018">
        <v>53</v>
      </c>
      <c r="C2018" t="s">
        <v>19</v>
      </c>
      <c r="D2018" t="s">
        <v>73</v>
      </c>
      <c r="E2018" t="s">
        <v>43</v>
      </c>
      <c r="F2018" s="1">
        <v>47</v>
      </c>
      <c r="G2018" t="s">
        <v>32</v>
      </c>
      <c r="H2018" t="s">
        <v>38</v>
      </c>
      <c r="I2018" t="s">
        <v>84</v>
      </c>
      <c r="J2018" t="s">
        <v>25</v>
      </c>
      <c r="K2018" s="2">
        <v>3.4</v>
      </c>
      <c r="L2018" t="s">
        <v>152</v>
      </c>
      <c r="M2018" t="s">
        <v>27</v>
      </c>
      <c r="N2018" t="s">
        <v>55</v>
      </c>
      <c r="O2018" t="s">
        <v>152</v>
      </c>
      <c r="P2018" t="s">
        <v>152</v>
      </c>
      <c r="Q2018" s="3">
        <v>20</v>
      </c>
      <c r="R2018" t="s">
        <v>59</v>
      </c>
      <c r="S2018" t="s">
        <v>30</v>
      </c>
    </row>
    <row r="2019" spans="1:19" x14ac:dyDescent="0.25">
      <c r="A2019">
        <v>2018</v>
      </c>
      <c r="B2019">
        <v>70</v>
      </c>
      <c r="C2019" t="s">
        <v>19</v>
      </c>
      <c r="D2019" t="s">
        <v>125</v>
      </c>
      <c r="E2019" t="s">
        <v>21</v>
      </c>
      <c r="F2019" s="1">
        <v>32</v>
      </c>
      <c r="G2019" t="s">
        <v>37</v>
      </c>
      <c r="H2019" t="s">
        <v>38</v>
      </c>
      <c r="I2019" t="s">
        <v>96</v>
      </c>
      <c r="J2019" t="s">
        <v>25</v>
      </c>
      <c r="K2019" s="2">
        <v>4.0999999999999996</v>
      </c>
      <c r="L2019" t="s">
        <v>152</v>
      </c>
      <c r="M2019" t="s">
        <v>29</v>
      </c>
      <c r="N2019" t="s">
        <v>47</v>
      </c>
      <c r="O2019" t="s">
        <v>152</v>
      </c>
      <c r="P2019" t="s">
        <v>152</v>
      </c>
      <c r="Q2019" s="3">
        <v>42</v>
      </c>
      <c r="R2019" t="s">
        <v>34</v>
      </c>
      <c r="S2019" t="s">
        <v>97</v>
      </c>
    </row>
    <row r="2020" spans="1:19" x14ac:dyDescent="0.25">
      <c r="A2020">
        <v>2019</v>
      </c>
      <c r="B2020">
        <v>60</v>
      </c>
      <c r="C2020" t="s">
        <v>19</v>
      </c>
      <c r="D2020" t="s">
        <v>132</v>
      </c>
      <c r="E2020" t="s">
        <v>69</v>
      </c>
      <c r="F2020" s="1">
        <v>97</v>
      </c>
      <c r="G2020" t="s">
        <v>74</v>
      </c>
      <c r="H2020" t="s">
        <v>38</v>
      </c>
      <c r="I2020" t="s">
        <v>81</v>
      </c>
      <c r="J2020" t="s">
        <v>58</v>
      </c>
      <c r="K2020" s="2">
        <v>4.5</v>
      </c>
      <c r="L2020" t="s">
        <v>152</v>
      </c>
      <c r="M2020" t="s">
        <v>59</v>
      </c>
      <c r="N2020" t="s">
        <v>76</v>
      </c>
      <c r="O2020" t="s">
        <v>152</v>
      </c>
      <c r="P2020" t="s">
        <v>152</v>
      </c>
      <c r="Q2020" s="3">
        <v>20</v>
      </c>
      <c r="R2020" t="s">
        <v>34</v>
      </c>
      <c r="S2020" t="s">
        <v>41</v>
      </c>
    </row>
    <row r="2021" spans="1:19" x14ac:dyDescent="0.25">
      <c r="A2021">
        <v>2020</v>
      </c>
      <c r="B2021">
        <v>31</v>
      </c>
      <c r="C2021" t="s">
        <v>19</v>
      </c>
      <c r="D2021" t="s">
        <v>56</v>
      </c>
      <c r="E2021" t="s">
        <v>21</v>
      </c>
      <c r="F2021" s="1">
        <v>68</v>
      </c>
      <c r="G2021" t="s">
        <v>135</v>
      </c>
      <c r="H2021" t="s">
        <v>38</v>
      </c>
      <c r="I2021" t="s">
        <v>108</v>
      </c>
      <c r="J2021" t="s">
        <v>25</v>
      </c>
      <c r="K2021" s="2">
        <v>4.7</v>
      </c>
      <c r="L2021" t="s">
        <v>152</v>
      </c>
      <c r="M2021" t="s">
        <v>46</v>
      </c>
      <c r="N2021" t="s">
        <v>76</v>
      </c>
      <c r="O2021" t="s">
        <v>152</v>
      </c>
      <c r="P2021" t="s">
        <v>152</v>
      </c>
      <c r="Q2021" s="3">
        <v>23</v>
      </c>
      <c r="R2021" t="s">
        <v>35</v>
      </c>
      <c r="S2021" t="s">
        <v>30</v>
      </c>
    </row>
    <row r="2022" spans="1:19" x14ac:dyDescent="0.25">
      <c r="A2022">
        <v>2021</v>
      </c>
      <c r="B2022">
        <v>41</v>
      </c>
      <c r="C2022" t="s">
        <v>19</v>
      </c>
      <c r="D2022" t="s">
        <v>31</v>
      </c>
      <c r="E2022" t="s">
        <v>21</v>
      </c>
      <c r="F2022" s="1">
        <v>23</v>
      </c>
      <c r="G2022" t="s">
        <v>138</v>
      </c>
      <c r="H2022" t="s">
        <v>45</v>
      </c>
      <c r="I2022" t="s">
        <v>118</v>
      </c>
      <c r="J2022" t="s">
        <v>25</v>
      </c>
      <c r="K2022" s="2">
        <v>4.8</v>
      </c>
      <c r="L2022" t="s">
        <v>152</v>
      </c>
      <c r="M2022" t="s">
        <v>27</v>
      </c>
      <c r="N2022" t="s">
        <v>47</v>
      </c>
      <c r="O2022" t="s">
        <v>152</v>
      </c>
      <c r="P2022" t="s">
        <v>152</v>
      </c>
      <c r="Q2022" s="3">
        <v>26</v>
      </c>
      <c r="R2022" t="s">
        <v>35</v>
      </c>
      <c r="S2022" t="s">
        <v>60</v>
      </c>
    </row>
    <row r="2023" spans="1:19" x14ac:dyDescent="0.25">
      <c r="A2023">
        <v>2022</v>
      </c>
      <c r="B2023">
        <v>62</v>
      </c>
      <c r="C2023" t="s">
        <v>19</v>
      </c>
      <c r="D2023" t="s">
        <v>68</v>
      </c>
      <c r="E2023" t="s">
        <v>69</v>
      </c>
      <c r="F2023" s="1">
        <v>33</v>
      </c>
      <c r="G2023" t="s">
        <v>32</v>
      </c>
      <c r="H2023" t="s">
        <v>45</v>
      </c>
      <c r="I2023" t="s">
        <v>96</v>
      </c>
      <c r="J2023" t="s">
        <v>25</v>
      </c>
      <c r="K2023" s="2">
        <v>4.4000000000000004</v>
      </c>
      <c r="L2023" t="s">
        <v>152</v>
      </c>
      <c r="M2023" t="s">
        <v>59</v>
      </c>
      <c r="N2023" t="s">
        <v>55</v>
      </c>
      <c r="O2023" t="s">
        <v>152</v>
      </c>
      <c r="P2023" t="s">
        <v>152</v>
      </c>
      <c r="Q2023" s="3">
        <v>48</v>
      </c>
      <c r="R2023" t="s">
        <v>29</v>
      </c>
      <c r="S2023" t="s">
        <v>60</v>
      </c>
    </row>
    <row r="2024" spans="1:19" x14ac:dyDescent="0.25">
      <c r="A2024">
        <v>2023</v>
      </c>
      <c r="B2024">
        <v>59</v>
      </c>
      <c r="C2024" t="s">
        <v>19</v>
      </c>
      <c r="D2024" t="s">
        <v>106</v>
      </c>
      <c r="E2024" t="s">
        <v>69</v>
      </c>
      <c r="F2024" s="1">
        <v>38</v>
      </c>
      <c r="G2024" t="s">
        <v>90</v>
      </c>
      <c r="H2024" t="s">
        <v>38</v>
      </c>
      <c r="I2024" t="s">
        <v>94</v>
      </c>
      <c r="J2024" t="s">
        <v>25</v>
      </c>
      <c r="K2024" s="2">
        <v>4</v>
      </c>
      <c r="L2024" t="s">
        <v>152</v>
      </c>
      <c r="M2024" t="s">
        <v>34</v>
      </c>
      <c r="N2024" t="s">
        <v>76</v>
      </c>
      <c r="O2024" t="s">
        <v>152</v>
      </c>
      <c r="P2024" t="s">
        <v>152</v>
      </c>
      <c r="Q2024" s="3">
        <v>16</v>
      </c>
      <c r="R2024" t="s">
        <v>35</v>
      </c>
      <c r="S2024" t="s">
        <v>77</v>
      </c>
    </row>
    <row r="2025" spans="1:19" x14ac:dyDescent="0.25">
      <c r="A2025">
        <v>2024</v>
      </c>
      <c r="B2025">
        <v>46</v>
      </c>
      <c r="C2025" t="s">
        <v>19</v>
      </c>
      <c r="D2025" t="s">
        <v>125</v>
      </c>
      <c r="E2025" t="s">
        <v>21</v>
      </c>
      <c r="F2025" s="1">
        <v>68</v>
      </c>
      <c r="G2025" t="s">
        <v>135</v>
      </c>
      <c r="H2025" t="s">
        <v>38</v>
      </c>
      <c r="I2025" t="s">
        <v>86</v>
      </c>
      <c r="J2025" t="s">
        <v>25</v>
      </c>
      <c r="K2025" s="2">
        <v>4.0999999999999996</v>
      </c>
      <c r="L2025" t="s">
        <v>152</v>
      </c>
      <c r="M2025" t="s">
        <v>34</v>
      </c>
      <c r="N2025" t="s">
        <v>76</v>
      </c>
      <c r="O2025" t="s">
        <v>152</v>
      </c>
      <c r="P2025" t="s">
        <v>152</v>
      </c>
      <c r="Q2025" s="3">
        <v>28</v>
      </c>
      <c r="R2025" t="s">
        <v>35</v>
      </c>
      <c r="S2025" t="s">
        <v>77</v>
      </c>
    </row>
    <row r="2026" spans="1:19" x14ac:dyDescent="0.25">
      <c r="A2026">
        <v>2025</v>
      </c>
      <c r="B2026">
        <v>62</v>
      </c>
      <c r="C2026" t="s">
        <v>19</v>
      </c>
      <c r="D2026" t="s">
        <v>125</v>
      </c>
      <c r="E2026" t="s">
        <v>21</v>
      </c>
      <c r="F2026" s="1">
        <v>23</v>
      </c>
      <c r="G2026" t="s">
        <v>74</v>
      </c>
      <c r="H2026" t="s">
        <v>23</v>
      </c>
      <c r="I2026" t="s">
        <v>67</v>
      </c>
      <c r="J2026" t="s">
        <v>58</v>
      </c>
      <c r="K2026" s="2">
        <v>3.7</v>
      </c>
      <c r="L2026" t="s">
        <v>152</v>
      </c>
      <c r="M2026" t="s">
        <v>34</v>
      </c>
      <c r="N2026" t="s">
        <v>28</v>
      </c>
      <c r="O2026" t="s">
        <v>152</v>
      </c>
      <c r="P2026" t="s">
        <v>152</v>
      </c>
      <c r="Q2026" s="3">
        <v>39</v>
      </c>
      <c r="R2026" t="s">
        <v>46</v>
      </c>
      <c r="S2026" t="s">
        <v>41</v>
      </c>
    </row>
    <row r="2027" spans="1:19" x14ac:dyDescent="0.25">
      <c r="A2027">
        <v>2026</v>
      </c>
      <c r="B2027">
        <v>42</v>
      </c>
      <c r="C2027" t="s">
        <v>19</v>
      </c>
      <c r="D2027" t="s">
        <v>56</v>
      </c>
      <c r="E2027" t="s">
        <v>21</v>
      </c>
      <c r="F2027" s="1">
        <v>29</v>
      </c>
      <c r="G2027" t="s">
        <v>80</v>
      </c>
      <c r="H2027" t="s">
        <v>45</v>
      </c>
      <c r="I2027" t="s">
        <v>49</v>
      </c>
      <c r="J2027" t="s">
        <v>54</v>
      </c>
      <c r="K2027" s="2">
        <v>3</v>
      </c>
      <c r="L2027" t="s">
        <v>152</v>
      </c>
      <c r="M2027" t="s">
        <v>34</v>
      </c>
      <c r="N2027" t="s">
        <v>28</v>
      </c>
      <c r="O2027" t="s">
        <v>152</v>
      </c>
      <c r="P2027" t="s">
        <v>152</v>
      </c>
      <c r="Q2027" s="3">
        <v>43</v>
      </c>
      <c r="R2027" t="s">
        <v>59</v>
      </c>
      <c r="S2027" t="s">
        <v>30</v>
      </c>
    </row>
    <row r="2028" spans="1:19" x14ac:dyDescent="0.25">
      <c r="A2028">
        <v>2027</v>
      </c>
      <c r="B2028">
        <v>37</v>
      </c>
      <c r="C2028" t="s">
        <v>19</v>
      </c>
      <c r="D2028" t="s">
        <v>119</v>
      </c>
      <c r="E2028" t="s">
        <v>69</v>
      </c>
      <c r="F2028" s="1">
        <v>35</v>
      </c>
      <c r="G2028" t="s">
        <v>32</v>
      </c>
      <c r="H2028" t="s">
        <v>45</v>
      </c>
      <c r="I2028" t="s">
        <v>121</v>
      </c>
      <c r="J2028" t="s">
        <v>25</v>
      </c>
      <c r="K2028" s="2">
        <v>3.6</v>
      </c>
      <c r="L2028" t="s">
        <v>152</v>
      </c>
      <c r="M2028" t="s">
        <v>34</v>
      </c>
      <c r="N2028" t="s">
        <v>28</v>
      </c>
      <c r="O2028" t="s">
        <v>152</v>
      </c>
      <c r="P2028" t="s">
        <v>152</v>
      </c>
      <c r="Q2028" s="3">
        <v>45</v>
      </c>
      <c r="R2028" t="s">
        <v>34</v>
      </c>
      <c r="S2028" t="s">
        <v>97</v>
      </c>
    </row>
    <row r="2029" spans="1:19" x14ac:dyDescent="0.25">
      <c r="A2029">
        <v>2028</v>
      </c>
      <c r="B2029">
        <v>50</v>
      </c>
      <c r="C2029" t="s">
        <v>19</v>
      </c>
      <c r="D2029" t="s">
        <v>73</v>
      </c>
      <c r="E2029" t="s">
        <v>43</v>
      </c>
      <c r="F2029" s="1">
        <v>73</v>
      </c>
      <c r="G2029" t="s">
        <v>145</v>
      </c>
      <c r="H2029" t="s">
        <v>38</v>
      </c>
      <c r="I2029" t="s">
        <v>81</v>
      </c>
      <c r="J2029" t="s">
        <v>58</v>
      </c>
      <c r="K2029" s="2">
        <v>4.8</v>
      </c>
      <c r="L2029" t="s">
        <v>152</v>
      </c>
      <c r="M2029" t="s">
        <v>29</v>
      </c>
      <c r="N2029" t="s">
        <v>55</v>
      </c>
      <c r="O2029" t="s">
        <v>152</v>
      </c>
      <c r="P2029" t="s">
        <v>152</v>
      </c>
      <c r="Q2029" s="3">
        <v>50</v>
      </c>
      <c r="R2029" t="s">
        <v>27</v>
      </c>
      <c r="S2029" t="s">
        <v>97</v>
      </c>
    </row>
    <row r="2030" spans="1:19" x14ac:dyDescent="0.25">
      <c r="A2030">
        <v>2029</v>
      </c>
      <c r="B2030">
        <v>29</v>
      </c>
      <c r="C2030" t="s">
        <v>19</v>
      </c>
      <c r="D2030" t="s">
        <v>73</v>
      </c>
      <c r="E2030" t="s">
        <v>43</v>
      </c>
      <c r="F2030" s="1">
        <v>84</v>
      </c>
      <c r="G2030" t="s">
        <v>123</v>
      </c>
      <c r="H2030" t="s">
        <v>92</v>
      </c>
      <c r="I2030" t="s">
        <v>75</v>
      </c>
      <c r="J2030" t="s">
        <v>58</v>
      </c>
      <c r="K2030" s="2">
        <v>3.7</v>
      </c>
      <c r="L2030" t="s">
        <v>152</v>
      </c>
      <c r="M2030" t="s">
        <v>35</v>
      </c>
      <c r="N2030" t="s">
        <v>72</v>
      </c>
      <c r="O2030" t="s">
        <v>152</v>
      </c>
      <c r="P2030" t="s">
        <v>152</v>
      </c>
      <c r="Q2030" s="3">
        <v>10</v>
      </c>
      <c r="R2030" t="s">
        <v>29</v>
      </c>
      <c r="S2030" t="s">
        <v>77</v>
      </c>
    </row>
    <row r="2031" spans="1:19" x14ac:dyDescent="0.25">
      <c r="A2031">
        <v>2030</v>
      </c>
      <c r="B2031">
        <v>25</v>
      </c>
      <c r="C2031" t="s">
        <v>19</v>
      </c>
      <c r="D2031" t="s">
        <v>119</v>
      </c>
      <c r="E2031" t="s">
        <v>69</v>
      </c>
      <c r="F2031" s="1">
        <v>23</v>
      </c>
      <c r="G2031" t="s">
        <v>57</v>
      </c>
      <c r="H2031" t="s">
        <v>45</v>
      </c>
      <c r="I2031" t="s">
        <v>71</v>
      </c>
      <c r="J2031" t="s">
        <v>39</v>
      </c>
      <c r="K2031" s="2">
        <v>4.5999999999999996</v>
      </c>
      <c r="L2031" t="s">
        <v>152</v>
      </c>
      <c r="M2031" t="s">
        <v>34</v>
      </c>
      <c r="N2031" t="s">
        <v>47</v>
      </c>
      <c r="O2031" t="s">
        <v>152</v>
      </c>
      <c r="P2031" t="s">
        <v>152</v>
      </c>
      <c r="Q2031" s="3">
        <v>40</v>
      </c>
      <c r="R2031" t="s">
        <v>46</v>
      </c>
      <c r="S2031" t="s">
        <v>60</v>
      </c>
    </row>
    <row r="2032" spans="1:19" x14ac:dyDescent="0.25">
      <c r="A2032">
        <v>2031</v>
      </c>
      <c r="B2032">
        <v>66</v>
      </c>
      <c r="C2032" t="s">
        <v>19</v>
      </c>
      <c r="D2032" t="s">
        <v>89</v>
      </c>
      <c r="E2032" t="s">
        <v>69</v>
      </c>
      <c r="F2032" s="1">
        <v>67</v>
      </c>
      <c r="G2032" t="s">
        <v>130</v>
      </c>
      <c r="H2032" t="s">
        <v>38</v>
      </c>
      <c r="I2032" t="s">
        <v>96</v>
      </c>
      <c r="J2032" t="s">
        <v>54</v>
      </c>
      <c r="K2032" s="2">
        <v>2.8</v>
      </c>
      <c r="L2032" t="s">
        <v>152</v>
      </c>
      <c r="M2032" t="s">
        <v>29</v>
      </c>
      <c r="N2032" t="s">
        <v>55</v>
      </c>
      <c r="O2032" t="s">
        <v>152</v>
      </c>
      <c r="P2032" t="s">
        <v>152</v>
      </c>
      <c r="Q2032" s="3">
        <v>38</v>
      </c>
      <c r="R2032" t="s">
        <v>27</v>
      </c>
      <c r="S2032" t="s">
        <v>88</v>
      </c>
    </row>
    <row r="2033" spans="1:19" x14ac:dyDescent="0.25">
      <c r="A2033">
        <v>2032</v>
      </c>
      <c r="B2033">
        <v>21</v>
      </c>
      <c r="C2033" t="s">
        <v>19</v>
      </c>
      <c r="D2033" t="s">
        <v>125</v>
      </c>
      <c r="E2033" t="s">
        <v>21</v>
      </c>
      <c r="F2033" s="1">
        <v>51</v>
      </c>
      <c r="G2033" t="s">
        <v>98</v>
      </c>
      <c r="H2033" t="s">
        <v>23</v>
      </c>
      <c r="I2033" t="s">
        <v>63</v>
      </c>
      <c r="J2033" t="s">
        <v>39</v>
      </c>
      <c r="K2033" s="2">
        <v>4</v>
      </c>
      <c r="L2033" t="s">
        <v>152</v>
      </c>
      <c r="M2033" t="s">
        <v>27</v>
      </c>
      <c r="N2033" t="s">
        <v>55</v>
      </c>
      <c r="O2033" t="s">
        <v>152</v>
      </c>
      <c r="P2033" t="s">
        <v>152</v>
      </c>
      <c r="Q2033" s="3">
        <v>2</v>
      </c>
      <c r="R2033" t="s">
        <v>27</v>
      </c>
      <c r="S2033" t="s">
        <v>88</v>
      </c>
    </row>
    <row r="2034" spans="1:19" x14ac:dyDescent="0.25">
      <c r="A2034">
        <v>2033</v>
      </c>
      <c r="B2034">
        <v>46</v>
      </c>
      <c r="C2034" t="s">
        <v>19</v>
      </c>
      <c r="D2034" t="s">
        <v>20</v>
      </c>
      <c r="E2034" t="s">
        <v>21</v>
      </c>
      <c r="F2034" s="1">
        <v>36</v>
      </c>
      <c r="G2034" t="s">
        <v>131</v>
      </c>
      <c r="H2034" t="s">
        <v>45</v>
      </c>
      <c r="I2034" t="s">
        <v>33</v>
      </c>
      <c r="J2034" t="s">
        <v>25</v>
      </c>
      <c r="K2034" s="2">
        <v>4.2</v>
      </c>
      <c r="L2034" t="s">
        <v>152</v>
      </c>
      <c r="M2034" t="s">
        <v>27</v>
      </c>
      <c r="N2034" t="s">
        <v>47</v>
      </c>
      <c r="O2034" t="s">
        <v>152</v>
      </c>
      <c r="P2034" t="s">
        <v>152</v>
      </c>
      <c r="Q2034" s="3">
        <v>13</v>
      </c>
      <c r="R2034" t="s">
        <v>35</v>
      </c>
      <c r="S2034" t="s">
        <v>50</v>
      </c>
    </row>
    <row r="2035" spans="1:19" x14ac:dyDescent="0.25">
      <c r="A2035">
        <v>2034</v>
      </c>
      <c r="B2035">
        <v>57</v>
      </c>
      <c r="C2035" t="s">
        <v>19</v>
      </c>
      <c r="D2035" t="s">
        <v>36</v>
      </c>
      <c r="E2035" t="s">
        <v>21</v>
      </c>
      <c r="F2035" s="1">
        <v>55</v>
      </c>
      <c r="G2035" t="s">
        <v>115</v>
      </c>
      <c r="H2035" t="s">
        <v>23</v>
      </c>
      <c r="I2035" t="s">
        <v>79</v>
      </c>
      <c r="J2035" t="s">
        <v>54</v>
      </c>
      <c r="K2035" s="2">
        <v>3.6</v>
      </c>
      <c r="L2035" t="s">
        <v>152</v>
      </c>
      <c r="M2035" t="s">
        <v>35</v>
      </c>
      <c r="N2035" t="s">
        <v>28</v>
      </c>
      <c r="O2035" t="s">
        <v>152</v>
      </c>
      <c r="P2035" t="s">
        <v>152</v>
      </c>
      <c r="Q2035" s="3">
        <v>33</v>
      </c>
      <c r="R2035" t="s">
        <v>29</v>
      </c>
      <c r="S2035" t="s">
        <v>50</v>
      </c>
    </row>
    <row r="2036" spans="1:19" x14ac:dyDescent="0.25">
      <c r="A2036">
        <v>2035</v>
      </c>
      <c r="B2036">
        <v>61</v>
      </c>
      <c r="C2036" t="s">
        <v>19</v>
      </c>
      <c r="D2036" t="s">
        <v>61</v>
      </c>
      <c r="E2036" t="s">
        <v>21</v>
      </c>
      <c r="F2036" s="1">
        <v>30</v>
      </c>
      <c r="G2036" t="s">
        <v>90</v>
      </c>
      <c r="H2036" t="s">
        <v>45</v>
      </c>
      <c r="I2036" t="s">
        <v>100</v>
      </c>
      <c r="J2036" t="s">
        <v>39</v>
      </c>
      <c r="K2036" s="2">
        <v>2.9</v>
      </c>
      <c r="L2036" t="s">
        <v>152</v>
      </c>
      <c r="M2036" t="s">
        <v>27</v>
      </c>
      <c r="N2036" t="s">
        <v>76</v>
      </c>
      <c r="O2036" t="s">
        <v>152</v>
      </c>
      <c r="P2036" t="s">
        <v>152</v>
      </c>
      <c r="Q2036" s="3">
        <v>27</v>
      </c>
      <c r="R2036" t="s">
        <v>46</v>
      </c>
      <c r="S2036" t="s">
        <v>88</v>
      </c>
    </row>
    <row r="2037" spans="1:19" x14ac:dyDescent="0.25">
      <c r="A2037">
        <v>2036</v>
      </c>
      <c r="B2037">
        <v>53</v>
      </c>
      <c r="C2037" t="s">
        <v>19</v>
      </c>
      <c r="D2037" t="s">
        <v>113</v>
      </c>
      <c r="E2037" t="s">
        <v>21</v>
      </c>
      <c r="F2037" s="1">
        <v>70</v>
      </c>
      <c r="G2037" t="s">
        <v>101</v>
      </c>
      <c r="H2037" t="s">
        <v>38</v>
      </c>
      <c r="I2037" t="s">
        <v>134</v>
      </c>
      <c r="J2037" t="s">
        <v>54</v>
      </c>
      <c r="K2037" s="2">
        <v>4.0999999999999996</v>
      </c>
      <c r="L2037" t="s">
        <v>152</v>
      </c>
      <c r="M2037" t="s">
        <v>29</v>
      </c>
      <c r="N2037" t="s">
        <v>28</v>
      </c>
      <c r="O2037" t="s">
        <v>152</v>
      </c>
      <c r="P2037" t="s">
        <v>152</v>
      </c>
      <c r="Q2037" s="3">
        <v>43</v>
      </c>
      <c r="R2037" t="s">
        <v>34</v>
      </c>
      <c r="S2037" t="s">
        <v>41</v>
      </c>
    </row>
    <row r="2038" spans="1:19" x14ac:dyDescent="0.25">
      <c r="A2038">
        <v>2037</v>
      </c>
      <c r="B2038">
        <v>37</v>
      </c>
      <c r="C2038" t="s">
        <v>19</v>
      </c>
      <c r="D2038" t="s">
        <v>20</v>
      </c>
      <c r="E2038" t="s">
        <v>21</v>
      </c>
      <c r="F2038" s="1">
        <v>63</v>
      </c>
      <c r="G2038" t="s">
        <v>148</v>
      </c>
      <c r="H2038" t="s">
        <v>38</v>
      </c>
      <c r="I2038" t="s">
        <v>93</v>
      </c>
      <c r="J2038" t="s">
        <v>25</v>
      </c>
      <c r="K2038" s="2">
        <v>3.1</v>
      </c>
      <c r="L2038" t="s">
        <v>152</v>
      </c>
      <c r="M2038" t="s">
        <v>46</v>
      </c>
      <c r="N2038" t="s">
        <v>47</v>
      </c>
      <c r="O2038" t="s">
        <v>152</v>
      </c>
      <c r="P2038" t="s">
        <v>152</v>
      </c>
      <c r="Q2038" s="3">
        <v>46</v>
      </c>
      <c r="R2038" t="s">
        <v>35</v>
      </c>
      <c r="S2038" t="s">
        <v>41</v>
      </c>
    </row>
    <row r="2039" spans="1:19" x14ac:dyDescent="0.25">
      <c r="A2039">
        <v>2038</v>
      </c>
      <c r="B2039">
        <v>39</v>
      </c>
      <c r="C2039" t="s">
        <v>19</v>
      </c>
      <c r="D2039" t="s">
        <v>133</v>
      </c>
      <c r="E2039" t="s">
        <v>69</v>
      </c>
      <c r="F2039" s="1">
        <v>87</v>
      </c>
      <c r="G2039" t="s">
        <v>115</v>
      </c>
      <c r="H2039" t="s">
        <v>38</v>
      </c>
      <c r="I2039" t="s">
        <v>96</v>
      </c>
      <c r="J2039" t="s">
        <v>54</v>
      </c>
      <c r="K2039" s="2">
        <v>4.3</v>
      </c>
      <c r="L2039" t="s">
        <v>152</v>
      </c>
      <c r="M2039" t="s">
        <v>35</v>
      </c>
      <c r="N2039" t="s">
        <v>28</v>
      </c>
      <c r="O2039" t="s">
        <v>152</v>
      </c>
      <c r="P2039" t="s">
        <v>152</v>
      </c>
      <c r="Q2039" s="3">
        <v>7</v>
      </c>
      <c r="R2039" t="s">
        <v>29</v>
      </c>
      <c r="S2039" t="s">
        <v>77</v>
      </c>
    </row>
    <row r="2040" spans="1:19" x14ac:dyDescent="0.25">
      <c r="A2040">
        <v>2039</v>
      </c>
      <c r="B2040">
        <v>53</v>
      </c>
      <c r="C2040" t="s">
        <v>19</v>
      </c>
      <c r="D2040" t="s">
        <v>20</v>
      </c>
      <c r="E2040" t="s">
        <v>21</v>
      </c>
      <c r="F2040" s="1">
        <v>70</v>
      </c>
      <c r="G2040" t="s">
        <v>74</v>
      </c>
      <c r="H2040" t="s">
        <v>23</v>
      </c>
      <c r="I2040" t="s">
        <v>121</v>
      </c>
      <c r="J2040" t="s">
        <v>39</v>
      </c>
      <c r="K2040" s="2">
        <v>4.4000000000000004</v>
      </c>
      <c r="L2040" t="s">
        <v>152</v>
      </c>
      <c r="M2040" t="s">
        <v>59</v>
      </c>
      <c r="N2040" t="s">
        <v>47</v>
      </c>
      <c r="O2040" t="s">
        <v>152</v>
      </c>
      <c r="P2040" t="s">
        <v>152</v>
      </c>
      <c r="Q2040" s="3">
        <v>35</v>
      </c>
      <c r="R2040" t="s">
        <v>27</v>
      </c>
      <c r="S2040" t="s">
        <v>30</v>
      </c>
    </row>
    <row r="2041" spans="1:19" x14ac:dyDescent="0.25">
      <c r="A2041">
        <v>2040</v>
      </c>
      <c r="B2041">
        <v>35</v>
      </c>
      <c r="C2041" t="s">
        <v>19</v>
      </c>
      <c r="D2041" t="s">
        <v>113</v>
      </c>
      <c r="E2041" t="s">
        <v>21</v>
      </c>
      <c r="F2041" s="1">
        <v>51</v>
      </c>
      <c r="G2041" t="s">
        <v>148</v>
      </c>
      <c r="H2041" t="s">
        <v>45</v>
      </c>
      <c r="I2041" t="s">
        <v>79</v>
      </c>
      <c r="J2041" t="s">
        <v>39</v>
      </c>
      <c r="K2041" s="2">
        <v>3.1</v>
      </c>
      <c r="L2041" t="s">
        <v>152</v>
      </c>
      <c r="M2041" t="s">
        <v>35</v>
      </c>
      <c r="N2041" t="s">
        <v>47</v>
      </c>
      <c r="O2041" t="s">
        <v>152</v>
      </c>
      <c r="P2041" t="s">
        <v>152</v>
      </c>
      <c r="Q2041" s="3">
        <v>31</v>
      </c>
      <c r="R2041" t="s">
        <v>59</v>
      </c>
      <c r="S2041" t="s">
        <v>77</v>
      </c>
    </row>
    <row r="2042" spans="1:19" x14ac:dyDescent="0.25">
      <c r="A2042">
        <v>2041</v>
      </c>
      <c r="B2042">
        <v>69</v>
      </c>
      <c r="C2042" t="s">
        <v>19</v>
      </c>
      <c r="D2042" t="s">
        <v>106</v>
      </c>
      <c r="E2042" t="s">
        <v>69</v>
      </c>
      <c r="F2042" s="1">
        <v>25</v>
      </c>
      <c r="G2042" t="s">
        <v>131</v>
      </c>
      <c r="H2042" t="s">
        <v>92</v>
      </c>
      <c r="I2042" t="s">
        <v>24</v>
      </c>
      <c r="J2042" t="s">
        <v>39</v>
      </c>
      <c r="K2042" s="2">
        <v>2.9</v>
      </c>
      <c r="L2042" t="s">
        <v>152</v>
      </c>
      <c r="M2042" t="s">
        <v>59</v>
      </c>
      <c r="N2042" t="s">
        <v>40</v>
      </c>
      <c r="O2042" t="s">
        <v>152</v>
      </c>
      <c r="P2042" t="s">
        <v>152</v>
      </c>
      <c r="Q2042" s="3">
        <v>42</v>
      </c>
      <c r="R2042" t="s">
        <v>29</v>
      </c>
      <c r="S2042" t="s">
        <v>60</v>
      </c>
    </row>
    <row r="2043" spans="1:19" x14ac:dyDescent="0.25">
      <c r="A2043">
        <v>2042</v>
      </c>
      <c r="B2043">
        <v>66</v>
      </c>
      <c r="C2043" t="s">
        <v>19</v>
      </c>
      <c r="D2043" t="s">
        <v>102</v>
      </c>
      <c r="E2043" t="s">
        <v>65</v>
      </c>
      <c r="F2043" s="1">
        <v>32</v>
      </c>
      <c r="G2043" t="s">
        <v>85</v>
      </c>
      <c r="H2043" t="s">
        <v>38</v>
      </c>
      <c r="I2043" t="s">
        <v>93</v>
      </c>
      <c r="J2043" t="s">
        <v>25</v>
      </c>
      <c r="K2043" s="2">
        <v>3.2</v>
      </c>
      <c r="L2043" t="s">
        <v>152</v>
      </c>
      <c r="M2043" t="s">
        <v>35</v>
      </c>
      <c r="N2043" t="s">
        <v>47</v>
      </c>
      <c r="O2043" t="s">
        <v>152</v>
      </c>
      <c r="P2043" t="s">
        <v>152</v>
      </c>
      <c r="Q2043" s="3">
        <v>14</v>
      </c>
      <c r="R2043" t="s">
        <v>46</v>
      </c>
      <c r="S2043" t="s">
        <v>77</v>
      </c>
    </row>
    <row r="2044" spans="1:19" x14ac:dyDescent="0.25">
      <c r="A2044">
        <v>2043</v>
      </c>
      <c r="B2044">
        <v>19</v>
      </c>
      <c r="C2044" t="s">
        <v>19</v>
      </c>
      <c r="D2044" t="s">
        <v>73</v>
      </c>
      <c r="E2044" t="s">
        <v>43</v>
      </c>
      <c r="F2044" s="1">
        <v>52</v>
      </c>
      <c r="G2044" t="s">
        <v>90</v>
      </c>
      <c r="H2044" t="s">
        <v>45</v>
      </c>
      <c r="I2044" t="s">
        <v>108</v>
      </c>
      <c r="J2044" t="s">
        <v>39</v>
      </c>
      <c r="K2044" s="2">
        <v>4</v>
      </c>
      <c r="L2044" t="s">
        <v>152</v>
      </c>
      <c r="M2044" t="s">
        <v>27</v>
      </c>
      <c r="N2044" t="s">
        <v>72</v>
      </c>
      <c r="O2044" t="s">
        <v>152</v>
      </c>
      <c r="P2044" t="s">
        <v>152</v>
      </c>
      <c r="Q2044" s="3">
        <v>35</v>
      </c>
      <c r="R2044" t="s">
        <v>29</v>
      </c>
      <c r="S2044" t="s">
        <v>88</v>
      </c>
    </row>
    <row r="2045" spans="1:19" x14ac:dyDescent="0.25">
      <c r="A2045">
        <v>2044</v>
      </c>
      <c r="B2045">
        <v>47</v>
      </c>
      <c r="C2045" t="s">
        <v>19</v>
      </c>
      <c r="D2045" t="s">
        <v>143</v>
      </c>
      <c r="E2045" t="s">
        <v>69</v>
      </c>
      <c r="F2045" s="1">
        <v>33</v>
      </c>
      <c r="G2045" t="s">
        <v>85</v>
      </c>
      <c r="H2045" t="s">
        <v>45</v>
      </c>
      <c r="I2045" t="s">
        <v>63</v>
      </c>
      <c r="J2045" t="s">
        <v>54</v>
      </c>
      <c r="K2045" s="2">
        <v>2.7</v>
      </c>
      <c r="L2045" t="s">
        <v>152</v>
      </c>
      <c r="M2045" t="s">
        <v>46</v>
      </c>
      <c r="N2045" t="s">
        <v>55</v>
      </c>
      <c r="O2045" t="s">
        <v>152</v>
      </c>
      <c r="P2045" t="s">
        <v>152</v>
      </c>
      <c r="Q2045" s="3">
        <v>49</v>
      </c>
      <c r="R2045" t="s">
        <v>46</v>
      </c>
      <c r="S2045" t="s">
        <v>41</v>
      </c>
    </row>
    <row r="2046" spans="1:19" x14ac:dyDescent="0.25">
      <c r="A2046">
        <v>2045</v>
      </c>
      <c r="B2046">
        <v>49</v>
      </c>
      <c r="C2046" t="s">
        <v>19</v>
      </c>
      <c r="D2046" t="s">
        <v>36</v>
      </c>
      <c r="E2046" t="s">
        <v>21</v>
      </c>
      <c r="F2046" s="1">
        <v>68</v>
      </c>
      <c r="G2046" t="s">
        <v>70</v>
      </c>
      <c r="H2046" t="s">
        <v>23</v>
      </c>
      <c r="I2046" t="s">
        <v>121</v>
      </c>
      <c r="J2046" t="s">
        <v>39</v>
      </c>
      <c r="K2046" s="2">
        <v>3</v>
      </c>
      <c r="L2046" t="s">
        <v>152</v>
      </c>
      <c r="M2046" t="s">
        <v>35</v>
      </c>
      <c r="N2046" t="s">
        <v>40</v>
      </c>
      <c r="O2046" t="s">
        <v>152</v>
      </c>
      <c r="P2046" t="s">
        <v>152</v>
      </c>
      <c r="Q2046" s="3">
        <v>17</v>
      </c>
      <c r="R2046" t="s">
        <v>46</v>
      </c>
      <c r="S2046" t="s">
        <v>30</v>
      </c>
    </row>
    <row r="2047" spans="1:19" x14ac:dyDescent="0.25">
      <c r="A2047">
        <v>2046</v>
      </c>
      <c r="B2047">
        <v>31</v>
      </c>
      <c r="C2047" t="s">
        <v>19</v>
      </c>
      <c r="D2047" t="s">
        <v>106</v>
      </c>
      <c r="E2047" t="s">
        <v>69</v>
      </c>
      <c r="F2047" s="1">
        <v>20</v>
      </c>
      <c r="G2047" t="s">
        <v>142</v>
      </c>
      <c r="H2047" t="s">
        <v>45</v>
      </c>
      <c r="I2047" t="s">
        <v>108</v>
      </c>
      <c r="J2047" t="s">
        <v>58</v>
      </c>
      <c r="K2047" s="2">
        <v>4.4000000000000004</v>
      </c>
      <c r="L2047" t="s">
        <v>152</v>
      </c>
      <c r="M2047" t="s">
        <v>46</v>
      </c>
      <c r="N2047" t="s">
        <v>28</v>
      </c>
      <c r="O2047" t="s">
        <v>152</v>
      </c>
      <c r="P2047" t="s">
        <v>152</v>
      </c>
      <c r="Q2047" s="3">
        <v>26</v>
      </c>
      <c r="R2047" t="s">
        <v>46</v>
      </c>
      <c r="S2047" t="s">
        <v>60</v>
      </c>
    </row>
    <row r="2048" spans="1:19" x14ac:dyDescent="0.25">
      <c r="A2048">
        <v>2047</v>
      </c>
      <c r="B2048">
        <v>39</v>
      </c>
      <c r="C2048" t="s">
        <v>19</v>
      </c>
      <c r="D2048" t="s">
        <v>95</v>
      </c>
      <c r="E2048" t="s">
        <v>21</v>
      </c>
      <c r="F2048" s="1">
        <v>32</v>
      </c>
      <c r="G2048" t="s">
        <v>101</v>
      </c>
      <c r="H2048" t="s">
        <v>45</v>
      </c>
      <c r="I2048" t="s">
        <v>33</v>
      </c>
      <c r="J2048" t="s">
        <v>25</v>
      </c>
      <c r="K2048" s="2">
        <v>2.8</v>
      </c>
      <c r="L2048" t="s">
        <v>152</v>
      </c>
      <c r="M2048" t="s">
        <v>34</v>
      </c>
      <c r="N2048" t="s">
        <v>40</v>
      </c>
      <c r="O2048" t="s">
        <v>152</v>
      </c>
      <c r="P2048" t="s">
        <v>152</v>
      </c>
      <c r="Q2048" s="3">
        <v>30</v>
      </c>
      <c r="R2048" t="s">
        <v>35</v>
      </c>
      <c r="S2048" t="s">
        <v>97</v>
      </c>
    </row>
    <row r="2049" spans="1:19" x14ac:dyDescent="0.25">
      <c r="A2049">
        <v>2048</v>
      </c>
      <c r="B2049">
        <v>58</v>
      </c>
      <c r="C2049" t="s">
        <v>19</v>
      </c>
      <c r="D2049" t="s">
        <v>106</v>
      </c>
      <c r="E2049" t="s">
        <v>69</v>
      </c>
      <c r="F2049" s="1">
        <v>82</v>
      </c>
      <c r="G2049" t="s">
        <v>139</v>
      </c>
      <c r="H2049" t="s">
        <v>45</v>
      </c>
      <c r="I2049" t="s">
        <v>67</v>
      </c>
      <c r="J2049" t="s">
        <v>54</v>
      </c>
      <c r="K2049" s="2">
        <v>3.1</v>
      </c>
      <c r="L2049" t="s">
        <v>152</v>
      </c>
      <c r="M2049" t="s">
        <v>35</v>
      </c>
      <c r="N2049" t="s">
        <v>76</v>
      </c>
      <c r="O2049" t="s">
        <v>152</v>
      </c>
      <c r="P2049" t="s">
        <v>152</v>
      </c>
      <c r="Q2049" s="3">
        <v>32</v>
      </c>
      <c r="R2049" t="s">
        <v>35</v>
      </c>
      <c r="S2049" t="s">
        <v>50</v>
      </c>
    </row>
    <row r="2050" spans="1:19" x14ac:dyDescent="0.25">
      <c r="A2050">
        <v>2049</v>
      </c>
      <c r="B2050">
        <v>45</v>
      </c>
      <c r="C2050" t="s">
        <v>19</v>
      </c>
      <c r="D2050" t="s">
        <v>51</v>
      </c>
      <c r="E2050" t="s">
        <v>43</v>
      </c>
      <c r="F2050" s="1">
        <v>64</v>
      </c>
      <c r="G2050" t="s">
        <v>151</v>
      </c>
      <c r="H2050" t="s">
        <v>92</v>
      </c>
      <c r="I2050" t="s">
        <v>71</v>
      </c>
      <c r="J2050" t="s">
        <v>25</v>
      </c>
      <c r="K2050" s="2">
        <v>3.9</v>
      </c>
      <c r="L2050" t="s">
        <v>152</v>
      </c>
      <c r="M2050" t="s">
        <v>27</v>
      </c>
      <c r="N2050" t="s">
        <v>28</v>
      </c>
      <c r="O2050" t="s">
        <v>152</v>
      </c>
      <c r="P2050" t="s">
        <v>152</v>
      </c>
      <c r="Q2050" s="3">
        <v>35</v>
      </c>
      <c r="R2050" t="s">
        <v>34</v>
      </c>
      <c r="S2050" t="s">
        <v>60</v>
      </c>
    </row>
    <row r="2051" spans="1:19" x14ac:dyDescent="0.25">
      <c r="A2051">
        <v>2050</v>
      </c>
      <c r="B2051">
        <v>68</v>
      </c>
      <c r="C2051" t="s">
        <v>19</v>
      </c>
      <c r="D2051" t="s">
        <v>137</v>
      </c>
      <c r="E2051" t="s">
        <v>43</v>
      </c>
      <c r="F2051" s="1">
        <v>24</v>
      </c>
      <c r="G2051" t="s">
        <v>44</v>
      </c>
      <c r="H2051" t="s">
        <v>23</v>
      </c>
      <c r="I2051" t="s">
        <v>144</v>
      </c>
      <c r="J2051" t="s">
        <v>58</v>
      </c>
      <c r="K2051" s="2">
        <v>2.7</v>
      </c>
      <c r="L2051" t="s">
        <v>152</v>
      </c>
      <c r="M2051" t="s">
        <v>59</v>
      </c>
      <c r="N2051" t="s">
        <v>55</v>
      </c>
      <c r="O2051" t="s">
        <v>152</v>
      </c>
      <c r="P2051" t="s">
        <v>152</v>
      </c>
      <c r="Q2051" s="3">
        <v>15</v>
      </c>
      <c r="R2051" t="s">
        <v>29</v>
      </c>
      <c r="S2051" t="s">
        <v>50</v>
      </c>
    </row>
    <row r="2052" spans="1:19" x14ac:dyDescent="0.25">
      <c r="A2052">
        <v>2051</v>
      </c>
      <c r="B2052">
        <v>35</v>
      </c>
      <c r="C2052" t="s">
        <v>19</v>
      </c>
      <c r="D2052" t="s">
        <v>124</v>
      </c>
      <c r="E2052" t="s">
        <v>69</v>
      </c>
      <c r="F2052" s="1">
        <v>96</v>
      </c>
      <c r="G2052" t="s">
        <v>91</v>
      </c>
      <c r="H2052" t="s">
        <v>45</v>
      </c>
      <c r="I2052" t="s">
        <v>86</v>
      </c>
      <c r="J2052" t="s">
        <v>54</v>
      </c>
      <c r="K2052" s="2">
        <v>3.4</v>
      </c>
      <c r="L2052" t="s">
        <v>152</v>
      </c>
      <c r="M2052" t="s">
        <v>27</v>
      </c>
      <c r="N2052" t="s">
        <v>76</v>
      </c>
      <c r="O2052" t="s">
        <v>152</v>
      </c>
      <c r="P2052" t="s">
        <v>152</v>
      </c>
      <c r="Q2052" s="3">
        <v>10</v>
      </c>
      <c r="R2052" t="s">
        <v>59</v>
      </c>
      <c r="S2052" t="s">
        <v>50</v>
      </c>
    </row>
    <row r="2053" spans="1:19" x14ac:dyDescent="0.25">
      <c r="A2053">
        <v>2052</v>
      </c>
      <c r="B2053">
        <v>65</v>
      </c>
      <c r="C2053" t="s">
        <v>19</v>
      </c>
      <c r="D2053" t="s">
        <v>113</v>
      </c>
      <c r="E2053" t="s">
        <v>21</v>
      </c>
      <c r="F2053" s="1">
        <v>94</v>
      </c>
      <c r="G2053" t="s">
        <v>37</v>
      </c>
      <c r="H2053" t="s">
        <v>23</v>
      </c>
      <c r="I2053" t="s">
        <v>94</v>
      </c>
      <c r="J2053" t="s">
        <v>39</v>
      </c>
      <c r="K2053" s="2">
        <v>3.8</v>
      </c>
      <c r="L2053" t="s">
        <v>152</v>
      </c>
      <c r="M2053" t="s">
        <v>35</v>
      </c>
      <c r="N2053" t="s">
        <v>40</v>
      </c>
      <c r="O2053" t="s">
        <v>152</v>
      </c>
      <c r="P2053" t="s">
        <v>152</v>
      </c>
      <c r="Q2053" s="3">
        <v>14</v>
      </c>
      <c r="R2053" t="s">
        <v>27</v>
      </c>
      <c r="S2053" t="s">
        <v>88</v>
      </c>
    </row>
    <row r="2054" spans="1:19" x14ac:dyDescent="0.25">
      <c r="A2054">
        <v>2053</v>
      </c>
      <c r="B2054">
        <v>45</v>
      </c>
      <c r="C2054" t="s">
        <v>19</v>
      </c>
      <c r="D2054" t="s">
        <v>132</v>
      </c>
      <c r="E2054" t="s">
        <v>69</v>
      </c>
      <c r="F2054" s="1">
        <v>48</v>
      </c>
      <c r="G2054" t="s">
        <v>83</v>
      </c>
      <c r="H2054" t="s">
        <v>45</v>
      </c>
      <c r="I2054" t="s">
        <v>24</v>
      </c>
      <c r="J2054" t="s">
        <v>25</v>
      </c>
      <c r="K2054" s="2">
        <v>3.7</v>
      </c>
      <c r="L2054" t="s">
        <v>152</v>
      </c>
      <c r="M2054" t="s">
        <v>46</v>
      </c>
      <c r="N2054" t="s">
        <v>72</v>
      </c>
      <c r="O2054" t="s">
        <v>152</v>
      </c>
      <c r="P2054" t="s">
        <v>152</v>
      </c>
      <c r="Q2054" s="3">
        <v>30</v>
      </c>
      <c r="R2054" t="s">
        <v>34</v>
      </c>
      <c r="S2054" t="s">
        <v>50</v>
      </c>
    </row>
    <row r="2055" spans="1:19" x14ac:dyDescent="0.25">
      <c r="A2055">
        <v>2054</v>
      </c>
      <c r="B2055">
        <v>19</v>
      </c>
      <c r="C2055" t="s">
        <v>19</v>
      </c>
      <c r="D2055" t="s">
        <v>89</v>
      </c>
      <c r="E2055" t="s">
        <v>69</v>
      </c>
      <c r="F2055" s="1">
        <v>60</v>
      </c>
      <c r="G2055" t="s">
        <v>52</v>
      </c>
      <c r="H2055" t="s">
        <v>38</v>
      </c>
      <c r="I2055" t="s">
        <v>75</v>
      </c>
      <c r="J2055" t="s">
        <v>39</v>
      </c>
      <c r="K2055" s="2">
        <v>4.5</v>
      </c>
      <c r="L2055" t="s">
        <v>152</v>
      </c>
      <c r="M2055" t="s">
        <v>34</v>
      </c>
      <c r="N2055" t="s">
        <v>72</v>
      </c>
      <c r="O2055" t="s">
        <v>152</v>
      </c>
      <c r="P2055" t="s">
        <v>152</v>
      </c>
      <c r="Q2055" s="3">
        <v>16</v>
      </c>
      <c r="R2055" t="s">
        <v>27</v>
      </c>
      <c r="S2055" t="s">
        <v>30</v>
      </c>
    </row>
    <row r="2056" spans="1:19" x14ac:dyDescent="0.25">
      <c r="A2056">
        <v>2055</v>
      </c>
      <c r="B2056">
        <v>65</v>
      </c>
      <c r="C2056" t="s">
        <v>19</v>
      </c>
      <c r="D2056" t="s">
        <v>31</v>
      </c>
      <c r="E2056" t="s">
        <v>21</v>
      </c>
      <c r="F2056" s="1">
        <v>56</v>
      </c>
      <c r="G2056" t="s">
        <v>127</v>
      </c>
      <c r="H2056" t="s">
        <v>92</v>
      </c>
      <c r="I2056" t="s">
        <v>81</v>
      </c>
      <c r="J2056" t="s">
        <v>39</v>
      </c>
      <c r="K2056" s="2">
        <v>2.9</v>
      </c>
      <c r="L2056" t="s">
        <v>152</v>
      </c>
      <c r="M2056" t="s">
        <v>46</v>
      </c>
      <c r="N2056" t="s">
        <v>28</v>
      </c>
      <c r="O2056" t="s">
        <v>152</v>
      </c>
      <c r="P2056" t="s">
        <v>152</v>
      </c>
      <c r="Q2056" s="3">
        <v>14</v>
      </c>
      <c r="R2056" t="s">
        <v>46</v>
      </c>
      <c r="S2056" t="s">
        <v>50</v>
      </c>
    </row>
    <row r="2057" spans="1:19" x14ac:dyDescent="0.25">
      <c r="A2057">
        <v>2056</v>
      </c>
      <c r="B2057">
        <v>28</v>
      </c>
      <c r="C2057" t="s">
        <v>19</v>
      </c>
      <c r="D2057" t="s">
        <v>68</v>
      </c>
      <c r="E2057" t="s">
        <v>69</v>
      </c>
      <c r="F2057" s="1">
        <v>33</v>
      </c>
      <c r="G2057" t="s">
        <v>105</v>
      </c>
      <c r="H2057" t="s">
        <v>45</v>
      </c>
      <c r="I2057" t="s">
        <v>67</v>
      </c>
      <c r="J2057" t="s">
        <v>58</v>
      </c>
      <c r="K2057" s="2">
        <v>3.4</v>
      </c>
      <c r="L2057" t="s">
        <v>152</v>
      </c>
      <c r="M2057" t="s">
        <v>59</v>
      </c>
      <c r="N2057" t="s">
        <v>72</v>
      </c>
      <c r="O2057" t="s">
        <v>152</v>
      </c>
      <c r="P2057" t="s">
        <v>152</v>
      </c>
      <c r="Q2057" s="3">
        <v>28</v>
      </c>
      <c r="R2057" t="s">
        <v>34</v>
      </c>
      <c r="S2057" t="s">
        <v>41</v>
      </c>
    </row>
    <row r="2058" spans="1:19" x14ac:dyDescent="0.25">
      <c r="A2058">
        <v>2057</v>
      </c>
      <c r="B2058">
        <v>55</v>
      </c>
      <c r="C2058" t="s">
        <v>19</v>
      </c>
      <c r="D2058" t="s">
        <v>132</v>
      </c>
      <c r="E2058" t="s">
        <v>69</v>
      </c>
      <c r="F2058" s="1">
        <v>46</v>
      </c>
      <c r="G2058" t="s">
        <v>148</v>
      </c>
      <c r="H2058" t="s">
        <v>23</v>
      </c>
      <c r="I2058" t="s">
        <v>144</v>
      </c>
      <c r="J2058" t="s">
        <v>39</v>
      </c>
      <c r="K2058" s="2">
        <v>4.4000000000000004</v>
      </c>
      <c r="L2058" t="s">
        <v>152</v>
      </c>
      <c r="M2058" t="s">
        <v>35</v>
      </c>
      <c r="N2058" t="s">
        <v>72</v>
      </c>
      <c r="O2058" t="s">
        <v>152</v>
      </c>
      <c r="P2058" t="s">
        <v>152</v>
      </c>
      <c r="Q2058" s="3">
        <v>29</v>
      </c>
      <c r="R2058" t="s">
        <v>46</v>
      </c>
      <c r="S2058" t="s">
        <v>88</v>
      </c>
    </row>
    <row r="2059" spans="1:19" x14ac:dyDescent="0.25">
      <c r="A2059">
        <v>2058</v>
      </c>
      <c r="B2059">
        <v>66</v>
      </c>
      <c r="C2059" t="s">
        <v>19</v>
      </c>
      <c r="D2059" t="s">
        <v>125</v>
      </c>
      <c r="E2059" t="s">
        <v>21</v>
      </c>
      <c r="F2059" s="1">
        <v>37</v>
      </c>
      <c r="G2059" t="s">
        <v>147</v>
      </c>
      <c r="H2059" t="s">
        <v>23</v>
      </c>
      <c r="I2059" t="s">
        <v>134</v>
      </c>
      <c r="J2059" t="s">
        <v>39</v>
      </c>
      <c r="K2059" s="2">
        <v>4.2</v>
      </c>
      <c r="L2059" t="s">
        <v>152</v>
      </c>
      <c r="M2059" t="s">
        <v>27</v>
      </c>
      <c r="N2059" t="s">
        <v>55</v>
      </c>
      <c r="O2059" t="s">
        <v>152</v>
      </c>
      <c r="P2059" t="s">
        <v>152</v>
      </c>
      <c r="Q2059" s="3">
        <v>5</v>
      </c>
      <c r="R2059" t="s">
        <v>46</v>
      </c>
      <c r="S2059" t="s">
        <v>97</v>
      </c>
    </row>
    <row r="2060" spans="1:19" x14ac:dyDescent="0.25">
      <c r="A2060">
        <v>2059</v>
      </c>
      <c r="B2060">
        <v>29</v>
      </c>
      <c r="C2060" t="s">
        <v>19</v>
      </c>
      <c r="D2060" t="s">
        <v>56</v>
      </c>
      <c r="E2060" t="s">
        <v>21</v>
      </c>
      <c r="F2060" s="1">
        <v>98</v>
      </c>
      <c r="G2060" t="s">
        <v>149</v>
      </c>
      <c r="H2060" t="s">
        <v>45</v>
      </c>
      <c r="I2060" t="s">
        <v>110</v>
      </c>
      <c r="J2060" t="s">
        <v>25</v>
      </c>
      <c r="K2060" s="2">
        <v>3.3</v>
      </c>
      <c r="L2060" t="s">
        <v>152</v>
      </c>
      <c r="M2060" t="s">
        <v>59</v>
      </c>
      <c r="N2060" t="s">
        <v>76</v>
      </c>
      <c r="O2060" t="s">
        <v>152</v>
      </c>
      <c r="P2060" t="s">
        <v>152</v>
      </c>
      <c r="Q2060" s="3">
        <v>17</v>
      </c>
      <c r="R2060" t="s">
        <v>34</v>
      </c>
      <c r="S2060" t="s">
        <v>60</v>
      </c>
    </row>
    <row r="2061" spans="1:19" x14ac:dyDescent="0.25">
      <c r="A2061">
        <v>2060</v>
      </c>
      <c r="B2061">
        <v>56</v>
      </c>
      <c r="C2061" t="s">
        <v>19</v>
      </c>
      <c r="D2061" t="s">
        <v>61</v>
      </c>
      <c r="E2061" t="s">
        <v>21</v>
      </c>
      <c r="F2061" s="1">
        <v>50</v>
      </c>
      <c r="G2061" t="s">
        <v>99</v>
      </c>
      <c r="H2061" t="s">
        <v>92</v>
      </c>
      <c r="I2061" t="s">
        <v>118</v>
      </c>
      <c r="J2061" t="s">
        <v>39</v>
      </c>
      <c r="K2061" s="2">
        <v>3.7</v>
      </c>
      <c r="L2061" t="s">
        <v>152</v>
      </c>
      <c r="M2061" t="s">
        <v>35</v>
      </c>
      <c r="N2061" t="s">
        <v>28</v>
      </c>
      <c r="O2061" t="s">
        <v>152</v>
      </c>
      <c r="P2061" t="s">
        <v>152</v>
      </c>
      <c r="Q2061" s="3">
        <v>50</v>
      </c>
      <c r="R2061" t="s">
        <v>46</v>
      </c>
      <c r="S2061" t="s">
        <v>41</v>
      </c>
    </row>
    <row r="2062" spans="1:19" x14ac:dyDescent="0.25">
      <c r="A2062">
        <v>2061</v>
      </c>
      <c r="B2062">
        <v>21</v>
      </c>
      <c r="C2062" t="s">
        <v>19</v>
      </c>
      <c r="D2062" t="s">
        <v>133</v>
      </c>
      <c r="E2062" t="s">
        <v>69</v>
      </c>
      <c r="F2062" s="1">
        <v>63</v>
      </c>
      <c r="G2062" t="s">
        <v>150</v>
      </c>
      <c r="H2062" t="s">
        <v>45</v>
      </c>
      <c r="I2062" t="s">
        <v>144</v>
      </c>
      <c r="J2062" t="s">
        <v>58</v>
      </c>
      <c r="K2062" s="2">
        <v>3.2</v>
      </c>
      <c r="L2062" t="s">
        <v>152</v>
      </c>
      <c r="M2062" t="s">
        <v>59</v>
      </c>
      <c r="N2062" t="s">
        <v>47</v>
      </c>
      <c r="O2062" t="s">
        <v>152</v>
      </c>
      <c r="P2062" t="s">
        <v>152</v>
      </c>
      <c r="Q2062" s="3">
        <v>23</v>
      </c>
      <c r="R2062" t="s">
        <v>34</v>
      </c>
      <c r="S2062" t="s">
        <v>60</v>
      </c>
    </row>
    <row r="2063" spans="1:19" x14ac:dyDescent="0.25">
      <c r="A2063">
        <v>2062</v>
      </c>
      <c r="B2063">
        <v>32</v>
      </c>
      <c r="C2063" t="s">
        <v>19</v>
      </c>
      <c r="D2063" t="s">
        <v>31</v>
      </c>
      <c r="E2063" t="s">
        <v>21</v>
      </c>
      <c r="F2063" s="1">
        <v>70</v>
      </c>
      <c r="G2063" t="s">
        <v>151</v>
      </c>
      <c r="H2063" t="s">
        <v>38</v>
      </c>
      <c r="I2063" t="s">
        <v>136</v>
      </c>
      <c r="J2063" t="s">
        <v>54</v>
      </c>
      <c r="K2063" s="2">
        <v>2.6</v>
      </c>
      <c r="L2063" t="s">
        <v>152</v>
      </c>
      <c r="M2063" t="s">
        <v>46</v>
      </c>
      <c r="N2063" t="s">
        <v>76</v>
      </c>
      <c r="O2063" t="s">
        <v>152</v>
      </c>
      <c r="P2063" t="s">
        <v>152</v>
      </c>
      <c r="Q2063" s="3">
        <v>22</v>
      </c>
      <c r="R2063" t="s">
        <v>59</v>
      </c>
      <c r="S2063" t="s">
        <v>50</v>
      </c>
    </row>
    <row r="2064" spans="1:19" x14ac:dyDescent="0.25">
      <c r="A2064">
        <v>2063</v>
      </c>
      <c r="B2064">
        <v>54</v>
      </c>
      <c r="C2064" t="s">
        <v>19</v>
      </c>
      <c r="D2064" t="s">
        <v>64</v>
      </c>
      <c r="E2064" t="s">
        <v>65</v>
      </c>
      <c r="F2064" s="1">
        <v>63</v>
      </c>
      <c r="G2064" t="s">
        <v>131</v>
      </c>
      <c r="H2064" t="s">
        <v>23</v>
      </c>
      <c r="I2064" t="s">
        <v>67</v>
      </c>
      <c r="J2064" t="s">
        <v>58</v>
      </c>
      <c r="K2064" s="2">
        <v>2.8</v>
      </c>
      <c r="L2064" t="s">
        <v>152</v>
      </c>
      <c r="M2064" t="s">
        <v>46</v>
      </c>
      <c r="N2064" t="s">
        <v>55</v>
      </c>
      <c r="O2064" t="s">
        <v>152</v>
      </c>
      <c r="P2064" t="s">
        <v>152</v>
      </c>
      <c r="Q2064" s="3">
        <v>15</v>
      </c>
      <c r="R2064" t="s">
        <v>35</v>
      </c>
      <c r="S2064" t="s">
        <v>60</v>
      </c>
    </row>
    <row r="2065" spans="1:19" x14ac:dyDescent="0.25">
      <c r="A2065">
        <v>2064</v>
      </c>
      <c r="B2065">
        <v>61</v>
      </c>
      <c r="C2065" t="s">
        <v>19</v>
      </c>
      <c r="D2065" t="s">
        <v>61</v>
      </c>
      <c r="E2065" t="s">
        <v>21</v>
      </c>
      <c r="F2065" s="1">
        <v>86</v>
      </c>
      <c r="G2065" t="s">
        <v>116</v>
      </c>
      <c r="H2065" t="s">
        <v>45</v>
      </c>
      <c r="I2065" t="s">
        <v>109</v>
      </c>
      <c r="J2065" t="s">
        <v>58</v>
      </c>
      <c r="K2065" s="2">
        <v>2.9</v>
      </c>
      <c r="L2065" t="s">
        <v>152</v>
      </c>
      <c r="M2065" t="s">
        <v>29</v>
      </c>
      <c r="N2065" t="s">
        <v>55</v>
      </c>
      <c r="O2065" t="s">
        <v>152</v>
      </c>
      <c r="P2065" t="s">
        <v>152</v>
      </c>
      <c r="Q2065" s="3">
        <v>32</v>
      </c>
      <c r="R2065" t="s">
        <v>35</v>
      </c>
      <c r="S2065" t="s">
        <v>88</v>
      </c>
    </row>
    <row r="2066" spans="1:19" x14ac:dyDescent="0.25">
      <c r="A2066">
        <v>2065</v>
      </c>
      <c r="B2066">
        <v>31</v>
      </c>
      <c r="C2066" t="s">
        <v>19</v>
      </c>
      <c r="D2066" t="s">
        <v>73</v>
      </c>
      <c r="E2066" t="s">
        <v>43</v>
      </c>
      <c r="F2066" s="1">
        <v>99</v>
      </c>
      <c r="G2066" t="s">
        <v>74</v>
      </c>
      <c r="H2066" t="s">
        <v>45</v>
      </c>
      <c r="I2066" t="s">
        <v>96</v>
      </c>
      <c r="J2066" t="s">
        <v>54</v>
      </c>
      <c r="K2066" s="2">
        <v>4</v>
      </c>
      <c r="L2066" t="s">
        <v>152</v>
      </c>
      <c r="M2066" t="s">
        <v>34</v>
      </c>
      <c r="N2066" t="s">
        <v>72</v>
      </c>
      <c r="O2066" t="s">
        <v>152</v>
      </c>
      <c r="P2066" t="s">
        <v>152</v>
      </c>
      <c r="Q2066" s="3">
        <v>5</v>
      </c>
      <c r="R2066" t="s">
        <v>34</v>
      </c>
      <c r="S2066" t="s">
        <v>88</v>
      </c>
    </row>
    <row r="2067" spans="1:19" x14ac:dyDescent="0.25">
      <c r="A2067">
        <v>2066</v>
      </c>
      <c r="B2067">
        <v>27</v>
      </c>
      <c r="C2067" t="s">
        <v>19</v>
      </c>
      <c r="D2067" t="s">
        <v>51</v>
      </c>
      <c r="E2067" t="s">
        <v>43</v>
      </c>
      <c r="F2067" s="1">
        <v>40</v>
      </c>
      <c r="G2067" t="s">
        <v>48</v>
      </c>
      <c r="H2067" t="s">
        <v>45</v>
      </c>
      <c r="I2067" t="s">
        <v>144</v>
      </c>
      <c r="J2067" t="s">
        <v>39</v>
      </c>
      <c r="K2067" s="2">
        <v>2.9</v>
      </c>
      <c r="L2067" t="s">
        <v>152</v>
      </c>
      <c r="M2067" t="s">
        <v>46</v>
      </c>
      <c r="N2067" t="s">
        <v>40</v>
      </c>
      <c r="O2067" t="s">
        <v>152</v>
      </c>
      <c r="P2067" t="s">
        <v>152</v>
      </c>
      <c r="Q2067" s="3">
        <v>6</v>
      </c>
      <c r="R2067" t="s">
        <v>34</v>
      </c>
      <c r="S2067" t="s">
        <v>77</v>
      </c>
    </row>
    <row r="2068" spans="1:19" x14ac:dyDescent="0.25">
      <c r="A2068">
        <v>2067</v>
      </c>
      <c r="B2068">
        <v>64</v>
      </c>
      <c r="C2068" t="s">
        <v>19</v>
      </c>
      <c r="D2068" t="s">
        <v>51</v>
      </c>
      <c r="E2068" t="s">
        <v>43</v>
      </c>
      <c r="F2068" s="1">
        <v>92</v>
      </c>
      <c r="G2068" t="s">
        <v>115</v>
      </c>
      <c r="H2068" t="s">
        <v>45</v>
      </c>
      <c r="I2068" t="s">
        <v>79</v>
      </c>
      <c r="J2068" t="s">
        <v>58</v>
      </c>
      <c r="K2068" s="2">
        <v>4.7</v>
      </c>
      <c r="L2068" t="s">
        <v>152</v>
      </c>
      <c r="M2068" t="s">
        <v>27</v>
      </c>
      <c r="N2068" t="s">
        <v>76</v>
      </c>
      <c r="O2068" t="s">
        <v>152</v>
      </c>
      <c r="P2068" t="s">
        <v>152</v>
      </c>
      <c r="Q2068" s="3">
        <v>44</v>
      </c>
      <c r="R2068" t="s">
        <v>59</v>
      </c>
      <c r="S2068" t="s">
        <v>30</v>
      </c>
    </row>
    <row r="2069" spans="1:19" x14ac:dyDescent="0.25">
      <c r="A2069">
        <v>2068</v>
      </c>
      <c r="B2069">
        <v>60</v>
      </c>
      <c r="C2069" t="s">
        <v>19</v>
      </c>
      <c r="D2069" t="s">
        <v>95</v>
      </c>
      <c r="E2069" t="s">
        <v>21</v>
      </c>
      <c r="F2069" s="1">
        <v>21</v>
      </c>
      <c r="G2069" t="s">
        <v>128</v>
      </c>
      <c r="H2069" t="s">
        <v>92</v>
      </c>
      <c r="I2069" t="s">
        <v>118</v>
      </c>
      <c r="J2069" t="s">
        <v>58</v>
      </c>
      <c r="K2069" s="2">
        <v>3.1</v>
      </c>
      <c r="L2069" t="s">
        <v>152</v>
      </c>
      <c r="M2069" t="s">
        <v>35</v>
      </c>
      <c r="N2069" t="s">
        <v>72</v>
      </c>
      <c r="O2069" t="s">
        <v>152</v>
      </c>
      <c r="P2069" t="s">
        <v>152</v>
      </c>
      <c r="Q2069" s="3">
        <v>23</v>
      </c>
      <c r="R2069" t="s">
        <v>35</v>
      </c>
      <c r="S2069" t="s">
        <v>30</v>
      </c>
    </row>
    <row r="2070" spans="1:19" x14ac:dyDescent="0.25">
      <c r="A2070">
        <v>2069</v>
      </c>
      <c r="B2070">
        <v>70</v>
      </c>
      <c r="C2070" t="s">
        <v>19</v>
      </c>
      <c r="D2070" t="s">
        <v>106</v>
      </c>
      <c r="E2070" t="s">
        <v>69</v>
      </c>
      <c r="F2070" s="1">
        <v>81</v>
      </c>
      <c r="G2070" t="s">
        <v>129</v>
      </c>
      <c r="H2070" t="s">
        <v>92</v>
      </c>
      <c r="I2070" t="s">
        <v>94</v>
      </c>
      <c r="J2070" t="s">
        <v>54</v>
      </c>
      <c r="K2070" s="2">
        <v>3.9</v>
      </c>
      <c r="L2070" t="s">
        <v>152</v>
      </c>
      <c r="M2070" t="s">
        <v>27</v>
      </c>
      <c r="N2070" t="s">
        <v>76</v>
      </c>
      <c r="O2070" t="s">
        <v>152</v>
      </c>
      <c r="P2070" t="s">
        <v>152</v>
      </c>
      <c r="Q2070" s="3">
        <v>44</v>
      </c>
      <c r="R2070" t="s">
        <v>29</v>
      </c>
      <c r="S2070" t="s">
        <v>88</v>
      </c>
    </row>
    <row r="2071" spans="1:19" x14ac:dyDescent="0.25">
      <c r="A2071">
        <v>2070</v>
      </c>
      <c r="B2071">
        <v>36</v>
      </c>
      <c r="C2071" t="s">
        <v>19</v>
      </c>
      <c r="D2071" t="s">
        <v>113</v>
      </c>
      <c r="E2071" t="s">
        <v>21</v>
      </c>
      <c r="F2071" s="1">
        <v>82</v>
      </c>
      <c r="G2071" t="s">
        <v>105</v>
      </c>
      <c r="H2071" t="s">
        <v>45</v>
      </c>
      <c r="I2071" t="s">
        <v>126</v>
      </c>
      <c r="J2071" t="s">
        <v>58</v>
      </c>
      <c r="K2071" s="2">
        <v>3.4</v>
      </c>
      <c r="L2071" t="s">
        <v>152</v>
      </c>
      <c r="M2071" t="s">
        <v>35</v>
      </c>
      <c r="N2071" t="s">
        <v>40</v>
      </c>
      <c r="O2071" t="s">
        <v>152</v>
      </c>
      <c r="P2071" t="s">
        <v>152</v>
      </c>
      <c r="Q2071" s="3">
        <v>3</v>
      </c>
      <c r="R2071" t="s">
        <v>59</v>
      </c>
      <c r="S2071" t="s">
        <v>60</v>
      </c>
    </row>
    <row r="2072" spans="1:19" x14ac:dyDescent="0.25">
      <c r="A2072">
        <v>2071</v>
      </c>
      <c r="B2072">
        <v>56</v>
      </c>
      <c r="C2072" t="s">
        <v>19</v>
      </c>
      <c r="D2072" t="s">
        <v>106</v>
      </c>
      <c r="E2072" t="s">
        <v>69</v>
      </c>
      <c r="F2072" s="1">
        <v>88</v>
      </c>
      <c r="G2072" t="s">
        <v>145</v>
      </c>
      <c r="H2072" t="s">
        <v>92</v>
      </c>
      <c r="I2072" t="s">
        <v>108</v>
      </c>
      <c r="J2072" t="s">
        <v>39</v>
      </c>
      <c r="K2072" s="2">
        <v>3.1</v>
      </c>
      <c r="L2072" t="s">
        <v>152</v>
      </c>
      <c r="M2072" t="s">
        <v>35</v>
      </c>
      <c r="N2072" t="s">
        <v>28</v>
      </c>
      <c r="O2072" t="s">
        <v>152</v>
      </c>
      <c r="P2072" t="s">
        <v>152</v>
      </c>
      <c r="Q2072" s="3">
        <v>14</v>
      </c>
      <c r="R2072" t="s">
        <v>35</v>
      </c>
      <c r="S2072" t="s">
        <v>88</v>
      </c>
    </row>
    <row r="2073" spans="1:19" x14ac:dyDescent="0.25">
      <c r="A2073">
        <v>2072</v>
      </c>
      <c r="B2073">
        <v>69</v>
      </c>
      <c r="C2073" t="s">
        <v>19</v>
      </c>
      <c r="D2073" t="s">
        <v>102</v>
      </c>
      <c r="E2073" t="s">
        <v>65</v>
      </c>
      <c r="F2073" s="1">
        <v>100</v>
      </c>
      <c r="G2073" t="s">
        <v>131</v>
      </c>
      <c r="H2073" t="s">
        <v>38</v>
      </c>
      <c r="I2073" t="s">
        <v>134</v>
      </c>
      <c r="J2073" t="s">
        <v>58</v>
      </c>
      <c r="K2073" s="2">
        <v>4.8</v>
      </c>
      <c r="L2073" t="s">
        <v>152</v>
      </c>
      <c r="M2073" t="s">
        <v>59</v>
      </c>
      <c r="N2073" t="s">
        <v>76</v>
      </c>
      <c r="O2073" t="s">
        <v>152</v>
      </c>
      <c r="P2073" t="s">
        <v>152</v>
      </c>
      <c r="Q2073" s="3">
        <v>37</v>
      </c>
      <c r="R2073" t="s">
        <v>46</v>
      </c>
      <c r="S2073" t="s">
        <v>60</v>
      </c>
    </row>
    <row r="2074" spans="1:19" x14ac:dyDescent="0.25">
      <c r="A2074">
        <v>2073</v>
      </c>
      <c r="B2074">
        <v>39</v>
      </c>
      <c r="C2074" t="s">
        <v>19</v>
      </c>
      <c r="D2074" t="s">
        <v>132</v>
      </c>
      <c r="E2074" t="s">
        <v>69</v>
      </c>
      <c r="F2074" s="1">
        <v>66</v>
      </c>
      <c r="G2074" t="s">
        <v>37</v>
      </c>
      <c r="H2074" t="s">
        <v>45</v>
      </c>
      <c r="I2074" t="s">
        <v>118</v>
      </c>
      <c r="J2074" t="s">
        <v>25</v>
      </c>
      <c r="K2074" s="2">
        <v>3.9</v>
      </c>
      <c r="L2074" t="s">
        <v>152</v>
      </c>
      <c r="M2074" t="s">
        <v>27</v>
      </c>
      <c r="N2074" t="s">
        <v>47</v>
      </c>
      <c r="O2074" t="s">
        <v>152</v>
      </c>
      <c r="P2074" t="s">
        <v>152</v>
      </c>
      <c r="Q2074" s="3">
        <v>22</v>
      </c>
      <c r="R2074" t="s">
        <v>34</v>
      </c>
      <c r="S2074" t="s">
        <v>41</v>
      </c>
    </row>
    <row r="2075" spans="1:19" x14ac:dyDescent="0.25">
      <c r="A2075">
        <v>2074</v>
      </c>
      <c r="B2075">
        <v>38</v>
      </c>
      <c r="C2075" t="s">
        <v>19</v>
      </c>
      <c r="D2075" t="s">
        <v>133</v>
      </c>
      <c r="E2075" t="s">
        <v>69</v>
      </c>
      <c r="F2075" s="1">
        <v>25</v>
      </c>
      <c r="G2075" t="s">
        <v>105</v>
      </c>
      <c r="H2075" t="s">
        <v>38</v>
      </c>
      <c r="I2075" t="s">
        <v>96</v>
      </c>
      <c r="J2075" t="s">
        <v>25</v>
      </c>
      <c r="K2075" s="2">
        <v>3.5</v>
      </c>
      <c r="L2075" t="s">
        <v>152</v>
      </c>
      <c r="M2075" t="s">
        <v>59</v>
      </c>
      <c r="N2075" t="s">
        <v>47</v>
      </c>
      <c r="O2075" t="s">
        <v>152</v>
      </c>
      <c r="P2075" t="s">
        <v>152</v>
      </c>
      <c r="Q2075" s="3">
        <v>2</v>
      </c>
      <c r="R2075" t="s">
        <v>46</v>
      </c>
      <c r="S2075" t="s">
        <v>97</v>
      </c>
    </row>
    <row r="2076" spans="1:19" x14ac:dyDescent="0.25">
      <c r="A2076">
        <v>2075</v>
      </c>
      <c r="B2076">
        <v>36</v>
      </c>
      <c r="C2076" t="s">
        <v>19</v>
      </c>
      <c r="D2076" t="s">
        <v>119</v>
      </c>
      <c r="E2076" t="s">
        <v>69</v>
      </c>
      <c r="F2076" s="1">
        <v>53</v>
      </c>
      <c r="G2076" t="s">
        <v>103</v>
      </c>
      <c r="H2076" t="s">
        <v>45</v>
      </c>
      <c r="I2076" t="s">
        <v>53</v>
      </c>
      <c r="J2076" t="s">
        <v>54</v>
      </c>
      <c r="K2076" s="2">
        <v>3.1</v>
      </c>
      <c r="L2076" t="s">
        <v>152</v>
      </c>
      <c r="M2076" t="s">
        <v>27</v>
      </c>
      <c r="N2076" t="s">
        <v>40</v>
      </c>
      <c r="O2076" t="s">
        <v>152</v>
      </c>
      <c r="P2076" t="s">
        <v>152</v>
      </c>
      <c r="Q2076" s="3">
        <v>44</v>
      </c>
      <c r="R2076" t="s">
        <v>59</v>
      </c>
      <c r="S2076" t="s">
        <v>30</v>
      </c>
    </row>
    <row r="2077" spans="1:19" x14ac:dyDescent="0.25">
      <c r="A2077">
        <v>2076</v>
      </c>
      <c r="B2077">
        <v>46</v>
      </c>
      <c r="C2077" t="s">
        <v>19</v>
      </c>
      <c r="D2077" t="s">
        <v>31</v>
      </c>
      <c r="E2077" t="s">
        <v>21</v>
      </c>
      <c r="F2077" s="1">
        <v>28</v>
      </c>
      <c r="G2077" t="s">
        <v>131</v>
      </c>
      <c r="H2077" t="s">
        <v>38</v>
      </c>
      <c r="I2077" t="s">
        <v>49</v>
      </c>
      <c r="J2077" t="s">
        <v>58</v>
      </c>
      <c r="K2077" s="2">
        <v>4.7</v>
      </c>
      <c r="L2077" t="s">
        <v>152</v>
      </c>
      <c r="M2077" t="s">
        <v>34</v>
      </c>
      <c r="N2077" t="s">
        <v>28</v>
      </c>
      <c r="O2077" t="s">
        <v>152</v>
      </c>
      <c r="P2077" t="s">
        <v>152</v>
      </c>
      <c r="Q2077" s="3">
        <v>49</v>
      </c>
      <c r="R2077" t="s">
        <v>59</v>
      </c>
      <c r="S2077" t="s">
        <v>88</v>
      </c>
    </row>
    <row r="2078" spans="1:19" x14ac:dyDescent="0.25">
      <c r="A2078">
        <v>2077</v>
      </c>
      <c r="B2078">
        <v>59</v>
      </c>
      <c r="C2078" t="s">
        <v>19</v>
      </c>
      <c r="D2078" t="s">
        <v>143</v>
      </c>
      <c r="E2078" t="s">
        <v>69</v>
      </c>
      <c r="F2078" s="1">
        <v>23</v>
      </c>
      <c r="G2078" t="s">
        <v>103</v>
      </c>
      <c r="H2078" t="s">
        <v>38</v>
      </c>
      <c r="I2078" t="s">
        <v>126</v>
      </c>
      <c r="J2078" t="s">
        <v>58</v>
      </c>
      <c r="K2078" s="2">
        <v>4.5999999999999996</v>
      </c>
      <c r="L2078" t="s">
        <v>152</v>
      </c>
      <c r="M2078" t="s">
        <v>35</v>
      </c>
      <c r="N2078" t="s">
        <v>40</v>
      </c>
      <c r="O2078" t="s">
        <v>152</v>
      </c>
      <c r="P2078" t="s">
        <v>152</v>
      </c>
      <c r="Q2078" s="3">
        <v>22</v>
      </c>
      <c r="R2078" t="s">
        <v>59</v>
      </c>
      <c r="S2078" t="s">
        <v>77</v>
      </c>
    </row>
    <row r="2079" spans="1:19" x14ac:dyDescent="0.25">
      <c r="A2079">
        <v>2078</v>
      </c>
      <c r="B2079">
        <v>64</v>
      </c>
      <c r="C2079" t="s">
        <v>19</v>
      </c>
      <c r="D2079" t="s">
        <v>119</v>
      </c>
      <c r="E2079" t="s">
        <v>69</v>
      </c>
      <c r="F2079" s="1">
        <v>34</v>
      </c>
      <c r="G2079" t="s">
        <v>145</v>
      </c>
      <c r="H2079" t="s">
        <v>23</v>
      </c>
      <c r="I2079" t="s">
        <v>121</v>
      </c>
      <c r="J2079" t="s">
        <v>58</v>
      </c>
      <c r="K2079" s="2">
        <v>3.3</v>
      </c>
      <c r="L2079" t="s">
        <v>152</v>
      </c>
      <c r="M2079" t="s">
        <v>34</v>
      </c>
      <c r="N2079" t="s">
        <v>40</v>
      </c>
      <c r="O2079" t="s">
        <v>152</v>
      </c>
      <c r="P2079" t="s">
        <v>152</v>
      </c>
      <c r="Q2079" s="3">
        <v>26</v>
      </c>
      <c r="R2079" t="s">
        <v>34</v>
      </c>
      <c r="S2079" t="s">
        <v>50</v>
      </c>
    </row>
    <row r="2080" spans="1:19" x14ac:dyDescent="0.25">
      <c r="A2080">
        <v>2079</v>
      </c>
      <c r="B2080">
        <v>49</v>
      </c>
      <c r="C2080" t="s">
        <v>19</v>
      </c>
      <c r="D2080" t="s">
        <v>82</v>
      </c>
      <c r="E2080" t="s">
        <v>21</v>
      </c>
      <c r="F2080" s="1">
        <v>42</v>
      </c>
      <c r="G2080" t="s">
        <v>78</v>
      </c>
      <c r="H2080" t="s">
        <v>45</v>
      </c>
      <c r="I2080" t="s">
        <v>144</v>
      </c>
      <c r="J2080" t="s">
        <v>39</v>
      </c>
      <c r="K2080" s="2">
        <v>3.2</v>
      </c>
      <c r="L2080" t="s">
        <v>152</v>
      </c>
      <c r="M2080" t="s">
        <v>29</v>
      </c>
      <c r="N2080" t="s">
        <v>47</v>
      </c>
      <c r="O2080" t="s">
        <v>152</v>
      </c>
      <c r="P2080" t="s">
        <v>152</v>
      </c>
      <c r="Q2080" s="3">
        <v>40</v>
      </c>
      <c r="R2080" t="s">
        <v>59</v>
      </c>
      <c r="S2080" t="s">
        <v>41</v>
      </c>
    </row>
    <row r="2081" spans="1:19" x14ac:dyDescent="0.25">
      <c r="A2081">
        <v>2080</v>
      </c>
      <c r="B2081">
        <v>32</v>
      </c>
      <c r="C2081" t="s">
        <v>19</v>
      </c>
      <c r="D2081" t="s">
        <v>36</v>
      </c>
      <c r="E2081" t="s">
        <v>21</v>
      </c>
      <c r="F2081" s="1">
        <v>24</v>
      </c>
      <c r="G2081" t="s">
        <v>57</v>
      </c>
      <c r="H2081" t="s">
        <v>23</v>
      </c>
      <c r="I2081" t="s">
        <v>84</v>
      </c>
      <c r="J2081" t="s">
        <v>54</v>
      </c>
      <c r="K2081" s="2">
        <v>3.1</v>
      </c>
      <c r="L2081" t="s">
        <v>152</v>
      </c>
      <c r="M2081" t="s">
        <v>59</v>
      </c>
      <c r="N2081" t="s">
        <v>47</v>
      </c>
      <c r="O2081" t="s">
        <v>152</v>
      </c>
      <c r="P2081" t="s">
        <v>152</v>
      </c>
      <c r="Q2081" s="3">
        <v>16</v>
      </c>
      <c r="R2081" t="s">
        <v>46</v>
      </c>
      <c r="S2081" t="s">
        <v>60</v>
      </c>
    </row>
    <row r="2082" spans="1:19" x14ac:dyDescent="0.25">
      <c r="A2082">
        <v>2081</v>
      </c>
      <c r="B2082">
        <v>29</v>
      </c>
      <c r="C2082" t="s">
        <v>19</v>
      </c>
      <c r="D2082" t="s">
        <v>89</v>
      </c>
      <c r="E2082" t="s">
        <v>69</v>
      </c>
      <c r="F2082" s="1">
        <v>47</v>
      </c>
      <c r="G2082" t="s">
        <v>147</v>
      </c>
      <c r="H2082" t="s">
        <v>38</v>
      </c>
      <c r="I2082" t="s">
        <v>24</v>
      </c>
      <c r="J2082" t="s">
        <v>58</v>
      </c>
      <c r="K2082" s="2">
        <v>3.5</v>
      </c>
      <c r="L2082" t="s">
        <v>152</v>
      </c>
      <c r="M2082" t="s">
        <v>27</v>
      </c>
      <c r="N2082" t="s">
        <v>40</v>
      </c>
      <c r="O2082" t="s">
        <v>152</v>
      </c>
      <c r="P2082" t="s">
        <v>152</v>
      </c>
      <c r="Q2082" s="3">
        <v>17</v>
      </c>
      <c r="R2082" t="s">
        <v>59</v>
      </c>
      <c r="S2082" t="s">
        <v>77</v>
      </c>
    </row>
    <row r="2083" spans="1:19" x14ac:dyDescent="0.25">
      <c r="A2083">
        <v>2082</v>
      </c>
      <c r="B2083">
        <v>24</v>
      </c>
      <c r="C2083" t="s">
        <v>19</v>
      </c>
      <c r="D2083" t="s">
        <v>64</v>
      </c>
      <c r="E2083" t="s">
        <v>65</v>
      </c>
      <c r="F2083" s="1">
        <v>78</v>
      </c>
      <c r="G2083" t="s">
        <v>90</v>
      </c>
      <c r="H2083" t="s">
        <v>38</v>
      </c>
      <c r="I2083" t="s">
        <v>109</v>
      </c>
      <c r="J2083" t="s">
        <v>39</v>
      </c>
      <c r="K2083" s="2">
        <v>4.3</v>
      </c>
      <c r="L2083" t="s">
        <v>152</v>
      </c>
      <c r="M2083" t="s">
        <v>27</v>
      </c>
      <c r="N2083" t="s">
        <v>55</v>
      </c>
      <c r="O2083" t="s">
        <v>152</v>
      </c>
      <c r="P2083" t="s">
        <v>152</v>
      </c>
      <c r="Q2083" s="3">
        <v>48</v>
      </c>
      <c r="R2083" t="s">
        <v>34</v>
      </c>
      <c r="S2083" t="s">
        <v>77</v>
      </c>
    </row>
    <row r="2084" spans="1:19" x14ac:dyDescent="0.25">
      <c r="A2084">
        <v>2083</v>
      </c>
      <c r="B2084">
        <v>41</v>
      </c>
      <c r="C2084" t="s">
        <v>19</v>
      </c>
      <c r="D2084" t="s">
        <v>36</v>
      </c>
      <c r="E2084" t="s">
        <v>21</v>
      </c>
      <c r="F2084" s="1">
        <v>89</v>
      </c>
      <c r="G2084" t="s">
        <v>74</v>
      </c>
      <c r="H2084" t="s">
        <v>45</v>
      </c>
      <c r="I2084" t="s">
        <v>134</v>
      </c>
      <c r="J2084" t="s">
        <v>54</v>
      </c>
      <c r="K2084" s="2">
        <v>2.9</v>
      </c>
      <c r="L2084" t="s">
        <v>152</v>
      </c>
      <c r="M2084" t="s">
        <v>35</v>
      </c>
      <c r="N2084" t="s">
        <v>40</v>
      </c>
      <c r="O2084" t="s">
        <v>152</v>
      </c>
      <c r="P2084" t="s">
        <v>152</v>
      </c>
      <c r="Q2084" s="3">
        <v>28</v>
      </c>
      <c r="R2084" t="s">
        <v>29</v>
      </c>
      <c r="S2084" t="s">
        <v>97</v>
      </c>
    </row>
    <row r="2085" spans="1:19" x14ac:dyDescent="0.25">
      <c r="A2085">
        <v>2084</v>
      </c>
      <c r="B2085">
        <v>41</v>
      </c>
      <c r="C2085" t="s">
        <v>19</v>
      </c>
      <c r="D2085" t="s">
        <v>119</v>
      </c>
      <c r="E2085" t="s">
        <v>69</v>
      </c>
      <c r="F2085" s="1">
        <v>59</v>
      </c>
      <c r="G2085" t="s">
        <v>91</v>
      </c>
      <c r="H2085" t="s">
        <v>23</v>
      </c>
      <c r="I2085" t="s">
        <v>121</v>
      </c>
      <c r="J2085" t="s">
        <v>58</v>
      </c>
      <c r="K2085" s="2">
        <v>2.7</v>
      </c>
      <c r="L2085" t="s">
        <v>152</v>
      </c>
      <c r="M2085" t="s">
        <v>27</v>
      </c>
      <c r="N2085" t="s">
        <v>76</v>
      </c>
      <c r="O2085" t="s">
        <v>152</v>
      </c>
      <c r="P2085" t="s">
        <v>152</v>
      </c>
      <c r="Q2085" s="3">
        <v>26</v>
      </c>
      <c r="R2085" t="s">
        <v>27</v>
      </c>
      <c r="S2085" t="s">
        <v>30</v>
      </c>
    </row>
    <row r="2086" spans="1:19" x14ac:dyDescent="0.25">
      <c r="A2086">
        <v>2085</v>
      </c>
      <c r="B2086">
        <v>32</v>
      </c>
      <c r="C2086" t="s">
        <v>19</v>
      </c>
      <c r="D2086" t="s">
        <v>20</v>
      </c>
      <c r="E2086" t="s">
        <v>21</v>
      </c>
      <c r="F2086" s="1">
        <v>94</v>
      </c>
      <c r="G2086" t="s">
        <v>129</v>
      </c>
      <c r="H2086" t="s">
        <v>38</v>
      </c>
      <c r="I2086" t="s">
        <v>110</v>
      </c>
      <c r="J2086" t="s">
        <v>54</v>
      </c>
      <c r="K2086" s="2">
        <v>4</v>
      </c>
      <c r="L2086" t="s">
        <v>152</v>
      </c>
      <c r="M2086" t="s">
        <v>34</v>
      </c>
      <c r="N2086" t="s">
        <v>55</v>
      </c>
      <c r="O2086" t="s">
        <v>152</v>
      </c>
      <c r="P2086" t="s">
        <v>152</v>
      </c>
      <c r="Q2086" s="3">
        <v>43</v>
      </c>
      <c r="R2086" t="s">
        <v>34</v>
      </c>
      <c r="S2086" t="s">
        <v>60</v>
      </c>
    </row>
    <row r="2087" spans="1:19" x14ac:dyDescent="0.25">
      <c r="A2087">
        <v>2086</v>
      </c>
      <c r="B2087">
        <v>69</v>
      </c>
      <c r="C2087" t="s">
        <v>19</v>
      </c>
      <c r="D2087" t="s">
        <v>36</v>
      </c>
      <c r="E2087" t="s">
        <v>21</v>
      </c>
      <c r="F2087" s="1">
        <v>49</v>
      </c>
      <c r="G2087" t="s">
        <v>85</v>
      </c>
      <c r="H2087" t="s">
        <v>45</v>
      </c>
      <c r="I2087" t="s">
        <v>86</v>
      </c>
      <c r="J2087" t="s">
        <v>58</v>
      </c>
      <c r="K2087" s="2">
        <v>4.5999999999999996</v>
      </c>
      <c r="L2087" t="s">
        <v>152</v>
      </c>
      <c r="M2087" t="s">
        <v>35</v>
      </c>
      <c r="N2087" t="s">
        <v>40</v>
      </c>
      <c r="O2087" t="s">
        <v>152</v>
      </c>
      <c r="P2087" t="s">
        <v>152</v>
      </c>
      <c r="Q2087" s="3">
        <v>38</v>
      </c>
      <c r="R2087" t="s">
        <v>59</v>
      </c>
      <c r="S2087" t="s">
        <v>41</v>
      </c>
    </row>
    <row r="2088" spans="1:19" x14ac:dyDescent="0.25">
      <c r="A2088">
        <v>2087</v>
      </c>
      <c r="B2088">
        <v>65</v>
      </c>
      <c r="C2088" t="s">
        <v>19</v>
      </c>
      <c r="D2088" t="s">
        <v>82</v>
      </c>
      <c r="E2088" t="s">
        <v>21</v>
      </c>
      <c r="F2088" s="1">
        <v>89</v>
      </c>
      <c r="G2088" t="s">
        <v>114</v>
      </c>
      <c r="H2088" t="s">
        <v>23</v>
      </c>
      <c r="I2088" t="s">
        <v>118</v>
      </c>
      <c r="J2088" t="s">
        <v>54</v>
      </c>
      <c r="K2088" s="2">
        <v>4.7</v>
      </c>
      <c r="L2088" t="s">
        <v>152</v>
      </c>
      <c r="M2088" t="s">
        <v>27</v>
      </c>
      <c r="N2088" t="s">
        <v>72</v>
      </c>
      <c r="O2088" t="s">
        <v>152</v>
      </c>
      <c r="P2088" t="s">
        <v>152</v>
      </c>
      <c r="Q2088" s="3">
        <v>36</v>
      </c>
      <c r="R2088" t="s">
        <v>35</v>
      </c>
      <c r="S2088" t="s">
        <v>97</v>
      </c>
    </row>
    <row r="2089" spans="1:19" x14ac:dyDescent="0.25">
      <c r="A2089">
        <v>2088</v>
      </c>
      <c r="B2089">
        <v>54</v>
      </c>
      <c r="C2089" t="s">
        <v>19</v>
      </c>
      <c r="D2089" t="s">
        <v>124</v>
      </c>
      <c r="E2089" t="s">
        <v>69</v>
      </c>
      <c r="F2089" s="1">
        <v>91</v>
      </c>
      <c r="G2089" t="s">
        <v>150</v>
      </c>
      <c r="H2089" t="s">
        <v>45</v>
      </c>
      <c r="I2089" t="s">
        <v>144</v>
      </c>
      <c r="J2089" t="s">
        <v>54</v>
      </c>
      <c r="K2089" s="2">
        <v>4.7</v>
      </c>
      <c r="L2089" t="s">
        <v>152</v>
      </c>
      <c r="M2089" t="s">
        <v>27</v>
      </c>
      <c r="N2089" t="s">
        <v>55</v>
      </c>
      <c r="O2089" t="s">
        <v>152</v>
      </c>
      <c r="P2089" t="s">
        <v>152</v>
      </c>
      <c r="Q2089" s="3">
        <v>1</v>
      </c>
      <c r="R2089" t="s">
        <v>27</v>
      </c>
      <c r="S2089" t="s">
        <v>41</v>
      </c>
    </row>
    <row r="2090" spans="1:19" x14ac:dyDescent="0.25">
      <c r="A2090">
        <v>2089</v>
      </c>
      <c r="B2090">
        <v>39</v>
      </c>
      <c r="C2090" t="s">
        <v>19</v>
      </c>
      <c r="D2090" t="s">
        <v>42</v>
      </c>
      <c r="E2090" t="s">
        <v>43</v>
      </c>
      <c r="F2090" s="1">
        <v>89</v>
      </c>
      <c r="G2090" t="s">
        <v>99</v>
      </c>
      <c r="H2090" t="s">
        <v>23</v>
      </c>
      <c r="I2090" t="s">
        <v>121</v>
      </c>
      <c r="J2090" t="s">
        <v>39</v>
      </c>
      <c r="K2090" s="2">
        <v>4</v>
      </c>
      <c r="L2090" t="s">
        <v>152</v>
      </c>
      <c r="M2090" t="s">
        <v>35</v>
      </c>
      <c r="N2090" t="s">
        <v>55</v>
      </c>
      <c r="O2090" t="s">
        <v>152</v>
      </c>
      <c r="P2090" t="s">
        <v>152</v>
      </c>
      <c r="Q2090" s="3">
        <v>49</v>
      </c>
      <c r="R2090" t="s">
        <v>59</v>
      </c>
      <c r="S2090" t="s">
        <v>50</v>
      </c>
    </row>
    <row r="2091" spans="1:19" x14ac:dyDescent="0.25">
      <c r="A2091">
        <v>2090</v>
      </c>
      <c r="B2091">
        <v>37</v>
      </c>
      <c r="C2091" t="s">
        <v>19</v>
      </c>
      <c r="D2091" t="s">
        <v>102</v>
      </c>
      <c r="E2091" t="s">
        <v>65</v>
      </c>
      <c r="F2091" s="1">
        <v>57</v>
      </c>
      <c r="G2091" t="s">
        <v>128</v>
      </c>
      <c r="H2091" t="s">
        <v>23</v>
      </c>
      <c r="I2091" t="s">
        <v>81</v>
      </c>
      <c r="J2091" t="s">
        <v>39</v>
      </c>
      <c r="K2091" s="2">
        <v>3.6</v>
      </c>
      <c r="L2091" t="s">
        <v>152</v>
      </c>
      <c r="M2091" t="s">
        <v>35</v>
      </c>
      <c r="N2091" t="s">
        <v>40</v>
      </c>
      <c r="O2091" t="s">
        <v>152</v>
      </c>
      <c r="P2091" t="s">
        <v>152</v>
      </c>
      <c r="Q2091" s="3">
        <v>41</v>
      </c>
      <c r="R2091" t="s">
        <v>27</v>
      </c>
      <c r="S2091" t="s">
        <v>97</v>
      </c>
    </row>
    <row r="2092" spans="1:19" x14ac:dyDescent="0.25">
      <c r="A2092">
        <v>2091</v>
      </c>
      <c r="B2092">
        <v>51</v>
      </c>
      <c r="C2092" t="s">
        <v>19</v>
      </c>
      <c r="D2092" t="s">
        <v>125</v>
      </c>
      <c r="E2092" t="s">
        <v>21</v>
      </c>
      <c r="F2092" s="1">
        <v>71</v>
      </c>
      <c r="G2092" t="s">
        <v>37</v>
      </c>
      <c r="H2092" t="s">
        <v>38</v>
      </c>
      <c r="I2092" t="s">
        <v>86</v>
      </c>
      <c r="J2092" t="s">
        <v>25</v>
      </c>
      <c r="K2092" s="2">
        <v>3.4</v>
      </c>
      <c r="L2092" t="s">
        <v>152</v>
      </c>
      <c r="M2092" t="s">
        <v>59</v>
      </c>
      <c r="N2092" t="s">
        <v>40</v>
      </c>
      <c r="O2092" t="s">
        <v>152</v>
      </c>
      <c r="P2092" t="s">
        <v>152</v>
      </c>
      <c r="Q2092" s="3">
        <v>21</v>
      </c>
      <c r="R2092" t="s">
        <v>59</v>
      </c>
      <c r="S2092" t="s">
        <v>88</v>
      </c>
    </row>
    <row r="2093" spans="1:19" x14ac:dyDescent="0.25">
      <c r="A2093">
        <v>2092</v>
      </c>
      <c r="B2093">
        <v>26</v>
      </c>
      <c r="C2093" t="s">
        <v>19</v>
      </c>
      <c r="D2093" t="s">
        <v>36</v>
      </c>
      <c r="E2093" t="s">
        <v>21</v>
      </c>
      <c r="F2093" s="1">
        <v>97</v>
      </c>
      <c r="G2093" t="s">
        <v>149</v>
      </c>
      <c r="H2093" t="s">
        <v>92</v>
      </c>
      <c r="I2093" t="s">
        <v>118</v>
      </c>
      <c r="J2093" t="s">
        <v>58</v>
      </c>
      <c r="K2093" s="2">
        <v>3</v>
      </c>
      <c r="L2093" t="s">
        <v>152</v>
      </c>
      <c r="M2093" t="s">
        <v>46</v>
      </c>
      <c r="N2093" t="s">
        <v>47</v>
      </c>
      <c r="O2093" t="s">
        <v>152</v>
      </c>
      <c r="P2093" t="s">
        <v>152</v>
      </c>
      <c r="Q2093" s="3">
        <v>24</v>
      </c>
      <c r="R2093" t="s">
        <v>34</v>
      </c>
      <c r="S2093" t="s">
        <v>60</v>
      </c>
    </row>
    <row r="2094" spans="1:19" x14ac:dyDescent="0.25">
      <c r="A2094">
        <v>2093</v>
      </c>
      <c r="B2094">
        <v>42</v>
      </c>
      <c r="C2094" t="s">
        <v>19</v>
      </c>
      <c r="D2094" t="s">
        <v>42</v>
      </c>
      <c r="E2094" t="s">
        <v>43</v>
      </c>
      <c r="F2094" s="1">
        <v>45</v>
      </c>
      <c r="G2094" t="s">
        <v>148</v>
      </c>
      <c r="H2094" t="s">
        <v>45</v>
      </c>
      <c r="I2094" t="s">
        <v>67</v>
      </c>
      <c r="J2094" t="s">
        <v>58</v>
      </c>
      <c r="K2094" s="2">
        <v>2.6</v>
      </c>
      <c r="L2094" t="s">
        <v>152</v>
      </c>
      <c r="M2094" t="s">
        <v>34</v>
      </c>
      <c r="N2094" t="s">
        <v>47</v>
      </c>
      <c r="O2094" t="s">
        <v>152</v>
      </c>
      <c r="P2094" t="s">
        <v>152</v>
      </c>
      <c r="Q2094" s="3">
        <v>27</v>
      </c>
      <c r="R2094" t="s">
        <v>34</v>
      </c>
      <c r="S2094" t="s">
        <v>41</v>
      </c>
    </row>
    <row r="2095" spans="1:19" x14ac:dyDescent="0.25">
      <c r="A2095">
        <v>2094</v>
      </c>
      <c r="B2095">
        <v>21</v>
      </c>
      <c r="C2095" t="s">
        <v>19</v>
      </c>
      <c r="D2095" t="s">
        <v>82</v>
      </c>
      <c r="E2095" t="s">
        <v>21</v>
      </c>
      <c r="F2095" s="1">
        <v>91</v>
      </c>
      <c r="G2095" t="s">
        <v>149</v>
      </c>
      <c r="H2095" t="s">
        <v>45</v>
      </c>
      <c r="I2095" t="s">
        <v>33</v>
      </c>
      <c r="J2095" t="s">
        <v>39</v>
      </c>
      <c r="K2095" s="2">
        <v>4.2</v>
      </c>
      <c r="L2095" t="s">
        <v>152</v>
      </c>
      <c r="M2095" t="s">
        <v>29</v>
      </c>
      <c r="N2095" t="s">
        <v>76</v>
      </c>
      <c r="O2095" t="s">
        <v>152</v>
      </c>
      <c r="P2095" t="s">
        <v>152</v>
      </c>
      <c r="Q2095" s="3">
        <v>4</v>
      </c>
      <c r="R2095" t="s">
        <v>59</v>
      </c>
      <c r="S2095" t="s">
        <v>50</v>
      </c>
    </row>
    <row r="2096" spans="1:19" x14ac:dyDescent="0.25">
      <c r="A2096">
        <v>2095</v>
      </c>
      <c r="B2096">
        <v>53</v>
      </c>
      <c r="C2096" t="s">
        <v>19</v>
      </c>
      <c r="D2096" t="s">
        <v>125</v>
      </c>
      <c r="E2096" t="s">
        <v>21</v>
      </c>
      <c r="F2096" s="1">
        <v>25</v>
      </c>
      <c r="G2096" t="s">
        <v>131</v>
      </c>
      <c r="H2096" t="s">
        <v>45</v>
      </c>
      <c r="I2096" t="s">
        <v>126</v>
      </c>
      <c r="J2096" t="s">
        <v>39</v>
      </c>
      <c r="K2096" s="2">
        <v>3.4</v>
      </c>
      <c r="L2096" t="s">
        <v>152</v>
      </c>
      <c r="M2096" t="s">
        <v>34</v>
      </c>
      <c r="N2096" t="s">
        <v>55</v>
      </c>
      <c r="O2096" t="s">
        <v>152</v>
      </c>
      <c r="P2096" t="s">
        <v>152</v>
      </c>
      <c r="Q2096" s="3">
        <v>19</v>
      </c>
      <c r="R2096" t="s">
        <v>29</v>
      </c>
      <c r="S2096" t="s">
        <v>50</v>
      </c>
    </row>
    <row r="2097" spans="1:19" x14ac:dyDescent="0.25">
      <c r="A2097">
        <v>2096</v>
      </c>
      <c r="B2097">
        <v>36</v>
      </c>
      <c r="C2097" t="s">
        <v>19</v>
      </c>
      <c r="D2097" t="s">
        <v>104</v>
      </c>
      <c r="E2097" t="s">
        <v>21</v>
      </c>
      <c r="F2097" s="1">
        <v>63</v>
      </c>
      <c r="G2097" t="s">
        <v>130</v>
      </c>
      <c r="H2097" t="s">
        <v>45</v>
      </c>
      <c r="I2097" t="s">
        <v>24</v>
      </c>
      <c r="J2097" t="s">
        <v>58</v>
      </c>
      <c r="K2097" s="2">
        <v>4</v>
      </c>
      <c r="L2097" t="s">
        <v>152</v>
      </c>
      <c r="M2097" t="s">
        <v>27</v>
      </c>
      <c r="N2097" t="s">
        <v>76</v>
      </c>
      <c r="O2097" t="s">
        <v>152</v>
      </c>
      <c r="P2097" t="s">
        <v>152</v>
      </c>
      <c r="Q2097" s="3">
        <v>1</v>
      </c>
      <c r="R2097" t="s">
        <v>34</v>
      </c>
      <c r="S2097" t="s">
        <v>30</v>
      </c>
    </row>
    <row r="2098" spans="1:19" x14ac:dyDescent="0.25">
      <c r="A2098">
        <v>2097</v>
      </c>
      <c r="B2098">
        <v>21</v>
      </c>
      <c r="C2098" t="s">
        <v>19</v>
      </c>
      <c r="D2098" t="s">
        <v>82</v>
      </c>
      <c r="E2098" t="s">
        <v>21</v>
      </c>
      <c r="F2098" s="1">
        <v>52</v>
      </c>
      <c r="G2098" t="s">
        <v>98</v>
      </c>
      <c r="H2098" t="s">
        <v>23</v>
      </c>
      <c r="I2098" t="s">
        <v>144</v>
      </c>
      <c r="J2098" t="s">
        <v>54</v>
      </c>
      <c r="K2098" s="2">
        <v>4.7</v>
      </c>
      <c r="L2098" t="s">
        <v>152</v>
      </c>
      <c r="M2098" t="s">
        <v>59</v>
      </c>
      <c r="N2098" t="s">
        <v>40</v>
      </c>
      <c r="O2098" t="s">
        <v>152</v>
      </c>
      <c r="P2098" t="s">
        <v>152</v>
      </c>
      <c r="Q2098" s="3">
        <v>27</v>
      </c>
      <c r="R2098" t="s">
        <v>59</v>
      </c>
      <c r="S2098" t="s">
        <v>50</v>
      </c>
    </row>
    <row r="2099" spans="1:19" x14ac:dyDescent="0.25">
      <c r="A2099">
        <v>2098</v>
      </c>
      <c r="B2099">
        <v>33</v>
      </c>
      <c r="C2099" t="s">
        <v>19</v>
      </c>
      <c r="D2099" t="s">
        <v>51</v>
      </c>
      <c r="E2099" t="s">
        <v>43</v>
      </c>
      <c r="F2099" s="1">
        <v>43</v>
      </c>
      <c r="G2099" t="s">
        <v>146</v>
      </c>
      <c r="H2099" t="s">
        <v>38</v>
      </c>
      <c r="I2099" t="s">
        <v>109</v>
      </c>
      <c r="J2099" t="s">
        <v>25</v>
      </c>
      <c r="K2099" s="2">
        <v>3.9</v>
      </c>
      <c r="L2099" t="s">
        <v>152</v>
      </c>
      <c r="M2099" t="s">
        <v>27</v>
      </c>
      <c r="N2099" t="s">
        <v>47</v>
      </c>
      <c r="O2099" t="s">
        <v>152</v>
      </c>
      <c r="P2099" t="s">
        <v>152</v>
      </c>
      <c r="Q2099" s="3">
        <v>5</v>
      </c>
      <c r="R2099" t="s">
        <v>27</v>
      </c>
      <c r="S2099" t="s">
        <v>41</v>
      </c>
    </row>
    <row r="2100" spans="1:19" x14ac:dyDescent="0.25">
      <c r="A2100">
        <v>2099</v>
      </c>
      <c r="B2100">
        <v>49</v>
      </c>
      <c r="C2100" t="s">
        <v>19</v>
      </c>
      <c r="D2100" t="s">
        <v>113</v>
      </c>
      <c r="E2100" t="s">
        <v>21</v>
      </c>
      <c r="F2100" s="1">
        <v>28</v>
      </c>
      <c r="G2100" t="s">
        <v>62</v>
      </c>
      <c r="H2100" t="s">
        <v>45</v>
      </c>
      <c r="I2100" t="s">
        <v>53</v>
      </c>
      <c r="J2100" t="s">
        <v>54</v>
      </c>
      <c r="K2100" s="2">
        <v>3.3</v>
      </c>
      <c r="L2100" t="s">
        <v>152</v>
      </c>
      <c r="M2100" t="s">
        <v>27</v>
      </c>
      <c r="N2100" t="s">
        <v>72</v>
      </c>
      <c r="O2100" t="s">
        <v>152</v>
      </c>
      <c r="P2100" t="s">
        <v>152</v>
      </c>
      <c r="Q2100" s="3">
        <v>20</v>
      </c>
      <c r="R2100" t="s">
        <v>29</v>
      </c>
      <c r="S2100" t="s">
        <v>60</v>
      </c>
    </row>
    <row r="2101" spans="1:19" x14ac:dyDescent="0.25">
      <c r="A2101">
        <v>2100</v>
      </c>
      <c r="B2101">
        <v>31</v>
      </c>
      <c r="C2101" t="s">
        <v>19</v>
      </c>
      <c r="D2101" t="s">
        <v>113</v>
      </c>
      <c r="E2101" t="s">
        <v>21</v>
      </c>
      <c r="F2101" s="1">
        <v>78</v>
      </c>
      <c r="G2101" t="s">
        <v>101</v>
      </c>
      <c r="H2101" t="s">
        <v>23</v>
      </c>
      <c r="I2101" t="s">
        <v>96</v>
      </c>
      <c r="J2101" t="s">
        <v>54</v>
      </c>
      <c r="K2101" s="2">
        <v>2.9</v>
      </c>
      <c r="L2101" t="s">
        <v>152</v>
      </c>
      <c r="M2101" t="s">
        <v>59</v>
      </c>
      <c r="N2101" t="s">
        <v>28</v>
      </c>
      <c r="O2101" t="s">
        <v>152</v>
      </c>
      <c r="P2101" t="s">
        <v>152</v>
      </c>
      <c r="Q2101" s="3">
        <v>50</v>
      </c>
      <c r="R2101" t="s">
        <v>46</v>
      </c>
      <c r="S2101" t="s">
        <v>50</v>
      </c>
    </row>
    <row r="2102" spans="1:19" x14ac:dyDescent="0.25">
      <c r="A2102">
        <v>2101</v>
      </c>
      <c r="B2102">
        <v>68</v>
      </c>
      <c r="C2102" t="s">
        <v>19</v>
      </c>
      <c r="D2102" t="s">
        <v>31</v>
      </c>
      <c r="E2102" t="s">
        <v>21</v>
      </c>
      <c r="F2102" s="1">
        <v>31</v>
      </c>
      <c r="G2102" t="s">
        <v>151</v>
      </c>
      <c r="H2102" t="s">
        <v>45</v>
      </c>
      <c r="I2102" t="s">
        <v>67</v>
      </c>
      <c r="J2102" t="s">
        <v>39</v>
      </c>
      <c r="K2102" s="2">
        <v>4.4000000000000004</v>
      </c>
      <c r="L2102" t="s">
        <v>152</v>
      </c>
      <c r="M2102" t="s">
        <v>46</v>
      </c>
      <c r="N2102" t="s">
        <v>40</v>
      </c>
      <c r="O2102" t="s">
        <v>152</v>
      </c>
      <c r="P2102" t="s">
        <v>152</v>
      </c>
      <c r="Q2102" s="3">
        <v>36</v>
      </c>
      <c r="R2102" t="s">
        <v>35</v>
      </c>
      <c r="S2102" t="s">
        <v>30</v>
      </c>
    </row>
    <row r="2103" spans="1:19" x14ac:dyDescent="0.25">
      <c r="A2103">
        <v>2102</v>
      </c>
      <c r="B2103">
        <v>49</v>
      </c>
      <c r="C2103" t="s">
        <v>19</v>
      </c>
      <c r="D2103" t="s">
        <v>56</v>
      </c>
      <c r="E2103" t="s">
        <v>21</v>
      </c>
      <c r="F2103" s="1">
        <v>23</v>
      </c>
      <c r="G2103" t="s">
        <v>48</v>
      </c>
      <c r="H2103" t="s">
        <v>45</v>
      </c>
      <c r="I2103" t="s">
        <v>144</v>
      </c>
      <c r="J2103" t="s">
        <v>25</v>
      </c>
      <c r="K2103" s="2">
        <v>3.6</v>
      </c>
      <c r="L2103" t="s">
        <v>152</v>
      </c>
      <c r="M2103" t="s">
        <v>35</v>
      </c>
      <c r="N2103" t="s">
        <v>47</v>
      </c>
      <c r="O2103" t="s">
        <v>152</v>
      </c>
      <c r="P2103" t="s">
        <v>152</v>
      </c>
      <c r="Q2103" s="3">
        <v>12</v>
      </c>
      <c r="R2103" t="s">
        <v>34</v>
      </c>
      <c r="S2103" t="s">
        <v>77</v>
      </c>
    </row>
    <row r="2104" spans="1:19" x14ac:dyDescent="0.25">
      <c r="A2104">
        <v>2103</v>
      </c>
      <c r="B2104">
        <v>23</v>
      </c>
      <c r="C2104" t="s">
        <v>19</v>
      </c>
      <c r="D2104" t="s">
        <v>124</v>
      </c>
      <c r="E2104" t="s">
        <v>69</v>
      </c>
      <c r="F2104" s="1">
        <v>25</v>
      </c>
      <c r="G2104" t="s">
        <v>135</v>
      </c>
      <c r="H2104" t="s">
        <v>45</v>
      </c>
      <c r="I2104" t="s">
        <v>110</v>
      </c>
      <c r="J2104" t="s">
        <v>39</v>
      </c>
      <c r="K2104" s="2">
        <v>4.5</v>
      </c>
      <c r="L2104" t="s">
        <v>152</v>
      </c>
      <c r="M2104" t="s">
        <v>46</v>
      </c>
      <c r="N2104" t="s">
        <v>76</v>
      </c>
      <c r="O2104" t="s">
        <v>152</v>
      </c>
      <c r="P2104" t="s">
        <v>152</v>
      </c>
      <c r="Q2104" s="3">
        <v>23</v>
      </c>
      <c r="R2104" t="s">
        <v>35</v>
      </c>
      <c r="S2104" t="s">
        <v>88</v>
      </c>
    </row>
    <row r="2105" spans="1:19" x14ac:dyDescent="0.25">
      <c r="A2105">
        <v>2104</v>
      </c>
      <c r="B2105">
        <v>30</v>
      </c>
      <c r="C2105" t="s">
        <v>19</v>
      </c>
      <c r="D2105" t="s">
        <v>95</v>
      </c>
      <c r="E2105" t="s">
        <v>21</v>
      </c>
      <c r="F2105" s="1">
        <v>86</v>
      </c>
      <c r="G2105" t="s">
        <v>116</v>
      </c>
      <c r="H2105" t="s">
        <v>38</v>
      </c>
      <c r="I2105" t="s">
        <v>108</v>
      </c>
      <c r="J2105" t="s">
        <v>54</v>
      </c>
      <c r="K2105" s="2">
        <v>3.7</v>
      </c>
      <c r="L2105" t="s">
        <v>152</v>
      </c>
      <c r="M2105" t="s">
        <v>46</v>
      </c>
      <c r="N2105" t="s">
        <v>76</v>
      </c>
      <c r="O2105" t="s">
        <v>152</v>
      </c>
      <c r="P2105" t="s">
        <v>152</v>
      </c>
      <c r="Q2105" s="3">
        <v>21</v>
      </c>
      <c r="R2105" t="s">
        <v>29</v>
      </c>
      <c r="S2105" t="s">
        <v>41</v>
      </c>
    </row>
    <row r="2106" spans="1:19" x14ac:dyDescent="0.25">
      <c r="A2106">
        <v>2105</v>
      </c>
      <c r="B2106">
        <v>53</v>
      </c>
      <c r="C2106" t="s">
        <v>19</v>
      </c>
      <c r="D2106" t="s">
        <v>73</v>
      </c>
      <c r="E2106" t="s">
        <v>43</v>
      </c>
      <c r="F2106" s="1">
        <v>88</v>
      </c>
      <c r="G2106" t="s">
        <v>130</v>
      </c>
      <c r="H2106" t="s">
        <v>45</v>
      </c>
      <c r="I2106" t="s">
        <v>81</v>
      </c>
      <c r="J2106" t="s">
        <v>39</v>
      </c>
      <c r="K2106" s="2">
        <v>2.8</v>
      </c>
      <c r="L2106" t="s">
        <v>152</v>
      </c>
      <c r="M2106" t="s">
        <v>34</v>
      </c>
      <c r="N2106" t="s">
        <v>40</v>
      </c>
      <c r="O2106" t="s">
        <v>152</v>
      </c>
      <c r="P2106" t="s">
        <v>152</v>
      </c>
      <c r="Q2106" s="3">
        <v>47</v>
      </c>
      <c r="R2106" t="s">
        <v>29</v>
      </c>
      <c r="S2106" t="s">
        <v>41</v>
      </c>
    </row>
    <row r="2107" spans="1:19" x14ac:dyDescent="0.25">
      <c r="A2107">
        <v>2106</v>
      </c>
      <c r="B2107">
        <v>65</v>
      </c>
      <c r="C2107" t="s">
        <v>19</v>
      </c>
      <c r="D2107" t="s">
        <v>143</v>
      </c>
      <c r="E2107" t="s">
        <v>69</v>
      </c>
      <c r="F2107" s="1">
        <v>35</v>
      </c>
      <c r="G2107" t="s">
        <v>131</v>
      </c>
      <c r="H2107" t="s">
        <v>45</v>
      </c>
      <c r="I2107" t="s">
        <v>67</v>
      </c>
      <c r="J2107" t="s">
        <v>39</v>
      </c>
      <c r="K2107" s="2">
        <v>4.5</v>
      </c>
      <c r="L2107" t="s">
        <v>152</v>
      </c>
      <c r="M2107" t="s">
        <v>27</v>
      </c>
      <c r="N2107" t="s">
        <v>40</v>
      </c>
      <c r="O2107" t="s">
        <v>152</v>
      </c>
      <c r="P2107" t="s">
        <v>152</v>
      </c>
      <c r="Q2107" s="3">
        <v>38</v>
      </c>
      <c r="R2107" t="s">
        <v>29</v>
      </c>
      <c r="S2107" t="s">
        <v>77</v>
      </c>
    </row>
    <row r="2108" spans="1:19" x14ac:dyDescent="0.25">
      <c r="A2108">
        <v>2107</v>
      </c>
      <c r="B2108">
        <v>60</v>
      </c>
      <c r="C2108" t="s">
        <v>19</v>
      </c>
      <c r="D2108" t="s">
        <v>106</v>
      </c>
      <c r="E2108" t="s">
        <v>69</v>
      </c>
      <c r="F2108" s="1">
        <v>34</v>
      </c>
      <c r="G2108" t="s">
        <v>129</v>
      </c>
      <c r="H2108" t="s">
        <v>45</v>
      </c>
      <c r="I2108" t="s">
        <v>24</v>
      </c>
      <c r="J2108" t="s">
        <v>58</v>
      </c>
      <c r="K2108" s="2">
        <v>4.4000000000000004</v>
      </c>
      <c r="L2108" t="s">
        <v>152</v>
      </c>
      <c r="M2108" t="s">
        <v>35</v>
      </c>
      <c r="N2108" t="s">
        <v>55</v>
      </c>
      <c r="O2108" t="s">
        <v>152</v>
      </c>
      <c r="P2108" t="s">
        <v>152</v>
      </c>
      <c r="Q2108" s="3">
        <v>40</v>
      </c>
      <c r="R2108" t="s">
        <v>27</v>
      </c>
      <c r="S2108" t="s">
        <v>97</v>
      </c>
    </row>
    <row r="2109" spans="1:19" x14ac:dyDescent="0.25">
      <c r="A2109">
        <v>2108</v>
      </c>
      <c r="B2109">
        <v>46</v>
      </c>
      <c r="C2109" t="s">
        <v>19</v>
      </c>
      <c r="D2109" t="s">
        <v>95</v>
      </c>
      <c r="E2109" t="s">
        <v>21</v>
      </c>
      <c r="F2109" s="1">
        <v>75</v>
      </c>
      <c r="G2109" t="s">
        <v>80</v>
      </c>
      <c r="H2109" t="s">
        <v>45</v>
      </c>
      <c r="I2109" t="s">
        <v>94</v>
      </c>
      <c r="J2109" t="s">
        <v>25</v>
      </c>
      <c r="K2109" s="2">
        <v>3.3</v>
      </c>
      <c r="L2109" t="s">
        <v>152</v>
      </c>
      <c r="M2109" t="s">
        <v>46</v>
      </c>
      <c r="N2109" t="s">
        <v>55</v>
      </c>
      <c r="O2109" t="s">
        <v>152</v>
      </c>
      <c r="P2109" t="s">
        <v>152</v>
      </c>
      <c r="Q2109" s="3">
        <v>35</v>
      </c>
      <c r="R2109" t="s">
        <v>46</v>
      </c>
      <c r="S2109" t="s">
        <v>60</v>
      </c>
    </row>
    <row r="2110" spans="1:19" x14ac:dyDescent="0.25">
      <c r="A2110">
        <v>2109</v>
      </c>
      <c r="B2110">
        <v>54</v>
      </c>
      <c r="C2110" t="s">
        <v>19</v>
      </c>
      <c r="D2110" t="s">
        <v>104</v>
      </c>
      <c r="E2110" t="s">
        <v>21</v>
      </c>
      <c r="F2110" s="1">
        <v>46</v>
      </c>
      <c r="G2110" t="s">
        <v>114</v>
      </c>
      <c r="H2110" t="s">
        <v>92</v>
      </c>
      <c r="I2110" t="s">
        <v>118</v>
      </c>
      <c r="J2110" t="s">
        <v>25</v>
      </c>
      <c r="K2110" s="2">
        <v>4.2</v>
      </c>
      <c r="L2110" t="s">
        <v>152</v>
      </c>
      <c r="M2110" t="s">
        <v>59</v>
      </c>
      <c r="N2110" t="s">
        <v>28</v>
      </c>
      <c r="O2110" t="s">
        <v>152</v>
      </c>
      <c r="P2110" t="s">
        <v>152</v>
      </c>
      <c r="Q2110" s="3">
        <v>4</v>
      </c>
      <c r="R2110" t="s">
        <v>27</v>
      </c>
      <c r="S2110" t="s">
        <v>60</v>
      </c>
    </row>
    <row r="2111" spans="1:19" x14ac:dyDescent="0.25">
      <c r="A2111">
        <v>2110</v>
      </c>
      <c r="B2111">
        <v>59</v>
      </c>
      <c r="C2111" t="s">
        <v>19</v>
      </c>
      <c r="D2111" t="s">
        <v>106</v>
      </c>
      <c r="E2111" t="s">
        <v>69</v>
      </c>
      <c r="F2111" s="1">
        <v>31</v>
      </c>
      <c r="G2111" t="s">
        <v>99</v>
      </c>
      <c r="H2111" t="s">
        <v>23</v>
      </c>
      <c r="I2111" t="s">
        <v>100</v>
      </c>
      <c r="J2111" t="s">
        <v>58</v>
      </c>
      <c r="K2111" s="2">
        <v>2.7</v>
      </c>
      <c r="L2111" t="s">
        <v>152</v>
      </c>
      <c r="M2111" t="s">
        <v>35</v>
      </c>
      <c r="N2111" t="s">
        <v>40</v>
      </c>
      <c r="O2111" t="s">
        <v>152</v>
      </c>
      <c r="P2111" t="s">
        <v>152</v>
      </c>
      <c r="Q2111" s="3">
        <v>28</v>
      </c>
      <c r="R2111" t="s">
        <v>29</v>
      </c>
      <c r="S2111" t="s">
        <v>97</v>
      </c>
    </row>
    <row r="2112" spans="1:19" x14ac:dyDescent="0.25">
      <c r="A2112">
        <v>2111</v>
      </c>
      <c r="B2112">
        <v>52</v>
      </c>
      <c r="C2112" t="s">
        <v>19</v>
      </c>
      <c r="D2112" t="s">
        <v>125</v>
      </c>
      <c r="E2112" t="s">
        <v>21</v>
      </c>
      <c r="F2112" s="1">
        <v>93</v>
      </c>
      <c r="G2112" t="s">
        <v>57</v>
      </c>
      <c r="H2112" t="s">
        <v>23</v>
      </c>
      <c r="I2112" t="s">
        <v>109</v>
      </c>
      <c r="J2112" t="s">
        <v>39</v>
      </c>
      <c r="K2112" s="2">
        <v>3.9</v>
      </c>
      <c r="L2112" t="s">
        <v>152</v>
      </c>
      <c r="M2112" t="s">
        <v>35</v>
      </c>
      <c r="N2112" t="s">
        <v>76</v>
      </c>
      <c r="O2112" t="s">
        <v>152</v>
      </c>
      <c r="P2112" t="s">
        <v>152</v>
      </c>
      <c r="Q2112" s="3">
        <v>36</v>
      </c>
      <c r="R2112" t="s">
        <v>59</v>
      </c>
      <c r="S2112" t="s">
        <v>97</v>
      </c>
    </row>
    <row r="2113" spans="1:19" x14ac:dyDescent="0.25">
      <c r="A2113">
        <v>2112</v>
      </c>
      <c r="B2113">
        <v>41</v>
      </c>
      <c r="C2113" t="s">
        <v>19</v>
      </c>
      <c r="D2113" t="s">
        <v>89</v>
      </c>
      <c r="E2113" t="s">
        <v>69</v>
      </c>
      <c r="F2113" s="1">
        <v>85</v>
      </c>
      <c r="G2113" t="s">
        <v>70</v>
      </c>
      <c r="H2113" t="s">
        <v>92</v>
      </c>
      <c r="I2113" t="s">
        <v>71</v>
      </c>
      <c r="J2113" t="s">
        <v>39</v>
      </c>
      <c r="K2113" s="2">
        <v>2.6</v>
      </c>
      <c r="L2113" t="s">
        <v>152</v>
      </c>
      <c r="M2113" t="s">
        <v>27</v>
      </c>
      <c r="N2113" t="s">
        <v>40</v>
      </c>
      <c r="O2113" t="s">
        <v>152</v>
      </c>
      <c r="P2113" t="s">
        <v>152</v>
      </c>
      <c r="Q2113" s="3">
        <v>15</v>
      </c>
      <c r="R2113" t="s">
        <v>34</v>
      </c>
      <c r="S2113" t="s">
        <v>50</v>
      </c>
    </row>
    <row r="2114" spans="1:19" x14ac:dyDescent="0.25">
      <c r="A2114">
        <v>2113</v>
      </c>
      <c r="B2114">
        <v>43</v>
      </c>
      <c r="C2114" t="s">
        <v>19</v>
      </c>
      <c r="D2114" t="s">
        <v>133</v>
      </c>
      <c r="E2114" t="s">
        <v>69</v>
      </c>
      <c r="F2114" s="1">
        <v>68</v>
      </c>
      <c r="G2114" t="s">
        <v>122</v>
      </c>
      <c r="H2114" t="s">
        <v>45</v>
      </c>
      <c r="I2114" t="s">
        <v>93</v>
      </c>
      <c r="J2114" t="s">
        <v>58</v>
      </c>
      <c r="K2114" s="2">
        <v>4.5</v>
      </c>
      <c r="L2114" t="s">
        <v>152</v>
      </c>
      <c r="M2114" t="s">
        <v>27</v>
      </c>
      <c r="N2114" t="s">
        <v>72</v>
      </c>
      <c r="O2114" t="s">
        <v>152</v>
      </c>
      <c r="P2114" t="s">
        <v>152</v>
      </c>
      <c r="Q2114" s="3">
        <v>7</v>
      </c>
      <c r="R2114" t="s">
        <v>35</v>
      </c>
      <c r="S2114" t="s">
        <v>30</v>
      </c>
    </row>
    <row r="2115" spans="1:19" x14ac:dyDescent="0.25">
      <c r="A2115">
        <v>2114</v>
      </c>
      <c r="B2115">
        <v>63</v>
      </c>
      <c r="C2115" t="s">
        <v>19</v>
      </c>
      <c r="D2115" t="s">
        <v>82</v>
      </c>
      <c r="E2115" t="s">
        <v>21</v>
      </c>
      <c r="F2115" s="1">
        <v>40</v>
      </c>
      <c r="G2115" t="s">
        <v>141</v>
      </c>
      <c r="H2115" t="s">
        <v>45</v>
      </c>
      <c r="I2115" t="s">
        <v>110</v>
      </c>
      <c r="J2115" t="s">
        <v>39</v>
      </c>
      <c r="K2115" s="2">
        <v>2.7</v>
      </c>
      <c r="L2115" t="s">
        <v>152</v>
      </c>
      <c r="M2115" t="s">
        <v>27</v>
      </c>
      <c r="N2115" t="s">
        <v>76</v>
      </c>
      <c r="O2115" t="s">
        <v>152</v>
      </c>
      <c r="P2115" t="s">
        <v>152</v>
      </c>
      <c r="Q2115" s="3">
        <v>29</v>
      </c>
      <c r="R2115" t="s">
        <v>46</v>
      </c>
      <c r="S2115" t="s">
        <v>97</v>
      </c>
    </row>
    <row r="2116" spans="1:19" x14ac:dyDescent="0.25">
      <c r="A2116">
        <v>2115</v>
      </c>
      <c r="B2116">
        <v>37</v>
      </c>
      <c r="C2116" t="s">
        <v>19</v>
      </c>
      <c r="D2116" t="s">
        <v>56</v>
      </c>
      <c r="E2116" t="s">
        <v>21</v>
      </c>
      <c r="F2116" s="1">
        <v>51</v>
      </c>
      <c r="G2116" t="s">
        <v>129</v>
      </c>
      <c r="H2116" t="s">
        <v>45</v>
      </c>
      <c r="I2116" t="s">
        <v>136</v>
      </c>
      <c r="J2116" t="s">
        <v>25</v>
      </c>
      <c r="K2116" s="2">
        <v>2.9</v>
      </c>
      <c r="L2116" t="s">
        <v>152</v>
      </c>
      <c r="M2116" t="s">
        <v>27</v>
      </c>
      <c r="N2116" t="s">
        <v>55</v>
      </c>
      <c r="O2116" t="s">
        <v>152</v>
      </c>
      <c r="P2116" t="s">
        <v>152</v>
      </c>
      <c r="Q2116" s="3">
        <v>12</v>
      </c>
      <c r="R2116" t="s">
        <v>59</v>
      </c>
      <c r="S2116" t="s">
        <v>50</v>
      </c>
    </row>
    <row r="2117" spans="1:19" x14ac:dyDescent="0.25">
      <c r="A2117">
        <v>2116</v>
      </c>
      <c r="B2117">
        <v>44</v>
      </c>
      <c r="C2117" t="s">
        <v>19</v>
      </c>
      <c r="D2117" t="s">
        <v>119</v>
      </c>
      <c r="E2117" t="s">
        <v>69</v>
      </c>
      <c r="F2117" s="1">
        <v>85</v>
      </c>
      <c r="G2117" t="s">
        <v>44</v>
      </c>
      <c r="H2117" t="s">
        <v>45</v>
      </c>
      <c r="I2117" t="s">
        <v>84</v>
      </c>
      <c r="J2117" t="s">
        <v>25</v>
      </c>
      <c r="K2117" s="2">
        <v>3.4</v>
      </c>
      <c r="L2117" t="s">
        <v>152</v>
      </c>
      <c r="M2117" t="s">
        <v>27</v>
      </c>
      <c r="N2117" t="s">
        <v>76</v>
      </c>
      <c r="O2117" t="s">
        <v>152</v>
      </c>
      <c r="P2117" t="s">
        <v>152</v>
      </c>
      <c r="Q2117" s="3">
        <v>16</v>
      </c>
      <c r="R2117" t="s">
        <v>34</v>
      </c>
      <c r="S2117" t="s">
        <v>77</v>
      </c>
    </row>
    <row r="2118" spans="1:19" x14ac:dyDescent="0.25">
      <c r="A2118">
        <v>2117</v>
      </c>
      <c r="B2118">
        <v>67</v>
      </c>
      <c r="C2118" t="s">
        <v>19</v>
      </c>
      <c r="D2118" t="s">
        <v>102</v>
      </c>
      <c r="E2118" t="s">
        <v>65</v>
      </c>
      <c r="F2118" s="1">
        <v>23</v>
      </c>
      <c r="G2118" t="s">
        <v>111</v>
      </c>
      <c r="H2118" t="s">
        <v>45</v>
      </c>
      <c r="I2118" t="s">
        <v>86</v>
      </c>
      <c r="J2118" t="s">
        <v>54</v>
      </c>
      <c r="K2118" s="2">
        <v>2.9</v>
      </c>
      <c r="L2118" t="s">
        <v>152</v>
      </c>
      <c r="M2118" t="s">
        <v>46</v>
      </c>
      <c r="N2118" t="s">
        <v>28</v>
      </c>
      <c r="O2118" t="s">
        <v>152</v>
      </c>
      <c r="P2118" t="s">
        <v>152</v>
      </c>
      <c r="Q2118" s="3">
        <v>50</v>
      </c>
      <c r="R2118" t="s">
        <v>59</v>
      </c>
      <c r="S2118" t="s">
        <v>77</v>
      </c>
    </row>
    <row r="2119" spans="1:19" x14ac:dyDescent="0.25">
      <c r="A2119">
        <v>2118</v>
      </c>
      <c r="B2119">
        <v>27</v>
      </c>
      <c r="C2119" t="s">
        <v>19</v>
      </c>
      <c r="D2119" t="s">
        <v>82</v>
      </c>
      <c r="E2119" t="s">
        <v>21</v>
      </c>
      <c r="F2119" s="1">
        <v>28</v>
      </c>
      <c r="G2119" t="s">
        <v>112</v>
      </c>
      <c r="H2119" t="s">
        <v>23</v>
      </c>
      <c r="I2119" t="s">
        <v>110</v>
      </c>
      <c r="J2119" t="s">
        <v>54</v>
      </c>
      <c r="K2119" s="2">
        <v>3.8</v>
      </c>
      <c r="L2119" t="s">
        <v>152</v>
      </c>
      <c r="M2119" t="s">
        <v>34</v>
      </c>
      <c r="N2119" t="s">
        <v>40</v>
      </c>
      <c r="O2119" t="s">
        <v>152</v>
      </c>
      <c r="P2119" t="s">
        <v>152</v>
      </c>
      <c r="Q2119" s="3">
        <v>11</v>
      </c>
      <c r="R2119" t="s">
        <v>59</v>
      </c>
      <c r="S2119" t="s">
        <v>50</v>
      </c>
    </row>
    <row r="2120" spans="1:19" x14ac:dyDescent="0.25">
      <c r="A2120">
        <v>2119</v>
      </c>
      <c r="B2120">
        <v>60</v>
      </c>
      <c r="C2120" t="s">
        <v>19</v>
      </c>
      <c r="D2120" t="s">
        <v>125</v>
      </c>
      <c r="E2120" t="s">
        <v>21</v>
      </c>
      <c r="F2120" s="1">
        <v>44</v>
      </c>
      <c r="G2120" t="s">
        <v>142</v>
      </c>
      <c r="H2120" t="s">
        <v>45</v>
      </c>
      <c r="I2120" t="s">
        <v>79</v>
      </c>
      <c r="J2120" t="s">
        <v>58</v>
      </c>
      <c r="K2120" s="2">
        <v>4.2</v>
      </c>
      <c r="L2120" t="s">
        <v>152</v>
      </c>
      <c r="M2120" t="s">
        <v>34</v>
      </c>
      <c r="N2120" t="s">
        <v>72</v>
      </c>
      <c r="O2120" t="s">
        <v>152</v>
      </c>
      <c r="P2120" t="s">
        <v>152</v>
      </c>
      <c r="Q2120" s="3">
        <v>28</v>
      </c>
      <c r="R2120" t="s">
        <v>59</v>
      </c>
      <c r="S2120" t="s">
        <v>60</v>
      </c>
    </row>
    <row r="2121" spans="1:19" x14ac:dyDescent="0.25">
      <c r="A2121">
        <v>2120</v>
      </c>
      <c r="B2121">
        <v>58</v>
      </c>
      <c r="C2121" t="s">
        <v>19</v>
      </c>
      <c r="D2121" t="s">
        <v>106</v>
      </c>
      <c r="E2121" t="s">
        <v>69</v>
      </c>
      <c r="F2121" s="1">
        <v>57</v>
      </c>
      <c r="G2121" t="s">
        <v>145</v>
      </c>
      <c r="H2121" t="s">
        <v>45</v>
      </c>
      <c r="I2121" t="s">
        <v>126</v>
      </c>
      <c r="J2121" t="s">
        <v>39</v>
      </c>
      <c r="K2121" s="2">
        <v>3.5</v>
      </c>
      <c r="L2121" t="s">
        <v>152</v>
      </c>
      <c r="M2121" t="s">
        <v>59</v>
      </c>
      <c r="N2121" t="s">
        <v>76</v>
      </c>
      <c r="O2121" t="s">
        <v>152</v>
      </c>
      <c r="P2121" t="s">
        <v>152</v>
      </c>
      <c r="Q2121" s="3">
        <v>36</v>
      </c>
      <c r="R2121" t="s">
        <v>29</v>
      </c>
      <c r="S2121" t="s">
        <v>77</v>
      </c>
    </row>
    <row r="2122" spans="1:19" x14ac:dyDescent="0.25">
      <c r="A2122">
        <v>2121</v>
      </c>
      <c r="B2122">
        <v>53</v>
      </c>
      <c r="C2122" t="s">
        <v>19</v>
      </c>
      <c r="D2122" t="s">
        <v>119</v>
      </c>
      <c r="E2122" t="s">
        <v>69</v>
      </c>
      <c r="F2122" s="1">
        <v>98</v>
      </c>
      <c r="G2122" t="s">
        <v>70</v>
      </c>
      <c r="H2122" t="s">
        <v>38</v>
      </c>
      <c r="I2122" t="s">
        <v>108</v>
      </c>
      <c r="J2122" t="s">
        <v>58</v>
      </c>
      <c r="K2122" s="2">
        <v>3.1</v>
      </c>
      <c r="L2122" t="s">
        <v>152</v>
      </c>
      <c r="M2122" t="s">
        <v>29</v>
      </c>
      <c r="N2122" t="s">
        <v>47</v>
      </c>
      <c r="O2122" t="s">
        <v>152</v>
      </c>
      <c r="P2122" t="s">
        <v>152</v>
      </c>
      <c r="Q2122" s="3">
        <v>38</v>
      </c>
      <c r="R2122" t="s">
        <v>46</v>
      </c>
      <c r="S2122" t="s">
        <v>60</v>
      </c>
    </row>
    <row r="2123" spans="1:19" x14ac:dyDescent="0.25">
      <c r="A2123">
        <v>2122</v>
      </c>
      <c r="B2123">
        <v>43</v>
      </c>
      <c r="C2123" t="s">
        <v>19</v>
      </c>
      <c r="D2123" t="s">
        <v>132</v>
      </c>
      <c r="E2123" t="s">
        <v>69</v>
      </c>
      <c r="F2123" s="1">
        <v>68</v>
      </c>
      <c r="G2123" t="s">
        <v>120</v>
      </c>
      <c r="H2123" t="s">
        <v>45</v>
      </c>
      <c r="I2123" t="s">
        <v>79</v>
      </c>
      <c r="J2123" t="s">
        <v>25</v>
      </c>
      <c r="K2123" s="2">
        <v>3.5</v>
      </c>
      <c r="L2123" t="s">
        <v>152</v>
      </c>
      <c r="M2123" t="s">
        <v>27</v>
      </c>
      <c r="N2123" t="s">
        <v>72</v>
      </c>
      <c r="O2123" t="s">
        <v>152</v>
      </c>
      <c r="P2123" t="s">
        <v>152</v>
      </c>
      <c r="Q2123" s="3">
        <v>32</v>
      </c>
      <c r="R2123" t="s">
        <v>34</v>
      </c>
      <c r="S2123" t="s">
        <v>88</v>
      </c>
    </row>
    <row r="2124" spans="1:19" x14ac:dyDescent="0.25">
      <c r="A2124">
        <v>2123</v>
      </c>
      <c r="B2124">
        <v>32</v>
      </c>
      <c r="C2124" t="s">
        <v>19</v>
      </c>
      <c r="D2124" t="s">
        <v>102</v>
      </c>
      <c r="E2124" t="s">
        <v>65</v>
      </c>
      <c r="F2124" s="1">
        <v>36</v>
      </c>
      <c r="G2124" t="s">
        <v>141</v>
      </c>
      <c r="H2124" t="s">
        <v>23</v>
      </c>
      <c r="I2124" t="s">
        <v>86</v>
      </c>
      <c r="J2124" t="s">
        <v>58</v>
      </c>
      <c r="K2124" s="2">
        <v>4</v>
      </c>
      <c r="L2124" t="s">
        <v>152</v>
      </c>
      <c r="M2124" t="s">
        <v>46</v>
      </c>
      <c r="N2124" t="s">
        <v>28</v>
      </c>
      <c r="O2124" t="s">
        <v>152</v>
      </c>
      <c r="P2124" t="s">
        <v>152</v>
      </c>
      <c r="Q2124" s="3">
        <v>42</v>
      </c>
      <c r="R2124" t="s">
        <v>59</v>
      </c>
      <c r="S2124" t="s">
        <v>41</v>
      </c>
    </row>
    <row r="2125" spans="1:19" x14ac:dyDescent="0.25">
      <c r="A2125">
        <v>2124</v>
      </c>
      <c r="B2125">
        <v>54</v>
      </c>
      <c r="C2125" t="s">
        <v>19</v>
      </c>
      <c r="D2125" t="s">
        <v>64</v>
      </c>
      <c r="E2125" t="s">
        <v>65</v>
      </c>
      <c r="F2125" s="1">
        <v>71</v>
      </c>
      <c r="G2125" t="s">
        <v>145</v>
      </c>
      <c r="H2125" t="s">
        <v>23</v>
      </c>
      <c r="I2125" t="s">
        <v>109</v>
      </c>
      <c r="J2125" t="s">
        <v>39</v>
      </c>
      <c r="K2125" s="2">
        <v>3.7</v>
      </c>
      <c r="L2125" t="s">
        <v>152</v>
      </c>
      <c r="M2125" t="s">
        <v>35</v>
      </c>
      <c r="N2125" t="s">
        <v>28</v>
      </c>
      <c r="O2125" t="s">
        <v>152</v>
      </c>
      <c r="P2125" t="s">
        <v>152</v>
      </c>
      <c r="Q2125" s="3">
        <v>22</v>
      </c>
      <c r="R2125" t="s">
        <v>59</v>
      </c>
      <c r="S2125" t="s">
        <v>77</v>
      </c>
    </row>
    <row r="2126" spans="1:19" x14ac:dyDescent="0.25">
      <c r="A2126">
        <v>2125</v>
      </c>
      <c r="B2126">
        <v>47</v>
      </c>
      <c r="C2126" t="s">
        <v>19</v>
      </c>
      <c r="D2126" t="s">
        <v>87</v>
      </c>
      <c r="E2126" t="s">
        <v>21</v>
      </c>
      <c r="F2126" s="1">
        <v>60</v>
      </c>
      <c r="G2126" t="s">
        <v>44</v>
      </c>
      <c r="H2126" t="s">
        <v>45</v>
      </c>
      <c r="I2126" t="s">
        <v>86</v>
      </c>
      <c r="J2126" t="s">
        <v>58</v>
      </c>
      <c r="K2126" s="2">
        <v>4.2</v>
      </c>
      <c r="L2126" t="s">
        <v>152</v>
      </c>
      <c r="M2126" t="s">
        <v>29</v>
      </c>
      <c r="N2126" t="s">
        <v>47</v>
      </c>
      <c r="O2126" t="s">
        <v>152</v>
      </c>
      <c r="P2126" t="s">
        <v>152</v>
      </c>
      <c r="Q2126" s="3">
        <v>22</v>
      </c>
      <c r="R2126" t="s">
        <v>29</v>
      </c>
      <c r="S2126" t="s">
        <v>60</v>
      </c>
    </row>
    <row r="2127" spans="1:19" x14ac:dyDescent="0.25">
      <c r="A2127">
        <v>2126</v>
      </c>
      <c r="B2127">
        <v>57</v>
      </c>
      <c r="C2127" t="s">
        <v>19</v>
      </c>
      <c r="D2127" t="s">
        <v>64</v>
      </c>
      <c r="E2127" t="s">
        <v>65</v>
      </c>
      <c r="F2127" s="1">
        <v>87</v>
      </c>
      <c r="G2127" t="s">
        <v>83</v>
      </c>
      <c r="H2127" t="s">
        <v>45</v>
      </c>
      <c r="I2127" t="s">
        <v>118</v>
      </c>
      <c r="J2127" t="s">
        <v>58</v>
      </c>
      <c r="K2127" s="2">
        <v>4.8</v>
      </c>
      <c r="L2127" t="s">
        <v>152</v>
      </c>
      <c r="M2127" t="s">
        <v>27</v>
      </c>
      <c r="N2127" t="s">
        <v>76</v>
      </c>
      <c r="O2127" t="s">
        <v>152</v>
      </c>
      <c r="P2127" t="s">
        <v>152</v>
      </c>
      <c r="Q2127" s="3">
        <v>31</v>
      </c>
      <c r="R2127" t="s">
        <v>46</v>
      </c>
      <c r="S2127" t="s">
        <v>60</v>
      </c>
    </row>
    <row r="2128" spans="1:19" x14ac:dyDescent="0.25">
      <c r="A2128">
        <v>2127</v>
      </c>
      <c r="B2128">
        <v>63</v>
      </c>
      <c r="C2128" t="s">
        <v>19</v>
      </c>
      <c r="D2128" t="s">
        <v>73</v>
      </c>
      <c r="E2128" t="s">
        <v>43</v>
      </c>
      <c r="F2128" s="1">
        <v>38</v>
      </c>
      <c r="G2128" t="s">
        <v>90</v>
      </c>
      <c r="H2128" t="s">
        <v>92</v>
      </c>
      <c r="I2128" t="s">
        <v>136</v>
      </c>
      <c r="J2128" t="s">
        <v>25</v>
      </c>
      <c r="K2128" s="2">
        <v>4.0999999999999996</v>
      </c>
      <c r="L2128" t="s">
        <v>152</v>
      </c>
      <c r="M2128" t="s">
        <v>46</v>
      </c>
      <c r="N2128" t="s">
        <v>28</v>
      </c>
      <c r="O2128" t="s">
        <v>152</v>
      </c>
      <c r="P2128" t="s">
        <v>152</v>
      </c>
      <c r="Q2128" s="3">
        <v>28</v>
      </c>
      <c r="R2128" t="s">
        <v>27</v>
      </c>
      <c r="S2128" t="s">
        <v>88</v>
      </c>
    </row>
    <row r="2129" spans="1:19" x14ac:dyDescent="0.25">
      <c r="A2129">
        <v>2128</v>
      </c>
      <c r="B2129">
        <v>70</v>
      </c>
      <c r="C2129" t="s">
        <v>19</v>
      </c>
      <c r="D2129" t="s">
        <v>137</v>
      </c>
      <c r="E2129" t="s">
        <v>43</v>
      </c>
      <c r="F2129" s="1">
        <v>45</v>
      </c>
      <c r="G2129" t="s">
        <v>98</v>
      </c>
      <c r="H2129" t="s">
        <v>45</v>
      </c>
      <c r="I2129" t="s">
        <v>126</v>
      </c>
      <c r="J2129" t="s">
        <v>39</v>
      </c>
      <c r="K2129" s="2">
        <v>4.5</v>
      </c>
      <c r="L2129" t="s">
        <v>152</v>
      </c>
      <c r="M2129" t="s">
        <v>27</v>
      </c>
      <c r="N2129" t="s">
        <v>72</v>
      </c>
      <c r="O2129" t="s">
        <v>152</v>
      </c>
      <c r="P2129" t="s">
        <v>152</v>
      </c>
      <c r="Q2129" s="3">
        <v>40</v>
      </c>
      <c r="R2129" t="s">
        <v>59</v>
      </c>
      <c r="S2129" t="s">
        <v>41</v>
      </c>
    </row>
    <row r="2130" spans="1:19" x14ac:dyDescent="0.25">
      <c r="A2130">
        <v>2129</v>
      </c>
      <c r="B2130">
        <v>62</v>
      </c>
      <c r="C2130" t="s">
        <v>19</v>
      </c>
      <c r="D2130" t="s">
        <v>64</v>
      </c>
      <c r="E2130" t="s">
        <v>65</v>
      </c>
      <c r="F2130" s="1">
        <v>47</v>
      </c>
      <c r="G2130" t="s">
        <v>130</v>
      </c>
      <c r="H2130" t="s">
        <v>23</v>
      </c>
      <c r="I2130" t="s">
        <v>109</v>
      </c>
      <c r="J2130" t="s">
        <v>58</v>
      </c>
      <c r="K2130" s="2">
        <v>2.7</v>
      </c>
      <c r="L2130" t="s">
        <v>152</v>
      </c>
      <c r="M2130" t="s">
        <v>46</v>
      </c>
      <c r="N2130" t="s">
        <v>72</v>
      </c>
      <c r="O2130" t="s">
        <v>152</v>
      </c>
      <c r="P2130" t="s">
        <v>152</v>
      </c>
      <c r="Q2130" s="3">
        <v>21</v>
      </c>
      <c r="R2130" t="s">
        <v>46</v>
      </c>
      <c r="S2130" t="s">
        <v>41</v>
      </c>
    </row>
    <row r="2131" spans="1:19" x14ac:dyDescent="0.25">
      <c r="A2131">
        <v>2130</v>
      </c>
      <c r="B2131">
        <v>40</v>
      </c>
      <c r="C2131" t="s">
        <v>19</v>
      </c>
      <c r="D2131" t="s">
        <v>87</v>
      </c>
      <c r="E2131" t="s">
        <v>21</v>
      </c>
      <c r="F2131" s="1">
        <v>57</v>
      </c>
      <c r="G2131" t="s">
        <v>148</v>
      </c>
      <c r="H2131" t="s">
        <v>23</v>
      </c>
      <c r="I2131" t="s">
        <v>121</v>
      </c>
      <c r="J2131" t="s">
        <v>58</v>
      </c>
      <c r="K2131" s="2">
        <v>2.8</v>
      </c>
      <c r="L2131" t="s">
        <v>152</v>
      </c>
      <c r="M2131" t="s">
        <v>27</v>
      </c>
      <c r="N2131" t="s">
        <v>76</v>
      </c>
      <c r="O2131" t="s">
        <v>152</v>
      </c>
      <c r="P2131" t="s">
        <v>152</v>
      </c>
      <c r="Q2131" s="3">
        <v>12</v>
      </c>
      <c r="R2131" t="s">
        <v>46</v>
      </c>
      <c r="S2131" t="s">
        <v>97</v>
      </c>
    </row>
    <row r="2132" spans="1:19" x14ac:dyDescent="0.25">
      <c r="A2132">
        <v>2131</v>
      </c>
      <c r="B2132">
        <v>25</v>
      </c>
      <c r="C2132" t="s">
        <v>19</v>
      </c>
      <c r="D2132" t="s">
        <v>132</v>
      </c>
      <c r="E2132" t="s">
        <v>69</v>
      </c>
      <c r="F2132" s="1">
        <v>68</v>
      </c>
      <c r="G2132" t="s">
        <v>117</v>
      </c>
      <c r="H2132" t="s">
        <v>23</v>
      </c>
      <c r="I2132" t="s">
        <v>84</v>
      </c>
      <c r="J2132" t="s">
        <v>54</v>
      </c>
      <c r="K2132" s="2">
        <v>3.7</v>
      </c>
      <c r="L2132" t="s">
        <v>152</v>
      </c>
      <c r="M2132" t="s">
        <v>59</v>
      </c>
      <c r="N2132" t="s">
        <v>40</v>
      </c>
      <c r="O2132" t="s">
        <v>152</v>
      </c>
      <c r="P2132" t="s">
        <v>152</v>
      </c>
      <c r="Q2132" s="3">
        <v>33</v>
      </c>
      <c r="R2132" t="s">
        <v>27</v>
      </c>
      <c r="S2132" t="s">
        <v>50</v>
      </c>
    </row>
    <row r="2133" spans="1:19" x14ac:dyDescent="0.25">
      <c r="A2133">
        <v>2132</v>
      </c>
      <c r="B2133">
        <v>19</v>
      </c>
      <c r="C2133" t="s">
        <v>19</v>
      </c>
      <c r="D2133" t="s">
        <v>61</v>
      </c>
      <c r="E2133" t="s">
        <v>21</v>
      </c>
      <c r="F2133" s="1">
        <v>52</v>
      </c>
      <c r="G2133" t="s">
        <v>57</v>
      </c>
      <c r="H2133" t="s">
        <v>45</v>
      </c>
      <c r="I2133" t="s">
        <v>108</v>
      </c>
      <c r="J2133" t="s">
        <v>58</v>
      </c>
      <c r="K2133" s="2">
        <v>3.6</v>
      </c>
      <c r="L2133" t="s">
        <v>152</v>
      </c>
      <c r="M2133" t="s">
        <v>27</v>
      </c>
      <c r="N2133" t="s">
        <v>28</v>
      </c>
      <c r="O2133" t="s">
        <v>152</v>
      </c>
      <c r="P2133" t="s">
        <v>152</v>
      </c>
      <c r="Q2133" s="3">
        <v>9</v>
      </c>
      <c r="R2133" t="s">
        <v>34</v>
      </c>
      <c r="S2133" t="s">
        <v>30</v>
      </c>
    </row>
    <row r="2134" spans="1:19" x14ac:dyDescent="0.25">
      <c r="A2134">
        <v>2133</v>
      </c>
      <c r="B2134">
        <v>25</v>
      </c>
      <c r="C2134" t="s">
        <v>19</v>
      </c>
      <c r="D2134" t="s">
        <v>87</v>
      </c>
      <c r="E2134" t="s">
        <v>21</v>
      </c>
      <c r="F2134" s="1">
        <v>87</v>
      </c>
      <c r="G2134" t="s">
        <v>129</v>
      </c>
      <c r="H2134" t="s">
        <v>45</v>
      </c>
      <c r="I2134" t="s">
        <v>136</v>
      </c>
      <c r="J2134" t="s">
        <v>58</v>
      </c>
      <c r="K2134" s="2">
        <v>4.7</v>
      </c>
      <c r="L2134" t="s">
        <v>152</v>
      </c>
      <c r="M2134" t="s">
        <v>46</v>
      </c>
      <c r="N2134" t="s">
        <v>72</v>
      </c>
      <c r="O2134" t="s">
        <v>152</v>
      </c>
      <c r="P2134" t="s">
        <v>152</v>
      </c>
      <c r="Q2134" s="3">
        <v>15</v>
      </c>
      <c r="R2134" t="s">
        <v>59</v>
      </c>
      <c r="S2134" t="s">
        <v>41</v>
      </c>
    </row>
    <row r="2135" spans="1:19" x14ac:dyDescent="0.25">
      <c r="A2135">
        <v>2134</v>
      </c>
      <c r="B2135">
        <v>21</v>
      </c>
      <c r="C2135" t="s">
        <v>19</v>
      </c>
      <c r="D2135" t="s">
        <v>124</v>
      </c>
      <c r="E2135" t="s">
        <v>69</v>
      </c>
      <c r="F2135" s="1">
        <v>34</v>
      </c>
      <c r="G2135" t="s">
        <v>32</v>
      </c>
      <c r="H2135" t="s">
        <v>45</v>
      </c>
      <c r="I2135" t="s">
        <v>79</v>
      </c>
      <c r="J2135" t="s">
        <v>54</v>
      </c>
      <c r="K2135" s="2">
        <v>3.8</v>
      </c>
      <c r="L2135" t="s">
        <v>152</v>
      </c>
      <c r="M2135" t="s">
        <v>46</v>
      </c>
      <c r="N2135" t="s">
        <v>55</v>
      </c>
      <c r="O2135" t="s">
        <v>152</v>
      </c>
      <c r="P2135" t="s">
        <v>152</v>
      </c>
      <c r="Q2135" s="3">
        <v>13</v>
      </c>
      <c r="R2135" t="s">
        <v>34</v>
      </c>
      <c r="S2135" t="s">
        <v>50</v>
      </c>
    </row>
    <row r="2136" spans="1:19" x14ac:dyDescent="0.25">
      <c r="A2136">
        <v>2135</v>
      </c>
      <c r="B2136">
        <v>55</v>
      </c>
      <c r="C2136" t="s">
        <v>19</v>
      </c>
      <c r="D2136" t="s">
        <v>42</v>
      </c>
      <c r="E2136" t="s">
        <v>43</v>
      </c>
      <c r="F2136" s="1">
        <v>41</v>
      </c>
      <c r="G2136" t="s">
        <v>141</v>
      </c>
      <c r="H2136" t="s">
        <v>92</v>
      </c>
      <c r="I2136" t="s">
        <v>33</v>
      </c>
      <c r="J2136" t="s">
        <v>25</v>
      </c>
      <c r="K2136" s="2">
        <v>2.9</v>
      </c>
      <c r="L2136" t="s">
        <v>152</v>
      </c>
      <c r="M2136" t="s">
        <v>29</v>
      </c>
      <c r="N2136" t="s">
        <v>55</v>
      </c>
      <c r="O2136" t="s">
        <v>152</v>
      </c>
      <c r="P2136" t="s">
        <v>152</v>
      </c>
      <c r="Q2136" s="3">
        <v>35</v>
      </c>
      <c r="R2136" t="s">
        <v>27</v>
      </c>
      <c r="S2136" t="s">
        <v>30</v>
      </c>
    </row>
    <row r="2137" spans="1:19" x14ac:dyDescent="0.25">
      <c r="A2137">
        <v>2136</v>
      </c>
      <c r="B2137">
        <v>34</v>
      </c>
      <c r="C2137" t="s">
        <v>19</v>
      </c>
      <c r="D2137" t="s">
        <v>89</v>
      </c>
      <c r="E2137" t="s">
        <v>69</v>
      </c>
      <c r="F2137" s="1">
        <v>94</v>
      </c>
      <c r="G2137" t="s">
        <v>99</v>
      </c>
      <c r="H2137" t="s">
        <v>38</v>
      </c>
      <c r="I2137" t="s">
        <v>134</v>
      </c>
      <c r="J2137" t="s">
        <v>25</v>
      </c>
      <c r="K2137" s="2">
        <v>4.5999999999999996</v>
      </c>
      <c r="L2137" t="s">
        <v>152</v>
      </c>
      <c r="M2137" t="s">
        <v>27</v>
      </c>
      <c r="N2137" t="s">
        <v>47</v>
      </c>
      <c r="O2137" t="s">
        <v>152</v>
      </c>
      <c r="P2137" t="s">
        <v>152</v>
      </c>
      <c r="Q2137" s="3">
        <v>1</v>
      </c>
      <c r="R2137" t="s">
        <v>59</v>
      </c>
      <c r="S2137" t="s">
        <v>97</v>
      </c>
    </row>
    <row r="2138" spans="1:19" x14ac:dyDescent="0.25">
      <c r="A2138">
        <v>2137</v>
      </c>
      <c r="B2138">
        <v>47</v>
      </c>
      <c r="C2138" t="s">
        <v>19</v>
      </c>
      <c r="D2138" t="s">
        <v>89</v>
      </c>
      <c r="E2138" t="s">
        <v>69</v>
      </c>
      <c r="F2138" s="1">
        <v>93</v>
      </c>
      <c r="G2138" t="s">
        <v>85</v>
      </c>
      <c r="H2138" t="s">
        <v>45</v>
      </c>
      <c r="I2138" t="s">
        <v>108</v>
      </c>
      <c r="J2138" t="s">
        <v>54</v>
      </c>
      <c r="K2138" s="2">
        <v>2.8</v>
      </c>
      <c r="L2138" t="s">
        <v>152</v>
      </c>
      <c r="M2138" t="s">
        <v>34</v>
      </c>
      <c r="N2138" t="s">
        <v>55</v>
      </c>
      <c r="O2138" t="s">
        <v>152</v>
      </c>
      <c r="P2138" t="s">
        <v>152</v>
      </c>
      <c r="Q2138" s="3">
        <v>25</v>
      </c>
      <c r="R2138" t="s">
        <v>34</v>
      </c>
      <c r="S2138" t="s">
        <v>30</v>
      </c>
    </row>
    <row r="2139" spans="1:19" x14ac:dyDescent="0.25">
      <c r="A2139">
        <v>2138</v>
      </c>
      <c r="B2139">
        <v>27</v>
      </c>
      <c r="C2139" t="s">
        <v>19</v>
      </c>
      <c r="D2139" t="s">
        <v>125</v>
      </c>
      <c r="E2139" t="s">
        <v>21</v>
      </c>
      <c r="F2139" s="1">
        <v>51</v>
      </c>
      <c r="G2139" t="s">
        <v>116</v>
      </c>
      <c r="H2139" t="s">
        <v>92</v>
      </c>
      <c r="I2139" t="s">
        <v>75</v>
      </c>
      <c r="J2139" t="s">
        <v>25</v>
      </c>
      <c r="K2139" s="2">
        <v>4.5999999999999996</v>
      </c>
      <c r="L2139" t="s">
        <v>152</v>
      </c>
      <c r="M2139" t="s">
        <v>34</v>
      </c>
      <c r="N2139" t="s">
        <v>72</v>
      </c>
      <c r="O2139" t="s">
        <v>152</v>
      </c>
      <c r="P2139" t="s">
        <v>152</v>
      </c>
      <c r="Q2139" s="3">
        <v>20</v>
      </c>
      <c r="R2139" t="s">
        <v>27</v>
      </c>
      <c r="S2139" t="s">
        <v>97</v>
      </c>
    </row>
    <row r="2140" spans="1:19" x14ac:dyDescent="0.25">
      <c r="A2140">
        <v>2139</v>
      </c>
      <c r="B2140">
        <v>67</v>
      </c>
      <c r="C2140" t="s">
        <v>19</v>
      </c>
      <c r="D2140" t="s">
        <v>31</v>
      </c>
      <c r="E2140" t="s">
        <v>21</v>
      </c>
      <c r="F2140" s="1">
        <v>42</v>
      </c>
      <c r="G2140" t="s">
        <v>91</v>
      </c>
      <c r="H2140" t="s">
        <v>45</v>
      </c>
      <c r="I2140" t="s">
        <v>86</v>
      </c>
      <c r="J2140" t="s">
        <v>58</v>
      </c>
      <c r="K2140" s="2">
        <v>2.8</v>
      </c>
      <c r="L2140" t="s">
        <v>152</v>
      </c>
      <c r="M2140" t="s">
        <v>29</v>
      </c>
      <c r="N2140" t="s">
        <v>47</v>
      </c>
      <c r="O2140" t="s">
        <v>152</v>
      </c>
      <c r="P2140" t="s">
        <v>152</v>
      </c>
      <c r="Q2140" s="3">
        <v>36</v>
      </c>
      <c r="R2140" t="s">
        <v>29</v>
      </c>
      <c r="S2140" t="s">
        <v>60</v>
      </c>
    </row>
    <row r="2141" spans="1:19" x14ac:dyDescent="0.25">
      <c r="A2141">
        <v>2140</v>
      </c>
      <c r="B2141">
        <v>40</v>
      </c>
      <c r="C2141" t="s">
        <v>19</v>
      </c>
      <c r="D2141" t="s">
        <v>137</v>
      </c>
      <c r="E2141" t="s">
        <v>43</v>
      </c>
      <c r="F2141" s="1">
        <v>95</v>
      </c>
      <c r="G2141" t="s">
        <v>85</v>
      </c>
      <c r="H2141" t="s">
        <v>45</v>
      </c>
      <c r="I2141" t="s">
        <v>108</v>
      </c>
      <c r="J2141" t="s">
        <v>25</v>
      </c>
      <c r="K2141" s="2">
        <v>3</v>
      </c>
      <c r="L2141" t="s">
        <v>152</v>
      </c>
      <c r="M2141" t="s">
        <v>27</v>
      </c>
      <c r="N2141" t="s">
        <v>40</v>
      </c>
      <c r="O2141" t="s">
        <v>152</v>
      </c>
      <c r="P2141" t="s">
        <v>152</v>
      </c>
      <c r="Q2141" s="3">
        <v>33</v>
      </c>
      <c r="R2141" t="s">
        <v>35</v>
      </c>
      <c r="S2141" t="s">
        <v>41</v>
      </c>
    </row>
    <row r="2142" spans="1:19" x14ac:dyDescent="0.25">
      <c r="A2142">
        <v>2141</v>
      </c>
      <c r="B2142">
        <v>53</v>
      </c>
      <c r="C2142" t="s">
        <v>19</v>
      </c>
      <c r="D2142" t="s">
        <v>68</v>
      </c>
      <c r="E2142" t="s">
        <v>69</v>
      </c>
      <c r="F2142" s="1">
        <v>90</v>
      </c>
      <c r="G2142" t="s">
        <v>130</v>
      </c>
      <c r="H2142" t="s">
        <v>45</v>
      </c>
      <c r="I2142" t="s">
        <v>110</v>
      </c>
      <c r="J2142" t="s">
        <v>58</v>
      </c>
      <c r="K2142" s="2">
        <v>3.7</v>
      </c>
      <c r="L2142" t="s">
        <v>152</v>
      </c>
      <c r="M2142" t="s">
        <v>35</v>
      </c>
      <c r="N2142" t="s">
        <v>55</v>
      </c>
      <c r="O2142" t="s">
        <v>152</v>
      </c>
      <c r="P2142" t="s">
        <v>152</v>
      </c>
      <c r="Q2142" s="3">
        <v>36</v>
      </c>
      <c r="R2142" t="s">
        <v>35</v>
      </c>
      <c r="S2142" t="s">
        <v>30</v>
      </c>
    </row>
    <row r="2143" spans="1:19" x14ac:dyDescent="0.25">
      <c r="A2143">
        <v>2142</v>
      </c>
      <c r="B2143">
        <v>24</v>
      </c>
      <c r="C2143" t="s">
        <v>19</v>
      </c>
      <c r="D2143" t="s">
        <v>82</v>
      </c>
      <c r="E2143" t="s">
        <v>21</v>
      </c>
      <c r="F2143" s="1">
        <v>98</v>
      </c>
      <c r="G2143" t="s">
        <v>22</v>
      </c>
      <c r="H2143" t="s">
        <v>45</v>
      </c>
      <c r="I2143" t="s">
        <v>100</v>
      </c>
      <c r="J2143" t="s">
        <v>25</v>
      </c>
      <c r="K2143" s="2">
        <v>4.0999999999999996</v>
      </c>
      <c r="L2143" t="s">
        <v>152</v>
      </c>
      <c r="M2143" t="s">
        <v>27</v>
      </c>
      <c r="N2143" t="s">
        <v>72</v>
      </c>
      <c r="O2143" t="s">
        <v>152</v>
      </c>
      <c r="P2143" t="s">
        <v>152</v>
      </c>
      <c r="Q2143" s="3">
        <v>32</v>
      </c>
      <c r="R2143" t="s">
        <v>46</v>
      </c>
      <c r="S2143" t="s">
        <v>50</v>
      </c>
    </row>
    <row r="2144" spans="1:19" x14ac:dyDescent="0.25">
      <c r="A2144">
        <v>2143</v>
      </c>
      <c r="B2144">
        <v>47</v>
      </c>
      <c r="C2144" t="s">
        <v>19</v>
      </c>
      <c r="D2144" t="s">
        <v>124</v>
      </c>
      <c r="E2144" t="s">
        <v>69</v>
      </c>
      <c r="F2144" s="1">
        <v>39</v>
      </c>
      <c r="G2144" t="s">
        <v>114</v>
      </c>
      <c r="H2144" t="s">
        <v>45</v>
      </c>
      <c r="I2144" t="s">
        <v>33</v>
      </c>
      <c r="J2144" t="s">
        <v>25</v>
      </c>
      <c r="K2144" s="2">
        <v>4.3</v>
      </c>
      <c r="L2144" t="s">
        <v>152</v>
      </c>
      <c r="M2144" t="s">
        <v>29</v>
      </c>
      <c r="N2144" t="s">
        <v>47</v>
      </c>
      <c r="O2144" t="s">
        <v>152</v>
      </c>
      <c r="P2144" t="s">
        <v>152</v>
      </c>
      <c r="Q2144" s="3">
        <v>21</v>
      </c>
      <c r="R2144" t="s">
        <v>29</v>
      </c>
      <c r="S2144" t="s">
        <v>60</v>
      </c>
    </row>
    <row r="2145" spans="1:19" x14ac:dyDescent="0.25">
      <c r="A2145">
        <v>2144</v>
      </c>
      <c r="B2145">
        <v>53</v>
      </c>
      <c r="C2145" t="s">
        <v>19</v>
      </c>
      <c r="D2145" t="s">
        <v>42</v>
      </c>
      <c r="E2145" t="s">
        <v>43</v>
      </c>
      <c r="F2145" s="1">
        <v>66</v>
      </c>
      <c r="G2145" t="s">
        <v>74</v>
      </c>
      <c r="H2145" t="s">
        <v>23</v>
      </c>
      <c r="I2145" t="s">
        <v>108</v>
      </c>
      <c r="J2145" t="s">
        <v>58</v>
      </c>
      <c r="K2145" s="2">
        <v>3.8</v>
      </c>
      <c r="L2145" t="s">
        <v>152</v>
      </c>
      <c r="M2145" t="s">
        <v>59</v>
      </c>
      <c r="N2145" t="s">
        <v>47</v>
      </c>
      <c r="O2145" t="s">
        <v>152</v>
      </c>
      <c r="P2145" t="s">
        <v>152</v>
      </c>
      <c r="Q2145" s="3">
        <v>48</v>
      </c>
      <c r="R2145" t="s">
        <v>29</v>
      </c>
      <c r="S2145" t="s">
        <v>77</v>
      </c>
    </row>
    <row r="2146" spans="1:19" x14ac:dyDescent="0.25">
      <c r="A2146">
        <v>2145</v>
      </c>
      <c r="B2146">
        <v>47</v>
      </c>
      <c r="C2146" t="s">
        <v>19</v>
      </c>
      <c r="D2146" t="s">
        <v>73</v>
      </c>
      <c r="E2146" t="s">
        <v>43</v>
      </c>
      <c r="F2146" s="1">
        <v>23</v>
      </c>
      <c r="G2146" t="s">
        <v>128</v>
      </c>
      <c r="H2146" t="s">
        <v>23</v>
      </c>
      <c r="I2146" t="s">
        <v>121</v>
      </c>
      <c r="J2146" t="s">
        <v>25</v>
      </c>
      <c r="K2146" s="2">
        <v>3.7</v>
      </c>
      <c r="L2146" t="s">
        <v>152</v>
      </c>
      <c r="M2146" t="s">
        <v>35</v>
      </c>
      <c r="N2146" t="s">
        <v>40</v>
      </c>
      <c r="O2146" t="s">
        <v>152</v>
      </c>
      <c r="P2146" t="s">
        <v>152</v>
      </c>
      <c r="Q2146" s="3">
        <v>25</v>
      </c>
      <c r="R2146" t="s">
        <v>46</v>
      </c>
      <c r="S2146" t="s">
        <v>60</v>
      </c>
    </row>
    <row r="2147" spans="1:19" x14ac:dyDescent="0.25">
      <c r="A2147">
        <v>2146</v>
      </c>
      <c r="B2147">
        <v>38</v>
      </c>
      <c r="C2147" t="s">
        <v>19</v>
      </c>
      <c r="D2147" t="s">
        <v>87</v>
      </c>
      <c r="E2147" t="s">
        <v>21</v>
      </c>
      <c r="F2147" s="1">
        <v>73</v>
      </c>
      <c r="G2147" t="s">
        <v>139</v>
      </c>
      <c r="H2147" t="s">
        <v>38</v>
      </c>
      <c r="I2147" t="s">
        <v>53</v>
      </c>
      <c r="J2147" t="s">
        <v>25</v>
      </c>
      <c r="K2147" s="2">
        <v>4.8</v>
      </c>
      <c r="L2147" t="s">
        <v>152</v>
      </c>
      <c r="M2147" t="s">
        <v>59</v>
      </c>
      <c r="N2147" t="s">
        <v>55</v>
      </c>
      <c r="O2147" t="s">
        <v>152</v>
      </c>
      <c r="P2147" t="s">
        <v>152</v>
      </c>
      <c r="Q2147" s="3">
        <v>32</v>
      </c>
      <c r="R2147" t="s">
        <v>46</v>
      </c>
      <c r="S2147" t="s">
        <v>50</v>
      </c>
    </row>
    <row r="2148" spans="1:19" x14ac:dyDescent="0.25">
      <c r="A2148">
        <v>2147</v>
      </c>
      <c r="B2148">
        <v>48</v>
      </c>
      <c r="C2148" t="s">
        <v>19</v>
      </c>
      <c r="D2148" t="s">
        <v>89</v>
      </c>
      <c r="E2148" t="s">
        <v>69</v>
      </c>
      <c r="F2148" s="1">
        <v>23</v>
      </c>
      <c r="G2148" t="s">
        <v>140</v>
      </c>
      <c r="H2148" t="s">
        <v>92</v>
      </c>
      <c r="I2148" t="s">
        <v>53</v>
      </c>
      <c r="J2148" t="s">
        <v>54</v>
      </c>
      <c r="K2148" s="2">
        <v>4.5999999999999996</v>
      </c>
      <c r="L2148" t="s">
        <v>152</v>
      </c>
      <c r="M2148" t="s">
        <v>59</v>
      </c>
      <c r="N2148" t="s">
        <v>55</v>
      </c>
      <c r="O2148" t="s">
        <v>152</v>
      </c>
      <c r="P2148" t="s">
        <v>152</v>
      </c>
      <c r="Q2148" s="3">
        <v>45</v>
      </c>
      <c r="R2148" t="s">
        <v>46</v>
      </c>
      <c r="S2148" t="s">
        <v>97</v>
      </c>
    </row>
    <row r="2149" spans="1:19" x14ac:dyDescent="0.25">
      <c r="A2149">
        <v>2148</v>
      </c>
      <c r="B2149">
        <v>47</v>
      </c>
      <c r="C2149" t="s">
        <v>19</v>
      </c>
      <c r="D2149" t="s">
        <v>87</v>
      </c>
      <c r="E2149" t="s">
        <v>21</v>
      </c>
      <c r="F2149" s="1">
        <v>43</v>
      </c>
      <c r="G2149" t="s">
        <v>70</v>
      </c>
      <c r="H2149" t="s">
        <v>38</v>
      </c>
      <c r="I2149" t="s">
        <v>63</v>
      </c>
      <c r="J2149" t="s">
        <v>58</v>
      </c>
      <c r="K2149" s="2">
        <v>4.8</v>
      </c>
      <c r="L2149" t="s">
        <v>152</v>
      </c>
      <c r="M2149" t="s">
        <v>46</v>
      </c>
      <c r="N2149" t="s">
        <v>55</v>
      </c>
      <c r="O2149" t="s">
        <v>152</v>
      </c>
      <c r="P2149" t="s">
        <v>152</v>
      </c>
      <c r="Q2149" s="3">
        <v>4</v>
      </c>
      <c r="R2149" t="s">
        <v>35</v>
      </c>
      <c r="S2149" t="s">
        <v>30</v>
      </c>
    </row>
    <row r="2150" spans="1:19" x14ac:dyDescent="0.25">
      <c r="A2150">
        <v>2149</v>
      </c>
      <c r="B2150">
        <v>19</v>
      </c>
      <c r="C2150" t="s">
        <v>19</v>
      </c>
      <c r="D2150" t="s">
        <v>113</v>
      </c>
      <c r="E2150" t="s">
        <v>21</v>
      </c>
      <c r="F2150" s="1">
        <v>45</v>
      </c>
      <c r="G2150" t="s">
        <v>145</v>
      </c>
      <c r="H2150" t="s">
        <v>92</v>
      </c>
      <c r="I2150" t="s">
        <v>49</v>
      </c>
      <c r="J2150" t="s">
        <v>25</v>
      </c>
      <c r="K2150" s="2">
        <v>4.5999999999999996</v>
      </c>
      <c r="L2150" t="s">
        <v>152</v>
      </c>
      <c r="M2150" t="s">
        <v>46</v>
      </c>
      <c r="N2150" t="s">
        <v>72</v>
      </c>
      <c r="O2150" t="s">
        <v>152</v>
      </c>
      <c r="P2150" t="s">
        <v>152</v>
      </c>
      <c r="Q2150" s="3">
        <v>19</v>
      </c>
      <c r="R2150" t="s">
        <v>46</v>
      </c>
      <c r="S2150" t="s">
        <v>77</v>
      </c>
    </row>
    <row r="2151" spans="1:19" x14ac:dyDescent="0.25">
      <c r="A2151">
        <v>2150</v>
      </c>
      <c r="B2151">
        <v>38</v>
      </c>
      <c r="C2151" t="s">
        <v>19</v>
      </c>
      <c r="D2151" t="s">
        <v>42</v>
      </c>
      <c r="E2151" t="s">
        <v>43</v>
      </c>
      <c r="F2151" s="1">
        <v>21</v>
      </c>
      <c r="G2151" t="s">
        <v>78</v>
      </c>
      <c r="H2151" t="s">
        <v>23</v>
      </c>
      <c r="I2151" t="s">
        <v>121</v>
      </c>
      <c r="J2151" t="s">
        <v>25</v>
      </c>
      <c r="K2151" s="2">
        <v>4</v>
      </c>
      <c r="L2151" t="s">
        <v>152</v>
      </c>
      <c r="M2151" t="s">
        <v>34</v>
      </c>
      <c r="N2151" t="s">
        <v>55</v>
      </c>
      <c r="O2151" t="s">
        <v>152</v>
      </c>
      <c r="P2151" t="s">
        <v>152</v>
      </c>
      <c r="Q2151" s="3">
        <v>1</v>
      </c>
      <c r="R2151" t="s">
        <v>34</v>
      </c>
      <c r="S2151" t="s">
        <v>41</v>
      </c>
    </row>
    <row r="2152" spans="1:19" x14ac:dyDescent="0.25">
      <c r="A2152">
        <v>2151</v>
      </c>
      <c r="B2152">
        <v>57</v>
      </c>
      <c r="C2152" t="s">
        <v>19</v>
      </c>
      <c r="D2152" t="s">
        <v>56</v>
      </c>
      <c r="E2152" t="s">
        <v>21</v>
      </c>
      <c r="F2152" s="1">
        <v>40</v>
      </c>
      <c r="G2152" t="s">
        <v>115</v>
      </c>
      <c r="H2152" t="s">
        <v>45</v>
      </c>
      <c r="I2152" t="s">
        <v>121</v>
      </c>
      <c r="J2152" t="s">
        <v>39</v>
      </c>
      <c r="K2152" s="2">
        <v>2.6</v>
      </c>
      <c r="L2152" t="s">
        <v>152</v>
      </c>
      <c r="M2152" t="s">
        <v>46</v>
      </c>
      <c r="N2152" t="s">
        <v>72</v>
      </c>
      <c r="O2152" t="s">
        <v>152</v>
      </c>
      <c r="P2152" t="s">
        <v>152</v>
      </c>
      <c r="Q2152" s="3">
        <v>12</v>
      </c>
      <c r="R2152" t="s">
        <v>35</v>
      </c>
      <c r="S2152" t="s">
        <v>41</v>
      </c>
    </row>
    <row r="2153" spans="1:19" x14ac:dyDescent="0.25">
      <c r="A2153">
        <v>2152</v>
      </c>
      <c r="B2153">
        <v>70</v>
      </c>
      <c r="C2153" t="s">
        <v>19</v>
      </c>
      <c r="D2153" t="s">
        <v>36</v>
      </c>
      <c r="E2153" t="s">
        <v>21</v>
      </c>
      <c r="F2153" s="1">
        <v>58</v>
      </c>
      <c r="G2153" t="s">
        <v>129</v>
      </c>
      <c r="H2153" t="s">
        <v>23</v>
      </c>
      <c r="I2153" t="s">
        <v>110</v>
      </c>
      <c r="J2153" t="s">
        <v>58</v>
      </c>
      <c r="K2153" s="2">
        <v>2.6</v>
      </c>
      <c r="L2153" t="s">
        <v>152</v>
      </c>
      <c r="M2153" t="s">
        <v>29</v>
      </c>
      <c r="N2153" t="s">
        <v>72</v>
      </c>
      <c r="O2153" t="s">
        <v>152</v>
      </c>
      <c r="P2153" t="s">
        <v>152</v>
      </c>
      <c r="Q2153" s="3">
        <v>18</v>
      </c>
      <c r="R2153" t="s">
        <v>29</v>
      </c>
      <c r="S2153" t="s">
        <v>88</v>
      </c>
    </row>
    <row r="2154" spans="1:19" x14ac:dyDescent="0.25">
      <c r="A2154">
        <v>2153</v>
      </c>
      <c r="B2154">
        <v>38</v>
      </c>
      <c r="C2154" t="s">
        <v>19</v>
      </c>
      <c r="D2154" t="s">
        <v>61</v>
      </c>
      <c r="E2154" t="s">
        <v>21</v>
      </c>
      <c r="F2154" s="1">
        <v>48</v>
      </c>
      <c r="G2154" t="s">
        <v>127</v>
      </c>
      <c r="H2154" t="s">
        <v>23</v>
      </c>
      <c r="I2154" t="s">
        <v>136</v>
      </c>
      <c r="J2154" t="s">
        <v>54</v>
      </c>
      <c r="K2154" s="2">
        <v>4.5</v>
      </c>
      <c r="L2154" t="s">
        <v>152</v>
      </c>
      <c r="M2154" t="s">
        <v>34</v>
      </c>
      <c r="N2154" t="s">
        <v>47</v>
      </c>
      <c r="O2154" t="s">
        <v>152</v>
      </c>
      <c r="P2154" t="s">
        <v>152</v>
      </c>
      <c r="Q2154" s="3">
        <v>43</v>
      </c>
      <c r="R2154" t="s">
        <v>34</v>
      </c>
      <c r="S2154" t="s">
        <v>77</v>
      </c>
    </row>
    <row r="2155" spans="1:19" x14ac:dyDescent="0.25">
      <c r="A2155">
        <v>2154</v>
      </c>
      <c r="B2155">
        <v>35</v>
      </c>
      <c r="C2155" t="s">
        <v>19</v>
      </c>
      <c r="D2155" t="s">
        <v>56</v>
      </c>
      <c r="E2155" t="s">
        <v>21</v>
      </c>
      <c r="F2155" s="1">
        <v>94</v>
      </c>
      <c r="G2155" t="s">
        <v>22</v>
      </c>
      <c r="H2155" t="s">
        <v>45</v>
      </c>
      <c r="I2155" t="s">
        <v>84</v>
      </c>
      <c r="J2155" t="s">
        <v>58</v>
      </c>
      <c r="K2155" s="2">
        <v>4.2</v>
      </c>
      <c r="L2155" t="s">
        <v>152</v>
      </c>
      <c r="M2155" t="s">
        <v>27</v>
      </c>
      <c r="N2155" t="s">
        <v>40</v>
      </c>
      <c r="O2155" t="s">
        <v>152</v>
      </c>
      <c r="P2155" t="s">
        <v>152</v>
      </c>
      <c r="Q2155" s="3">
        <v>31</v>
      </c>
      <c r="R2155" t="s">
        <v>46</v>
      </c>
      <c r="S2155" t="s">
        <v>50</v>
      </c>
    </row>
    <row r="2156" spans="1:19" x14ac:dyDescent="0.25">
      <c r="A2156">
        <v>2155</v>
      </c>
      <c r="B2156">
        <v>46</v>
      </c>
      <c r="C2156" t="s">
        <v>19</v>
      </c>
      <c r="D2156" t="s">
        <v>119</v>
      </c>
      <c r="E2156" t="s">
        <v>69</v>
      </c>
      <c r="F2156" s="1">
        <v>74</v>
      </c>
      <c r="G2156" t="s">
        <v>52</v>
      </c>
      <c r="H2156" t="s">
        <v>45</v>
      </c>
      <c r="I2156" t="s">
        <v>84</v>
      </c>
      <c r="J2156" t="s">
        <v>39</v>
      </c>
      <c r="K2156" s="2">
        <v>3.4</v>
      </c>
      <c r="L2156" t="s">
        <v>152</v>
      </c>
      <c r="M2156" t="s">
        <v>59</v>
      </c>
      <c r="N2156" t="s">
        <v>76</v>
      </c>
      <c r="O2156" t="s">
        <v>152</v>
      </c>
      <c r="P2156" t="s">
        <v>152</v>
      </c>
      <c r="Q2156" s="3">
        <v>33</v>
      </c>
      <c r="R2156" t="s">
        <v>35</v>
      </c>
      <c r="S2156" t="s">
        <v>97</v>
      </c>
    </row>
    <row r="2157" spans="1:19" x14ac:dyDescent="0.25">
      <c r="A2157">
        <v>2156</v>
      </c>
      <c r="B2157">
        <v>32</v>
      </c>
      <c r="C2157" t="s">
        <v>19</v>
      </c>
      <c r="D2157" t="s">
        <v>68</v>
      </c>
      <c r="E2157" t="s">
        <v>69</v>
      </c>
      <c r="F2157" s="1">
        <v>51</v>
      </c>
      <c r="G2157" t="s">
        <v>78</v>
      </c>
      <c r="H2157" t="s">
        <v>23</v>
      </c>
      <c r="I2157" t="s">
        <v>134</v>
      </c>
      <c r="J2157" t="s">
        <v>58</v>
      </c>
      <c r="K2157" s="2">
        <v>3.7</v>
      </c>
      <c r="L2157" t="s">
        <v>152</v>
      </c>
      <c r="M2157" t="s">
        <v>59</v>
      </c>
      <c r="N2157" t="s">
        <v>76</v>
      </c>
      <c r="O2157" t="s">
        <v>152</v>
      </c>
      <c r="P2157" t="s">
        <v>152</v>
      </c>
      <c r="Q2157" s="3">
        <v>46</v>
      </c>
      <c r="R2157" t="s">
        <v>46</v>
      </c>
      <c r="S2157" t="s">
        <v>88</v>
      </c>
    </row>
    <row r="2158" spans="1:19" x14ac:dyDescent="0.25">
      <c r="A2158">
        <v>2157</v>
      </c>
      <c r="B2158">
        <v>38</v>
      </c>
      <c r="C2158" t="s">
        <v>19</v>
      </c>
      <c r="D2158" t="s">
        <v>87</v>
      </c>
      <c r="E2158" t="s">
        <v>21</v>
      </c>
      <c r="F2158" s="1">
        <v>83</v>
      </c>
      <c r="G2158" t="s">
        <v>70</v>
      </c>
      <c r="H2158" t="s">
        <v>45</v>
      </c>
      <c r="I2158" t="s">
        <v>33</v>
      </c>
      <c r="J2158" t="s">
        <v>25</v>
      </c>
      <c r="K2158" s="2">
        <v>3.6</v>
      </c>
      <c r="L2158" t="s">
        <v>152</v>
      </c>
      <c r="M2158" t="s">
        <v>46</v>
      </c>
      <c r="N2158" t="s">
        <v>47</v>
      </c>
      <c r="O2158" t="s">
        <v>152</v>
      </c>
      <c r="P2158" t="s">
        <v>152</v>
      </c>
      <c r="Q2158" s="3">
        <v>41</v>
      </c>
      <c r="R2158" t="s">
        <v>59</v>
      </c>
      <c r="S2158" t="s">
        <v>77</v>
      </c>
    </row>
    <row r="2159" spans="1:19" x14ac:dyDescent="0.25">
      <c r="A2159">
        <v>2158</v>
      </c>
      <c r="B2159">
        <v>41</v>
      </c>
      <c r="C2159" t="s">
        <v>19</v>
      </c>
      <c r="D2159" t="s">
        <v>68</v>
      </c>
      <c r="E2159" t="s">
        <v>69</v>
      </c>
      <c r="F2159" s="1">
        <v>68</v>
      </c>
      <c r="G2159" t="s">
        <v>91</v>
      </c>
      <c r="H2159" t="s">
        <v>23</v>
      </c>
      <c r="I2159" t="s">
        <v>49</v>
      </c>
      <c r="J2159" t="s">
        <v>25</v>
      </c>
      <c r="K2159" s="2">
        <v>4</v>
      </c>
      <c r="L2159" t="s">
        <v>152</v>
      </c>
      <c r="M2159" t="s">
        <v>59</v>
      </c>
      <c r="N2159" t="s">
        <v>47</v>
      </c>
      <c r="O2159" t="s">
        <v>152</v>
      </c>
      <c r="P2159" t="s">
        <v>152</v>
      </c>
      <c r="Q2159" s="3">
        <v>41</v>
      </c>
      <c r="R2159" t="s">
        <v>29</v>
      </c>
      <c r="S2159" t="s">
        <v>30</v>
      </c>
    </row>
    <row r="2160" spans="1:19" x14ac:dyDescent="0.25">
      <c r="A2160">
        <v>2159</v>
      </c>
      <c r="B2160">
        <v>19</v>
      </c>
      <c r="C2160" t="s">
        <v>19</v>
      </c>
      <c r="D2160" t="s">
        <v>143</v>
      </c>
      <c r="E2160" t="s">
        <v>69</v>
      </c>
      <c r="F2160" s="1">
        <v>84</v>
      </c>
      <c r="G2160" t="s">
        <v>37</v>
      </c>
      <c r="H2160" t="s">
        <v>92</v>
      </c>
      <c r="I2160" t="s">
        <v>79</v>
      </c>
      <c r="J2160" t="s">
        <v>39</v>
      </c>
      <c r="K2160" s="2">
        <v>4.5999999999999996</v>
      </c>
      <c r="L2160" t="s">
        <v>152</v>
      </c>
      <c r="M2160" t="s">
        <v>27</v>
      </c>
      <c r="N2160" t="s">
        <v>55</v>
      </c>
      <c r="O2160" t="s">
        <v>152</v>
      </c>
      <c r="P2160" t="s">
        <v>152</v>
      </c>
      <c r="Q2160" s="3">
        <v>9</v>
      </c>
      <c r="R2160" t="s">
        <v>34</v>
      </c>
      <c r="S2160" t="s">
        <v>30</v>
      </c>
    </row>
    <row r="2161" spans="1:19" x14ac:dyDescent="0.25">
      <c r="A2161">
        <v>2160</v>
      </c>
      <c r="B2161">
        <v>18</v>
      </c>
      <c r="C2161" t="s">
        <v>19</v>
      </c>
      <c r="D2161" t="s">
        <v>56</v>
      </c>
      <c r="E2161" t="s">
        <v>21</v>
      </c>
      <c r="F2161" s="1">
        <v>58</v>
      </c>
      <c r="G2161" t="s">
        <v>62</v>
      </c>
      <c r="H2161" t="s">
        <v>45</v>
      </c>
      <c r="I2161" t="s">
        <v>100</v>
      </c>
      <c r="J2161" t="s">
        <v>58</v>
      </c>
      <c r="K2161" s="2">
        <v>3</v>
      </c>
      <c r="L2161" t="s">
        <v>152</v>
      </c>
      <c r="M2161" t="s">
        <v>46</v>
      </c>
      <c r="N2161" t="s">
        <v>40</v>
      </c>
      <c r="O2161" t="s">
        <v>152</v>
      </c>
      <c r="P2161" t="s">
        <v>152</v>
      </c>
      <c r="Q2161" s="3">
        <v>34</v>
      </c>
      <c r="R2161" t="s">
        <v>35</v>
      </c>
      <c r="S2161" t="s">
        <v>50</v>
      </c>
    </row>
    <row r="2162" spans="1:19" x14ac:dyDescent="0.25">
      <c r="A2162">
        <v>2161</v>
      </c>
      <c r="B2162">
        <v>45</v>
      </c>
      <c r="C2162" t="s">
        <v>19</v>
      </c>
      <c r="D2162" t="s">
        <v>20</v>
      </c>
      <c r="E2162" t="s">
        <v>21</v>
      </c>
      <c r="F2162" s="1">
        <v>92</v>
      </c>
      <c r="G2162" t="s">
        <v>66</v>
      </c>
      <c r="H2162" t="s">
        <v>23</v>
      </c>
      <c r="I2162" t="s">
        <v>63</v>
      </c>
      <c r="J2162" t="s">
        <v>25</v>
      </c>
      <c r="K2162" s="2">
        <v>3.3</v>
      </c>
      <c r="L2162" t="s">
        <v>152</v>
      </c>
      <c r="M2162" t="s">
        <v>34</v>
      </c>
      <c r="N2162" t="s">
        <v>28</v>
      </c>
      <c r="O2162" t="s">
        <v>152</v>
      </c>
      <c r="P2162" t="s">
        <v>152</v>
      </c>
      <c r="Q2162" s="3">
        <v>21</v>
      </c>
      <c r="R2162" t="s">
        <v>46</v>
      </c>
      <c r="S2162" t="s">
        <v>50</v>
      </c>
    </row>
    <row r="2163" spans="1:19" x14ac:dyDescent="0.25">
      <c r="A2163">
        <v>2162</v>
      </c>
      <c r="B2163">
        <v>23</v>
      </c>
      <c r="C2163" t="s">
        <v>19</v>
      </c>
      <c r="D2163" t="s">
        <v>82</v>
      </c>
      <c r="E2163" t="s">
        <v>21</v>
      </c>
      <c r="F2163" s="1">
        <v>69</v>
      </c>
      <c r="G2163" t="s">
        <v>149</v>
      </c>
      <c r="H2163" t="s">
        <v>38</v>
      </c>
      <c r="I2163" t="s">
        <v>100</v>
      </c>
      <c r="J2163" t="s">
        <v>54</v>
      </c>
      <c r="K2163" s="2">
        <v>3.8</v>
      </c>
      <c r="L2163" t="s">
        <v>152</v>
      </c>
      <c r="M2163" t="s">
        <v>27</v>
      </c>
      <c r="N2163" t="s">
        <v>28</v>
      </c>
      <c r="O2163" t="s">
        <v>152</v>
      </c>
      <c r="P2163" t="s">
        <v>152</v>
      </c>
      <c r="Q2163" s="3">
        <v>5</v>
      </c>
      <c r="R2163" t="s">
        <v>59</v>
      </c>
      <c r="S2163" t="s">
        <v>30</v>
      </c>
    </row>
    <row r="2164" spans="1:19" x14ac:dyDescent="0.25">
      <c r="A2164">
        <v>2163</v>
      </c>
      <c r="B2164">
        <v>60</v>
      </c>
      <c r="C2164" t="s">
        <v>19</v>
      </c>
      <c r="D2164" t="s">
        <v>61</v>
      </c>
      <c r="E2164" t="s">
        <v>21</v>
      </c>
      <c r="F2164" s="1">
        <v>48</v>
      </c>
      <c r="G2164" t="s">
        <v>48</v>
      </c>
      <c r="H2164" t="s">
        <v>38</v>
      </c>
      <c r="I2164" t="s">
        <v>94</v>
      </c>
      <c r="J2164" t="s">
        <v>54</v>
      </c>
      <c r="K2164" s="2">
        <v>2.7</v>
      </c>
      <c r="L2164" t="s">
        <v>152</v>
      </c>
      <c r="M2164" t="s">
        <v>27</v>
      </c>
      <c r="N2164" t="s">
        <v>40</v>
      </c>
      <c r="O2164" t="s">
        <v>152</v>
      </c>
      <c r="P2164" t="s">
        <v>152</v>
      </c>
      <c r="Q2164" s="3">
        <v>32</v>
      </c>
      <c r="R2164" t="s">
        <v>46</v>
      </c>
      <c r="S2164" t="s">
        <v>41</v>
      </c>
    </row>
    <row r="2165" spans="1:19" x14ac:dyDescent="0.25">
      <c r="A2165">
        <v>2164</v>
      </c>
      <c r="B2165">
        <v>52</v>
      </c>
      <c r="C2165" t="s">
        <v>19</v>
      </c>
      <c r="D2165" t="s">
        <v>73</v>
      </c>
      <c r="E2165" t="s">
        <v>43</v>
      </c>
      <c r="F2165" s="1">
        <v>60</v>
      </c>
      <c r="G2165" t="s">
        <v>85</v>
      </c>
      <c r="H2165" t="s">
        <v>23</v>
      </c>
      <c r="I2165" t="s">
        <v>24</v>
      </c>
      <c r="J2165" t="s">
        <v>39</v>
      </c>
      <c r="K2165" s="2">
        <v>4.5</v>
      </c>
      <c r="L2165" t="s">
        <v>152</v>
      </c>
      <c r="M2165" t="s">
        <v>34</v>
      </c>
      <c r="N2165" t="s">
        <v>28</v>
      </c>
      <c r="O2165" t="s">
        <v>152</v>
      </c>
      <c r="P2165" t="s">
        <v>152</v>
      </c>
      <c r="Q2165" s="3">
        <v>44</v>
      </c>
      <c r="R2165" t="s">
        <v>34</v>
      </c>
      <c r="S2165" t="s">
        <v>88</v>
      </c>
    </row>
    <row r="2166" spans="1:19" x14ac:dyDescent="0.25">
      <c r="A2166">
        <v>2165</v>
      </c>
      <c r="B2166">
        <v>42</v>
      </c>
      <c r="C2166" t="s">
        <v>19</v>
      </c>
      <c r="D2166" t="s">
        <v>42</v>
      </c>
      <c r="E2166" t="s">
        <v>43</v>
      </c>
      <c r="F2166" s="1">
        <v>20</v>
      </c>
      <c r="G2166" t="s">
        <v>146</v>
      </c>
      <c r="H2166" t="s">
        <v>38</v>
      </c>
      <c r="I2166" t="s">
        <v>79</v>
      </c>
      <c r="J2166" t="s">
        <v>25</v>
      </c>
      <c r="K2166" s="2">
        <v>4.8</v>
      </c>
      <c r="L2166" t="s">
        <v>152</v>
      </c>
      <c r="M2166" t="s">
        <v>29</v>
      </c>
      <c r="N2166" t="s">
        <v>47</v>
      </c>
      <c r="O2166" t="s">
        <v>152</v>
      </c>
      <c r="P2166" t="s">
        <v>152</v>
      </c>
      <c r="Q2166" s="3">
        <v>46</v>
      </c>
      <c r="R2166" t="s">
        <v>46</v>
      </c>
      <c r="S2166" t="s">
        <v>77</v>
      </c>
    </row>
    <row r="2167" spans="1:19" x14ac:dyDescent="0.25">
      <c r="A2167">
        <v>2166</v>
      </c>
      <c r="B2167">
        <v>29</v>
      </c>
      <c r="C2167" t="s">
        <v>19</v>
      </c>
      <c r="D2167" t="s">
        <v>95</v>
      </c>
      <c r="E2167" t="s">
        <v>21</v>
      </c>
      <c r="F2167" s="1">
        <v>55</v>
      </c>
      <c r="G2167" t="s">
        <v>135</v>
      </c>
      <c r="H2167" t="s">
        <v>45</v>
      </c>
      <c r="I2167" t="s">
        <v>49</v>
      </c>
      <c r="J2167" t="s">
        <v>54</v>
      </c>
      <c r="K2167" s="2">
        <v>4.2</v>
      </c>
      <c r="L2167" t="s">
        <v>152</v>
      </c>
      <c r="M2167" t="s">
        <v>34</v>
      </c>
      <c r="N2167" t="s">
        <v>28</v>
      </c>
      <c r="O2167" t="s">
        <v>152</v>
      </c>
      <c r="P2167" t="s">
        <v>152</v>
      </c>
      <c r="Q2167" s="3">
        <v>42</v>
      </c>
      <c r="R2167" t="s">
        <v>27</v>
      </c>
      <c r="S2167" t="s">
        <v>97</v>
      </c>
    </row>
    <row r="2168" spans="1:19" x14ac:dyDescent="0.25">
      <c r="A2168">
        <v>2167</v>
      </c>
      <c r="B2168">
        <v>31</v>
      </c>
      <c r="C2168" t="s">
        <v>19</v>
      </c>
      <c r="D2168" t="s">
        <v>102</v>
      </c>
      <c r="E2168" t="s">
        <v>65</v>
      </c>
      <c r="F2168" s="1">
        <v>88</v>
      </c>
      <c r="G2168" t="s">
        <v>127</v>
      </c>
      <c r="H2168" t="s">
        <v>38</v>
      </c>
      <c r="I2168" t="s">
        <v>75</v>
      </c>
      <c r="J2168" t="s">
        <v>39</v>
      </c>
      <c r="K2168" s="2">
        <v>3.5</v>
      </c>
      <c r="L2168" t="s">
        <v>152</v>
      </c>
      <c r="M2168" t="s">
        <v>29</v>
      </c>
      <c r="N2168" t="s">
        <v>28</v>
      </c>
      <c r="O2168" t="s">
        <v>152</v>
      </c>
      <c r="P2168" t="s">
        <v>152</v>
      </c>
      <c r="Q2168" s="3">
        <v>50</v>
      </c>
      <c r="R2168" t="s">
        <v>27</v>
      </c>
      <c r="S2168" t="s">
        <v>77</v>
      </c>
    </row>
    <row r="2169" spans="1:19" x14ac:dyDescent="0.25">
      <c r="A2169">
        <v>2168</v>
      </c>
      <c r="B2169">
        <v>30</v>
      </c>
      <c r="C2169" t="s">
        <v>19</v>
      </c>
      <c r="D2169" t="s">
        <v>87</v>
      </c>
      <c r="E2169" t="s">
        <v>21</v>
      </c>
      <c r="F2169" s="1">
        <v>48</v>
      </c>
      <c r="G2169" t="s">
        <v>123</v>
      </c>
      <c r="H2169" t="s">
        <v>23</v>
      </c>
      <c r="I2169" t="s">
        <v>96</v>
      </c>
      <c r="J2169" t="s">
        <v>25</v>
      </c>
      <c r="K2169" s="2">
        <v>4.9000000000000004</v>
      </c>
      <c r="L2169" t="s">
        <v>152</v>
      </c>
      <c r="M2169" t="s">
        <v>29</v>
      </c>
      <c r="N2169" t="s">
        <v>55</v>
      </c>
      <c r="O2169" t="s">
        <v>152</v>
      </c>
      <c r="P2169" t="s">
        <v>152</v>
      </c>
      <c r="Q2169" s="3">
        <v>33</v>
      </c>
      <c r="R2169" t="s">
        <v>29</v>
      </c>
      <c r="S2169" t="s">
        <v>30</v>
      </c>
    </row>
    <row r="2170" spans="1:19" x14ac:dyDescent="0.25">
      <c r="A2170">
        <v>2169</v>
      </c>
      <c r="B2170">
        <v>23</v>
      </c>
      <c r="C2170" t="s">
        <v>19</v>
      </c>
      <c r="D2170" t="s">
        <v>68</v>
      </c>
      <c r="E2170" t="s">
        <v>69</v>
      </c>
      <c r="F2170" s="1">
        <v>74</v>
      </c>
      <c r="G2170" t="s">
        <v>139</v>
      </c>
      <c r="H2170" t="s">
        <v>45</v>
      </c>
      <c r="I2170" t="s">
        <v>118</v>
      </c>
      <c r="J2170" t="s">
        <v>39</v>
      </c>
      <c r="K2170" s="2">
        <v>4.0999999999999996</v>
      </c>
      <c r="L2170" t="s">
        <v>152</v>
      </c>
      <c r="M2170" t="s">
        <v>34</v>
      </c>
      <c r="N2170" t="s">
        <v>47</v>
      </c>
      <c r="O2170" t="s">
        <v>152</v>
      </c>
      <c r="P2170" t="s">
        <v>152</v>
      </c>
      <c r="Q2170" s="3">
        <v>32</v>
      </c>
      <c r="R2170" t="s">
        <v>35</v>
      </c>
      <c r="S2170" t="s">
        <v>60</v>
      </c>
    </row>
    <row r="2171" spans="1:19" x14ac:dyDescent="0.25">
      <c r="A2171">
        <v>2170</v>
      </c>
      <c r="B2171">
        <v>31</v>
      </c>
      <c r="C2171" t="s">
        <v>19</v>
      </c>
      <c r="D2171" t="s">
        <v>64</v>
      </c>
      <c r="E2171" t="s">
        <v>65</v>
      </c>
      <c r="F2171" s="1">
        <v>42</v>
      </c>
      <c r="G2171" t="s">
        <v>103</v>
      </c>
      <c r="H2171" t="s">
        <v>45</v>
      </c>
      <c r="I2171" t="s">
        <v>110</v>
      </c>
      <c r="J2171" t="s">
        <v>58</v>
      </c>
      <c r="K2171" s="2">
        <v>2.9</v>
      </c>
      <c r="L2171" t="s">
        <v>152</v>
      </c>
      <c r="M2171" t="s">
        <v>46</v>
      </c>
      <c r="N2171" t="s">
        <v>47</v>
      </c>
      <c r="O2171" t="s">
        <v>152</v>
      </c>
      <c r="P2171" t="s">
        <v>152</v>
      </c>
      <c r="Q2171" s="3">
        <v>32</v>
      </c>
      <c r="R2171" t="s">
        <v>34</v>
      </c>
      <c r="S2171" t="s">
        <v>77</v>
      </c>
    </row>
    <row r="2172" spans="1:19" x14ac:dyDescent="0.25">
      <c r="A2172">
        <v>2171</v>
      </c>
      <c r="B2172">
        <v>40</v>
      </c>
      <c r="C2172" t="s">
        <v>19</v>
      </c>
      <c r="D2172" t="s">
        <v>31</v>
      </c>
      <c r="E2172" t="s">
        <v>21</v>
      </c>
      <c r="F2172" s="1">
        <v>32</v>
      </c>
      <c r="G2172" t="s">
        <v>131</v>
      </c>
      <c r="H2172" t="s">
        <v>45</v>
      </c>
      <c r="I2172" t="s">
        <v>49</v>
      </c>
      <c r="J2172" t="s">
        <v>58</v>
      </c>
      <c r="K2172" s="2">
        <v>4</v>
      </c>
      <c r="L2172" t="s">
        <v>152</v>
      </c>
      <c r="M2172" t="s">
        <v>46</v>
      </c>
      <c r="N2172" t="s">
        <v>47</v>
      </c>
      <c r="O2172" t="s">
        <v>152</v>
      </c>
      <c r="P2172" t="s">
        <v>152</v>
      </c>
      <c r="Q2172" s="3">
        <v>37</v>
      </c>
      <c r="R2172" t="s">
        <v>29</v>
      </c>
      <c r="S2172" t="s">
        <v>97</v>
      </c>
    </row>
    <row r="2173" spans="1:19" x14ac:dyDescent="0.25">
      <c r="A2173">
        <v>2172</v>
      </c>
      <c r="B2173">
        <v>39</v>
      </c>
      <c r="C2173" t="s">
        <v>19</v>
      </c>
      <c r="D2173" t="s">
        <v>61</v>
      </c>
      <c r="E2173" t="s">
        <v>21</v>
      </c>
      <c r="F2173" s="1">
        <v>98</v>
      </c>
      <c r="G2173" t="s">
        <v>70</v>
      </c>
      <c r="H2173" t="s">
        <v>45</v>
      </c>
      <c r="I2173" t="s">
        <v>134</v>
      </c>
      <c r="J2173" t="s">
        <v>54</v>
      </c>
      <c r="K2173" s="2">
        <v>4.5999999999999996</v>
      </c>
      <c r="L2173" t="s">
        <v>152</v>
      </c>
      <c r="M2173" t="s">
        <v>27</v>
      </c>
      <c r="N2173" t="s">
        <v>76</v>
      </c>
      <c r="O2173" t="s">
        <v>152</v>
      </c>
      <c r="P2173" t="s">
        <v>152</v>
      </c>
      <c r="Q2173" s="3">
        <v>9</v>
      </c>
      <c r="R2173" t="s">
        <v>35</v>
      </c>
      <c r="S2173" t="s">
        <v>30</v>
      </c>
    </row>
    <row r="2174" spans="1:19" x14ac:dyDescent="0.25">
      <c r="A2174">
        <v>2173</v>
      </c>
      <c r="B2174">
        <v>28</v>
      </c>
      <c r="C2174" t="s">
        <v>19</v>
      </c>
      <c r="D2174" t="s">
        <v>87</v>
      </c>
      <c r="E2174" t="s">
        <v>21</v>
      </c>
      <c r="F2174" s="1">
        <v>89</v>
      </c>
      <c r="G2174" t="s">
        <v>44</v>
      </c>
      <c r="H2174" t="s">
        <v>38</v>
      </c>
      <c r="I2174" t="s">
        <v>93</v>
      </c>
      <c r="J2174" t="s">
        <v>58</v>
      </c>
      <c r="K2174" s="2">
        <v>2.8</v>
      </c>
      <c r="L2174" t="s">
        <v>152</v>
      </c>
      <c r="M2174" t="s">
        <v>34</v>
      </c>
      <c r="N2174" t="s">
        <v>76</v>
      </c>
      <c r="O2174" t="s">
        <v>152</v>
      </c>
      <c r="P2174" t="s">
        <v>152</v>
      </c>
      <c r="Q2174" s="3">
        <v>6</v>
      </c>
      <c r="R2174" t="s">
        <v>46</v>
      </c>
      <c r="S2174" t="s">
        <v>30</v>
      </c>
    </row>
    <row r="2175" spans="1:19" x14ac:dyDescent="0.25">
      <c r="A2175">
        <v>2174</v>
      </c>
      <c r="B2175">
        <v>23</v>
      </c>
      <c r="C2175" t="s">
        <v>19</v>
      </c>
      <c r="D2175" t="s">
        <v>143</v>
      </c>
      <c r="E2175" t="s">
        <v>69</v>
      </c>
      <c r="F2175" s="1">
        <v>97</v>
      </c>
      <c r="G2175" t="s">
        <v>80</v>
      </c>
      <c r="H2175" t="s">
        <v>38</v>
      </c>
      <c r="I2175" t="s">
        <v>109</v>
      </c>
      <c r="J2175" t="s">
        <v>54</v>
      </c>
      <c r="K2175" s="2">
        <v>5</v>
      </c>
      <c r="L2175" t="s">
        <v>152</v>
      </c>
      <c r="M2175" t="s">
        <v>35</v>
      </c>
      <c r="N2175" t="s">
        <v>72</v>
      </c>
      <c r="O2175" t="s">
        <v>152</v>
      </c>
      <c r="P2175" t="s">
        <v>152</v>
      </c>
      <c r="Q2175" s="3">
        <v>36</v>
      </c>
      <c r="R2175" t="s">
        <v>29</v>
      </c>
      <c r="S2175" t="s">
        <v>60</v>
      </c>
    </row>
    <row r="2176" spans="1:19" x14ac:dyDescent="0.25">
      <c r="A2176">
        <v>2175</v>
      </c>
      <c r="B2176">
        <v>42</v>
      </c>
      <c r="C2176" t="s">
        <v>19</v>
      </c>
      <c r="D2176" t="s">
        <v>132</v>
      </c>
      <c r="E2176" t="s">
        <v>69</v>
      </c>
      <c r="F2176" s="1">
        <v>49</v>
      </c>
      <c r="G2176" t="s">
        <v>112</v>
      </c>
      <c r="H2176" t="s">
        <v>38</v>
      </c>
      <c r="I2176" t="s">
        <v>79</v>
      </c>
      <c r="J2176" t="s">
        <v>39</v>
      </c>
      <c r="K2176" s="2">
        <v>2.9</v>
      </c>
      <c r="L2176" t="s">
        <v>152</v>
      </c>
      <c r="M2176" t="s">
        <v>35</v>
      </c>
      <c r="N2176" t="s">
        <v>76</v>
      </c>
      <c r="O2176" t="s">
        <v>152</v>
      </c>
      <c r="P2176" t="s">
        <v>152</v>
      </c>
      <c r="Q2176" s="3">
        <v>1</v>
      </c>
      <c r="R2176" t="s">
        <v>35</v>
      </c>
      <c r="S2176" t="s">
        <v>50</v>
      </c>
    </row>
    <row r="2177" spans="1:19" x14ac:dyDescent="0.25">
      <c r="A2177">
        <v>2176</v>
      </c>
      <c r="B2177">
        <v>68</v>
      </c>
      <c r="C2177" t="s">
        <v>19</v>
      </c>
      <c r="D2177" t="s">
        <v>82</v>
      </c>
      <c r="E2177" t="s">
        <v>21</v>
      </c>
      <c r="F2177" s="1">
        <v>50</v>
      </c>
      <c r="G2177" t="s">
        <v>145</v>
      </c>
      <c r="H2177" t="s">
        <v>45</v>
      </c>
      <c r="I2177" t="s">
        <v>67</v>
      </c>
      <c r="J2177" t="s">
        <v>39</v>
      </c>
      <c r="K2177" s="2">
        <v>3.3</v>
      </c>
      <c r="L2177" t="s">
        <v>152</v>
      </c>
      <c r="M2177" t="s">
        <v>34</v>
      </c>
      <c r="N2177" t="s">
        <v>40</v>
      </c>
      <c r="O2177" t="s">
        <v>152</v>
      </c>
      <c r="P2177" t="s">
        <v>152</v>
      </c>
      <c r="Q2177" s="3">
        <v>48</v>
      </c>
      <c r="R2177" t="s">
        <v>27</v>
      </c>
      <c r="S2177" t="s">
        <v>30</v>
      </c>
    </row>
    <row r="2178" spans="1:19" x14ac:dyDescent="0.25">
      <c r="A2178">
        <v>2177</v>
      </c>
      <c r="B2178">
        <v>24</v>
      </c>
      <c r="C2178" t="s">
        <v>19</v>
      </c>
      <c r="D2178" t="s">
        <v>133</v>
      </c>
      <c r="E2178" t="s">
        <v>69</v>
      </c>
      <c r="F2178" s="1">
        <v>91</v>
      </c>
      <c r="G2178" t="s">
        <v>129</v>
      </c>
      <c r="H2178" t="s">
        <v>38</v>
      </c>
      <c r="I2178" t="s">
        <v>108</v>
      </c>
      <c r="J2178" t="s">
        <v>25</v>
      </c>
      <c r="K2178" s="2">
        <v>3.4</v>
      </c>
      <c r="L2178" t="s">
        <v>152</v>
      </c>
      <c r="M2178" t="s">
        <v>29</v>
      </c>
      <c r="N2178" t="s">
        <v>72</v>
      </c>
      <c r="O2178" t="s">
        <v>152</v>
      </c>
      <c r="P2178" t="s">
        <v>152</v>
      </c>
      <c r="Q2178" s="3">
        <v>44</v>
      </c>
      <c r="R2178" t="s">
        <v>59</v>
      </c>
      <c r="S2178" t="s">
        <v>60</v>
      </c>
    </row>
    <row r="2179" spans="1:19" x14ac:dyDescent="0.25">
      <c r="A2179">
        <v>2178</v>
      </c>
      <c r="B2179">
        <v>24</v>
      </c>
      <c r="C2179" t="s">
        <v>19</v>
      </c>
      <c r="D2179" t="s">
        <v>143</v>
      </c>
      <c r="E2179" t="s">
        <v>69</v>
      </c>
      <c r="F2179" s="1">
        <v>93</v>
      </c>
      <c r="G2179" t="s">
        <v>57</v>
      </c>
      <c r="H2179" t="s">
        <v>92</v>
      </c>
      <c r="I2179" t="s">
        <v>96</v>
      </c>
      <c r="J2179" t="s">
        <v>25</v>
      </c>
      <c r="K2179" s="2">
        <v>3</v>
      </c>
      <c r="L2179" t="s">
        <v>152</v>
      </c>
      <c r="M2179" t="s">
        <v>34</v>
      </c>
      <c r="N2179" t="s">
        <v>28</v>
      </c>
      <c r="O2179" t="s">
        <v>152</v>
      </c>
      <c r="P2179" t="s">
        <v>152</v>
      </c>
      <c r="Q2179" s="3">
        <v>9</v>
      </c>
      <c r="R2179" t="s">
        <v>46</v>
      </c>
      <c r="S2179" t="s">
        <v>77</v>
      </c>
    </row>
    <row r="2180" spans="1:19" x14ac:dyDescent="0.25">
      <c r="A2180">
        <v>2179</v>
      </c>
      <c r="B2180">
        <v>21</v>
      </c>
      <c r="C2180" t="s">
        <v>19</v>
      </c>
      <c r="D2180" t="s">
        <v>106</v>
      </c>
      <c r="E2180" t="s">
        <v>69</v>
      </c>
      <c r="F2180" s="1">
        <v>98</v>
      </c>
      <c r="G2180" t="s">
        <v>103</v>
      </c>
      <c r="H2180" t="s">
        <v>45</v>
      </c>
      <c r="I2180" t="s">
        <v>81</v>
      </c>
      <c r="J2180" t="s">
        <v>54</v>
      </c>
      <c r="K2180" s="2">
        <v>4.7</v>
      </c>
      <c r="L2180" t="s">
        <v>152</v>
      </c>
      <c r="M2180" t="s">
        <v>59</v>
      </c>
      <c r="N2180" t="s">
        <v>55</v>
      </c>
      <c r="O2180" t="s">
        <v>152</v>
      </c>
      <c r="P2180" t="s">
        <v>152</v>
      </c>
      <c r="Q2180" s="3">
        <v>32</v>
      </c>
      <c r="R2180" t="s">
        <v>29</v>
      </c>
      <c r="S2180" t="s">
        <v>50</v>
      </c>
    </row>
    <row r="2181" spans="1:19" x14ac:dyDescent="0.25">
      <c r="A2181">
        <v>2180</v>
      </c>
      <c r="B2181">
        <v>49</v>
      </c>
      <c r="C2181" t="s">
        <v>19</v>
      </c>
      <c r="D2181" t="s">
        <v>125</v>
      </c>
      <c r="E2181" t="s">
        <v>21</v>
      </c>
      <c r="F2181" s="1">
        <v>82</v>
      </c>
      <c r="G2181" t="s">
        <v>80</v>
      </c>
      <c r="H2181" t="s">
        <v>23</v>
      </c>
      <c r="I2181" t="s">
        <v>93</v>
      </c>
      <c r="J2181" t="s">
        <v>58</v>
      </c>
      <c r="K2181" s="2">
        <v>2.9</v>
      </c>
      <c r="L2181" t="s">
        <v>152</v>
      </c>
      <c r="M2181" t="s">
        <v>27</v>
      </c>
      <c r="N2181" t="s">
        <v>47</v>
      </c>
      <c r="O2181" t="s">
        <v>152</v>
      </c>
      <c r="P2181" t="s">
        <v>152</v>
      </c>
      <c r="Q2181" s="3">
        <v>14</v>
      </c>
      <c r="R2181" t="s">
        <v>46</v>
      </c>
      <c r="S2181" t="s">
        <v>88</v>
      </c>
    </row>
    <row r="2182" spans="1:19" x14ac:dyDescent="0.25">
      <c r="A2182">
        <v>2181</v>
      </c>
      <c r="B2182">
        <v>41</v>
      </c>
      <c r="C2182" t="s">
        <v>19</v>
      </c>
      <c r="D2182" t="s">
        <v>64</v>
      </c>
      <c r="E2182" t="s">
        <v>65</v>
      </c>
      <c r="F2182" s="1">
        <v>37</v>
      </c>
      <c r="G2182" t="s">
        <v>139</v>
      </c>
      <c r="H2182" t="s">
        <v>45</v>
      </c>
      <c r="I2182" t="s">
        <v>134</v>
      </c>
      <c r="J2182" t="s">
        <v>54</v>
      </c>
      <c r="K2182" s="2">
        <v>4.0999999999999996</v>
      </c>
      <c r="L2182" t="s">
        <v>152</v>
      </c>
      <c r="M2182" t="s">
        <v>59</v>
      </c>
      <c r="N2182" t="s">
        <v>76</v>
      </c>
      <c r="O2182" t="s">
        <v>152</v>
      </c>
      <c r="P2182" t="s">
        <v>152</v>
      </c>
      <c r="Q2182" s="3">
        <v>43</v>
      </c>
      <c r="R2182" t="s">
        <v>35</v>
      </c>
      <c r="S2182" t="s">
        <v>60</v>
      </c>
    </row>
    <row r="2183" spans="1:19" x14ac:dyDescent="0.25">
      <c r="A2183">
        <v>2182</v>
      </c>
      <c r="B2183">
        <v>22</v>
      </c>
      <c r="C2183" t="s">
        <v>19</v>
      </c>
      <c r="D2183" t="s">
        <v>68</v>
      </c>
      <c r="E2183" t="s">
        <v>69</v>
      </c>
      <c r="F2183" s="1">
        <v>63</v>
      </c>
      <c r="G2183" t="s">
        <v>78</v>
      </c>
      <c r="H2183" t="s">
        <v>45</v>
      </c>
      <c r="I2183" t="s">
        <v>94</v>
      </c>
      <c r="J2183" t="s">
        <v>58</v>
      </c>
      <c r="K2183" s="2">
        <v>3.2</v>
      </c>
      <c r="L2183" t="s">
        <v>152</v>
      </c>
      <c r="M2183" t="s">
        <v>29</v>
      </c>
      <c r="N2183" t="s">
        <v>40</v>
      </c>
      <c r="O2183" t="s">
        <v>152</v>
      </c>
      <c r="P2183" t="s">
        <v>152</v>
      </c>
      <c r="Q2183" s="3">
        <v>32</v>
      </c>
      <c r="R2183" t="s">
        <v>34</v>
      </c>
      <c r="S2183" t="s">
        <v>77</v>
      </c>
    </row>
    <row r="2184" spans="1:19" x14ac:dyDescent="0.25">
      <c r="A2184">
        <v>2183</v>
      </c>
      <c r="B2184">
        <v>42</v>
      </c>
      <c r="C2184" t="s">
        <v>19</v>
      </c>
      <c r="D2184" t="s">
        <v>20</v>
      </c>
      <c r="E2184" t="s">
        <v>21</v>
      </c>
      <c r="F2184" s="1">
        <v>99</v>
      </c>
      <c r="G2184" t="s">
        <v>130</v>
      </c>
      <c r="H2184" t="s">
        <v>45</v>
      </c>
      <c r="I2184" t="s">
        <v>33</v>
      </c>
      <c r="J2184" t="s">
        <v>25</v>
      </c>
      <c r="K2184" s="2">
        <v>2.7</v>
      </c>
      <c r="L2184" t="s">
        <v>152</v>
      </c>
      <c r="M2184" t="s">
        <v>35</v>
      </c>
      <c r="N2184" t="s">
        <v>76</v>
      </c>
      <c r="O2184" t="s">
        <v>152</v>
      </c>
      <c r="P2184" t="s">
        <v>152</v>
      </c>
      <c r="Q2184" s="3">
        <v>26</v>
      </c>
      <c r="R2184" t="s">
        <v>29</v>
      </c>
      <c r="S2184" t="s">
        <v>77</v>
      </c>
    </row>
    <row r="2185" spans="1:19" x14ac:dyDescent="0.25">
      <c r="A2185">
        <v>2184</v>
      </c>
      <c r="B2185">
        <v>30</v>
      </c>
      <c r="C2185" t="s">
        <v>19</v>
      </c>
      <c r="D2185" t="s">
        <v>61</v>
      </c>
      <c r="E2185" t="s">
        <v>21</v>
      </c>
      <c r="F2185" s="1">
        <v>37</v>
      </c>
      <c r="G2185" t="s">
        <v>111</v>
      </c>
      <c r="H2185" t="s">
        <v>45</v>
      </c>
      <c r="I2185" t="s">
        <v>33</v>
      </c>
      <c r="J2185" t="s">
        <v>39</v>
      </c>
      <c r="K2185" s="2">
        <v>4.7</v>
      </c>
      <c r="L2185" t="s">
        <v>152</v>
      </c>
      <c r="M2185" t="s">
        <v>46</v>
      </c>
      <c r="N2185" t="s">
        <v>76</v>
      </c>
      <c r="O2185" t="s">
        <v>152</v>
      </c>
      <c r="P2185" t="s">
        <v>152</v>
      </c>
      <c r="Q2185" s="3">
        <v>2</v>
      </c>
      <c r="R2185" t="s">
        <v>35</v>
      </c>
      <c r="S2185" t="s">
        <v>88</v>
      </c>
    </row>
    <row r="2186" spans="1:19" x14ac:dyDescent="0.25">
      <c r="A2186">
        <v>2185</v>
      </c>
      <c r="B2186">
        <v>38</v>
      </c>
      <c r="C2186" t="s">
        <v>19</v>
      </c>
      <c r="D2186" t="s">
        <v>73</v>
      </c>
      <c r="E2186" t="s">
        <v>43</v>
      </c>
      <c r="F2186" s="1">
        <v>34</v>
      </c>
      <c r="G2186" t="s">
        <v>107</v>
      </c>
      <c r="H2186" t="s">
        <v>38</v>
      </c>
      <c r="I2186" t="s">
        <v>81</v>
      </c>
      <c r="J2186" t="s">
        <v>39</v>
      </c>
      <c r="K2186" s="2">
        <v>3.2</v>
      </c>
      <c r="L2186" t="s">
        <v>152</v>
      </c>
      <c r="M2186" t="s">
        <v>46</v>
      </c>
      <c r="N2186" t="s">
        <v>40</v>
      </c>
      <c r="O2186" t="s">
        <v>152</v>
      </c>
      <c r="P2186" t="s">
        <v>152</v>
      </c>
      <c r="Q2186" s="3">
        <v>16</v>
      </c>
      <c r="R2186" t="s">
        <v>46</v>
      </c>
      <c r="S2186" t="s">
        <v>97</v>
      </c>
    </row>
    <row r="2187" spans="1:19" x14ac:dyDescent="0.25">
      <c r="A2187">
        <v>2186</v>
      </c>
      <c r="B2187">
        <v>40</v>
      </c>
      <c r="C2187" t="s">
        <v>19</v>
      </c>
      <c r="D2187" t="s">
        <v>61</v>
      </c>
      <c r="E2187" t="s">
        <v>21</v>
      </c>
      <c r="F2187" s="1">
        <v>32</v>
      </c>
      <c r="G2187" t="s">
        <v>98</v>
      </c>
      <c r="H2187" t="s">
        <v>45</v>
      </c>
      <c r="I2187" t="s">
        <v>84</v>
      </c>
      <c r="J2187" t="s">
        <v>25</v>
      </c>
      <c r="K2187" s="2">
        <v>2.5</v>
      </c>
      <c r="L2187" t="s">
        <v>152</v>
      </c>
      <c r="M2187" t="s">
        <v>29</v>
      </c>
      <c r="N2187" t="s">
        <v>28</v>
      </c>
      <c r="O2187" t="s">
        <v>152</v>
      </c>
      <c r="P2187" t="s">
        <v>152</v>
      </c>
      <c r="Q2187" s="3">
        <v>50</v>
      </c>
      <c r="R2187" t="s">
        <v>59</v>
      </c>
      <c r="S2187" t="s">
        <v>97</v>
      </c>
    </row>
    <row r="2188" spans="1:19" x14ac:dyDescent="0.25">
      <c r="A2188">
        <v>2187</v>
      </c>
      <c r="B2188">
        <v>55</v>
      </c>
      <c r="C2188" t="s">
        <v>19</v>
      </c>
      <c r="D2188" t="s">
        <v>42</v>
      </c>
      <c r="E2188" t="s">
        <v>43</v>
      </c>
      <c r="F2188" s="1">
        <v>23</v>
      </c>
      <c r="G2188" t="s">
        <v>130</v>
      </c>
      <c r="H2188" t="s">
        <v>92</v>
      </c>
      <c r="I2188" t="s">
        <v>86</v>
      </c>
      <c r="J2188" t="s">
        <v>25</v>
      </c>
      <c r="K2188" s="2">
        <v>4.3</v>
      </c>
      <c r="L2188" t="s">
        <v>152</v>
      </c>
      <c r="M2188" t="s">
        <v>34</v>
      </c>
      <c r="N2188" t="s">
        <v>47</v>
      </c>
      <c r="O2188" t="s">
        <v>152</v>
      </c>
      <c r="P2188" t="s">
        <v>152</v>
      </c>
      <c r="Q2188" s="3">
        <v>6</v>
      </c>
      <c r="R2188" t="s">
        <v>46</v>
      </c>
      <c r="S2188" t="s">
        <v>97</v>
      </c>
    </row>
    <row r="2189" spans="1:19" x14ac:dyDescent="0.25">
      <c r="A2189">
        <v>2188</v>
      </c>
      <c r="B2189">
        <v>37</v>
      </c>
      <c r="C2189" t="s">
        <v>19</v>
      </c>
      <c r="D2189" t="s">
        <v>20</v>
      </c>
      <c r="E2189" t="s">
        <v>21</v>
      </c>
      <c r="F2189" s="1">
        <v>78</v>
      </c>
      <c r="G2189" t="s">
        <v>135</v>
      </c>
      <c r="H2189" t="s">
        <v>45</v>
      </c>
      <c r="I2189" t="s">
        <v>84</v>
      </c>
      <c r="J2189" t="s">
        <v>39</v>
      </c>
      <c r="K2189" s="2">
        <v>4.4000000000000004</v>
      </c>
      <c r="L2189" t="s">
        <v>152</v>
      </c>
      <c r="M2189" t="s">
        <v>29</v>
      </c>
      <c r="N2189" t="s">
        <v>40</v>
      </c>
      <c r="O2189" t="s">
        <v>152</v>
      </c>
      <c r="P2189" t="s">
        <v>152</v>
      </c>
      <c r="Q2189" s="3">
        <v>20</v>
      </c>
      <c r="R2189" t="s">
        <v>46</v>
      </c>
      <c r="S2189" t="s">
        <v>50</v>
      </c>
    </row>
    <row r="2190" spans="1:19" x14ac:dyDescent="0.25">
      <c r="A2190">
        <v>2189</v>
      </c>
      <c r="B2190">
        <v>41</v>
      </c>
      <c r="C2190" t="s">
        <v>19</v>
      </c>
      <c r="D2190" t="s">
        <v>64</v>
      </c>
      <c r="E2190" t="s">
        <v>65</v>
      </c>
      <c r="F2190" s="1">
        <v>54</v>
      </c>
      <c r="G2190" t="s">
        <v>99</v>
      </c>
      <c r="H2190" t="s">
        <v>45</v>
      </c>
      <c r="I2190" t="s">
        <v>110</v>
      </c>
      <c r="J2190" t="s">
        <v>25</v>
      </c>
      <c r="K2190" s="2">
        <v>4.7</v>
      </c>
      <c r="L2190" t="s">
        <v>152</v>
      </c>
      <c r="M2190" t="s">
        <v>46</v>
      </c>
      <c r="N2190" t="s">
        <v>47</v>
      </c>
      <c r="O2190" t="s">
        <v>152</v>
      </c>
      <c r="P2190" t="s">
        <v>152</v>
      </c>
      <c r="Q2190" s="3">
        <v>9</v>
      </c>
      <c r="R2190" t="s">
        <v>27</v>
      </c>
      <c r="S2190" t="s">
        <v>41</v>
      </c>
    </row>
    <row r="2191" spans="1:19" x14ac:dyDescent="0.25">
      <c r="A2191">
        <v>2190</v>
      </c>
      <c r="B2191">
        <v>38</v>
      </c>
      <c r="C2191" t="s">
        <v>19</v>
      </c>
      <c r="D2191" t="s">
        <v>20</v>
      </c>
      <c r="E2191" t="s">
        <v>21</v>
      </c>
      <c r="F2191" s="1">
        <v>94</v>
      </c>
      <c r="G2191" t="s">
        <v>150</v>
      </c>
      <c r="H2191" t="s">
        <v>92</v>
      </c>
      <c r="I2191" t="s">
        <v>110</v>
      </c>
      <c r="J2191" t="s">
        <v>58</v>
      </c>
      <c r="K2191" s="2">
        <v>4</v>
      </c>
      <c r="L2191" t="s">
        <v>152</v>
      </c>
      <c r="M2191" t="s">
        <v>46</v>
      </c>
      <c r="N2191" t="s">
        <v>28</v>
      </c>
      <c r="O2191" t="s">
        <v>152</v>
      </c>
      <c r="P2191" t="s">
        <v>152</v>
      </c>
      <c r="Q2191" s="3">
        <v>47</v>
      </c>
      <c r="R2191" t="s">
        <v>27</v>
      </c>
      <c r="S2191" t="s">
        <v>77</v>
      </c>
    </row>
    <row r="2192" spans="1:19" x14ac:dyDescent="0.25">
      <c r="A2192">
        <v>2191</v>
      </c>
      <c r="B2192">
        <v>42</v>
      </c>
      <c r="C2192" t="s">
        <v>19</v>
      </c>
      <c r="D2192" t="s">
        <v>133</v>
      </c>
      <c r="E2192" t="s">
        <v>69</v>
      </c>
      <c r="F2192" s="1">
        <v>75</v>
      </c>
      <c r="G2192" t="s">
        <v>120</v>
      </c>
      <c r="H2192" t="s">
        <v>38</v>
      </c>
      <c r="I2192" t="s">
        <v>33</v>
      </c>
      <c r="J2192" t="s">
        <v>39</v>
      </c>
      <c r="K2192" s="2">
        <v>4.5999999999999996</v>
      </c>
      <c r="L2192" t="s">
        <v>152</v>
      </c>
      <c r="M2192" t="s">
        <v>59</v>
      </c>
      <c r="N2192" t="s">
        <v>28</v>
      </c>
      <c r="O2192" t="s">
        <v>152</v>
      </c>
      <c r="P2192" t="s">
        <v>152</v>
      </c>
      <c r="Q2192" s="3">
        <v>33</v>
      </c>
      <c r="R2192" t="s">
        <v>27</v>
      </c>
      <c r="S2192" t="s">
        <v>50</v>
      </c>
    </row>
    <row r="2193" spans="1:19" x14ac:dyDescent="0.25">
      <c r="A2193">
        <v>2192</v>
      </c>
      <c r="B2193">
        <v>26</v>
      </c>
      <c r="C2193" t="s">
        <v>19</v>
      </c>
      <c r="D2193" t="s">
        <v>20</v>
      </c>
      <c r="E2193" t="s">
        <v>21</v>
      </c>
      <c r="F2193" s="1">
        <v>69</v>
      </c>
      <c r="G2193" t="s">
        <v>138</v>
      </c>
      <c r="H2193" t="s">
        <v>38</v>
      </c>
      <c r="I2193" t="s">
        <v>33</v>
      </c>
      <c r="J2193" t="s">
        <v>54</v>
      </c>
      <c r="K2193" s="2">
        <v>3.8</v>
      </c>
      <c r="L2193" t="s">
        <v>152</v>
      </c>
      <c r="M2193" t="s">
        <v>29</v>
      </c>
      <c r="N2193" t="s">
        <v>47</v>
      </c>
      <c r="O2193" t="s">
        <v>152</v>
      </c>
      <c r="P2193" t="s">
        <v>152</v>
      </c>
      <c r="Q2193" s="3">
        <v>46</v>
      </c>
      <c r="R2193" t="s">
        <v>35</v>
      </c>
      <c r="S2193" t="s">
        <v>77</v>
      </c>
    </row>
    <row r="2194" spans="1:19" x14ac:dyDescent="0.25">
      <c r="A2194">
        <v>2193</v>
      </c>
      <c r="B2194">
        <v>41</v>
      </c>
      <c r="C2194" t="s">
        <v>19</v>
      </c>
      <c r="D2194" t="s">
        <v>119</v>
      </c>
      <c r="E2194" t="s">
        <v>69</v>
      </c>
      <c r="F2194" s="1">
        <v>35</v>
      </c>
      <c r="G2194" t="s">
        <v>141</v>
      </c>
      <c r="H2194" t="s">
        <v>23</v>
      </c>
      <c r="I2194" t="s">
        <v>134</v>
      </c>
      <c r="J2194" t="s">
        <v>25</v>
      </c>
      <c r="K2194" s="2">
        <v>3.2</v>
      </c>
      <c r="L2194" t="s">
        <v>152</v>
      </c>
      <c r="M2194" t="s">
        <v>34</v>
      </c>
      <c r="N2194" t="s">
        <v>47</v>
      </c>
      <c r="O2194" t="s">
        <v>152</v>
      </c>
      <c r="P2194" t="s">
        <v>152</v>
      </c>
      <c r="Q2194" s="3">
        <v>9</v>
      </c>
      <c r="R2194" t="s">
        <v>27</v>
      </c>
      <c r="S2194" t="s">
        <v>88</v>
      </c>
    </row>
    <row r="2195" spans="1:19" x14ac:dyDescent="0.25">
      <c r="A2195">
        <v>2194</v>
      </c>
      <c r="B2195">
        <v>27</v>
      </c>
      <c r="C2195" t="s">
        <v>19</v>
      </c>
      <c r="D2195" t="s">
        <v>56</v>
      </c>
      <c r="E2195" t="s">
        <v>21</v>
      </c>
      <c r="F2195" s="1">
        <v>78</v>
      </c>
      <c r="G2195" t="s">
        <v>99</v>
      </c>
      <c r="H2195" t="s">
        <v>23</v>
      </c>
      <c r="I2195" t="s">
        <v>49</v>
      </c>
      <c r="J2195" t="s">
        <v>39</v>
      </c>
      <c r="K2195" s="2">
        <v>5</v>
      </c>
      <c r="L2195" t="s">
        <v>152</v>
      </c>
      <c r="M2195" t="s">
        <v>34</v>
      </c>
      <c r="N2195" t="s">
        <v>28</v>
      </c>
      <c r="O2195" t="s">
        <v>152</v>
      </c>
      <c r="P2195" t="s">
        <v>152</v>
      </c>
      <c r="Q2195" s="3">
        <v>8</v>
      </c>
      <c r="R2195" t="s">
        <v>46</v>
      </c>
      <c r="S2195" t="s">
        <v>88</v>
      </c>
    </row>
    <row r="2196" spans="1:19" x14ac:dyDescent="0.25">
      <c r="A2196">
        <v>2195</v>
      </c>
      <c r="B2196">
        <v>61</v>
      </c>
      <c r="C2196" t="s">
        <v>19</v>
      </c>
      <c r="D2196" t="s">
        <v>125</v>
      </c>
      <c r="E2196" t="s">
        <v>21</v>
      </c>
      <c r="F2196" s="1">
        <v>29</v>
      </c>
      <c r="G2196" t="s">
        <v>22</v>
      </c>
      <c r="H2196" t="s">
        <v>45</v>
      </c>
      <c r="I2196" t="s">
        <v>67</v>
      </c>
      <c r="J2196" t="s">
        <v>54</v>
      </c>
      <c r="K2196" s="2">
        <v>3.5</v>
      </c>
      <c r="L2196" t="s">
        <v>152</v>
      </c>
      <c r="M2196" t="s">
        <v>59</v>
      </c>
      <c r="N2196" t="s">
        <v>55</v>
      </c>
      <c r="O2196" t="s">
        <v>152</v>
      </c>
      <c r="P2196" t="s">
        <v>152</v>
      </c>
      <c r="Q2196" s="3">
        <v>48</v>
      </c>
      <c r="R2196" t="s">
        <v>34</v>
      </c>
      <c r="S2196" t="s">
        <v>60</v>
      </c>
    </row>
    <row r="2197" spans="1:19" x14ac:dyDescent="0.25">
      <c r="A2197">
        <v>2196</v>
      </c>
      <c r="B2197">
        <v>58</v>
      </c>
      <c r="C2197" t="s">
        <v>19</v>
      </c>
      <c r="D2197" t="s">
        <v>36</v>
      </c>
      <c r="E2197" t="s">
        <v>21</v>
      </c>
      <c r="F2197" s="1">
        <v>62</v>
      </c>
      <c r="G2197" t="s">
        <v>85</v>
      </c>
      <c r="H2197" t="s">
        <v>45</v>
      </c>
      <c r="I2197" t="s">
        <v>110</v>
      </c>
      <c r="J2197" t="s">
        <v>58</v>
      </c>
      <c r="K2197" s="2">
        <v>3.7</v>
      </c>
      <c r="L2197" t="s">
        <v>152</v>
      </c>
      <c r="M2197" t="s">
        <v>27</v>
      </c>
      <c r="N2197" t="s">
        <v>47</v>
      </c>
      <c r="O2197" t="s">
        <v>152</v>
      </c>
      <c r="P2197" t="s">
        <v>152</v>
      </c>
      <c r="Q2197" s="3">
        <v>2</v>
      </c>
      <c r="R2197" t="s">
        <v>35</v>
      </c>
      <c r="S2197" t="s">
        <v>88</v>
      </c>
    </row>
    <row r="2198" spans="1:19" x14ac:dyDescent="0.25">
      <c r="A2198">
        <v>2197</v>
      </c>
      <c r="B2198">
        <v>25</v>
      </c>
      <c r="C2198" t="s">
        <v>19</v>
      </c>
      <c r="D2198" t="s">
        <v>82</v>
      </c>
      <c r="E2198" t="s">
        <v>21</v>
      </c>
      <c r="F2198" s="1">
        <v>58</v>
      </c>
      <c r="G2198" t="s">
        <v>129</v>
      </c>
      <c r="H2198" t="s">
        <v>45</v>
      </c>
      <c r="I2198" t="s">
        <v>24</v>
      </c>
      <c r="J2198" t="s">
        <v>39</v>
      </c>
      <c r="K2198" s="2">
        <v>4.8</v>
      </c>
      <c r="L2198" t="s">
        <v>152</v>
      </c>
      <c r="M2198" t="s">
        <v>29</v>
      </c>
      <c r="N2198" t="s">
        <v>47</v>
      </c>
      <c r="O2198" t="s">
        <v>152</v>
      </c>
      <c r="P2198" t="s">
        <v>152</v>
      </c>
      <c r="Q2198" s="3">
        <v>31</v>
      </c>
      <c r="R2198" t="s">
        <v>46</v>
      </c>
      <c r="S2198" t="s">
        <v>41</v>
      </c>
    </row>
    <row r="2199" spans="1:19" x14ac:dyDescent="0.25">
      <c r="A2199">
        <v>2198</v>
      </c>
      <c r="B2199">
        <v>33</v>
      </c>
      <c r="C2199" t="s">
        <v>19</v>
      </c>
      <c r="D2199" t="s">
        <v>137</v>
      </c>
      <c r="E2199" t="s">
        <v>43</v>
      </c>
      <c r="F2199" s="1">
        <v>88</v>
      </c>
      <c r="G2199" t="s">
        <v>138</v>
      </c>
      <c r="H2199" t="s">
        <v>45</v>
      </c>
      <c r="I2199" t="s">
        <v>126</v>
      </c>
      <c r="J2199" t="s">
        <v>54</v>
      </c>
      <c r="K2199" s="2">
        <v>3.7</v>
      </c>
      <c r="L2199" t="s">
        <v>152</v>
      </c>
      <c r="M2199" t="s">
        <v>46</v>
      </c>
      <c r="N2199" t="s">
        <v>72</v>
      </c>
      <c r="O2199" t="s">
        <v>152</v>
      </c>
      <c r="P2199" t="s">
        <v>152</v>
      </c>
      <c r="Q2199" s="3">
        <v>40</v>
      </c>
      <c r="R2199" t="s">
        <v>29</v>
      </c>
      <c r="S2199" t="s">
        <v>88</v>
      </c>
    </row>
    <row r="2200" spans="1:19" x14ac:dyDescent="0.25">
      <c r="A2200">
        <v>2199</v>
      </c>
      <c r="B2200">
        <v>57</v>
      </c>
      <c r="C2200" t="s">
        <v>19</v>
      </c>
      <c r="D2200" t="s">
        <v>119</v>
      </c>
      <c r="E2200" t="s">
        <v>69</v>
      </c>
      <c r="F2200" s="1">
        <v>80</v>
      </c>
      <c r="G2200" t="s">
        <v>85</v>
      </c>
      <c r="H2200" t="s">
        <v>23</v>
      </c>
      <c r="I2200" t="s">
        <v>49</v>
      </c>
      <c r="J2200" t="s">
        <v>54</v>
      </c>
      <c r="K2200" s="2">
        <v>3.5</v>
      </c>
      <c r="L2200" t="s">
        <v>152</v>
      </c>
      <c r="M2200" t="s">
        <v>35</v>
      </c>
      <c r="N2200" t="s">
        <v>40</v>
      </c>
      <c r="O2200" t="s">
        <v>152</v>
      </c>
      <c r="P2200" t="s">
        <v>152</v>
      </c>
      <c r="Q2200" s="3">
        <v>35</v>
      </c>
      <c r="R2200" t="s">
        <v>29</v>
      </c>
      <c r="S2200" t="s">
        <v>88</v>
      </c>
    </row>
    <row r="2201" spans="1:19" x14ac:dyDescent="0.25">
      <c r="A2201">
        <v>2200</v>
      </c>
      <c r="B2201">
        <v>39</v>
      </c>
      <c r="C2201" t="s">
        <v>19</v>
      </c>
      <c r="D2201" t="s">
        <v>119</v>
      </c>
      <c r="E2201" t="s">
        <v>69</v>
      </c>
      <c r="F2201" s="1">
        <v>47</v>
      </c>
      <c r="G2201" t="s">
        <v>98</v>
      </c>
      <c r="H2201" t="s">
        <v>45</v>
      </c>
      <c r="I2201" t="s">
        <v>33</v>
      </c>
      <c r="J2201" t="s">
        <v>54</v>
      </c>
      <c r="K2201" s="2">
        <v>4.9000000000000004</v>
      </c>
      <c r="L2201" t="s">
        <v>152</v>
      </c>
      <c r="M2201" t="s">
        <v>34</v>
      </c>
      <c r="N2201" t="s">
        <v>76</v>
      </c>
      <c r="O2201" t="s">
        <v>152</v>
      </c>
      <c r="P2201" t="s">
        <v>152</v>
      </c>
      <c r="Q2201" s="3">
        <v>40</v>
      </c>
      <c r="R2201" t="s">
        <v>59</v>
      </c>
      <c r="S2201" t="s">
        <v>88</v>
      </c>
    </row>
    <row r="2202" spans="1:19" x14ac:dyDescent="0.25">
      <c r="A2202">
        <v>2201</v>
      </c>
      <c r="B2202">
        <v>60</v>
      </c>
      <c r="C2202" t="s">
        <v>19</v>
      </c>
      <c r="D2202" t="s">
        <v>143</v>
      </c>
      <c r="E2202" t="s">
        <v>69</v>
      </c>
      <c r="F2202" s="1">
        <v>51</v>
      </c>
      <c r="G2202" t="s">
        <v>52</v>
      </c>
      <c r="H2202" t="s">
        <v>23</v>
      </c>
      <c r="I2202" t="s">
        <v>63</v>
      </c>
      <c r="J2202" t="s">
        <v>54</v>
      </c>
      <c r="K2202" s="2">
        <v>4.7</v>
      </c>
      <c r="L2202" t="s">
        <v>152</v>
      </c>
      <c r="M2202" t="s">
        <v>46</v>
      </c>
      <c r="N2202" t="s">
        <v>47</v>
      </c>
      <c r="O2202" t="s">
        <v>152</v>
      </c>
      <c r="P2202" t="s">
        <v>152</v>
      </c>
      <c r="Q2202" s="3">
        <v>27</v>
      </c>
      <c r="R2202" t="s">
        <v>59</v>
      </c>
      <c r="S2202" t="s">
        <v>97</v>
      </c>
    </row>
    <row r="2203" spans="1:19" x14ac:dyDescent="0.25">
      <c r="A2203">
        <v>2202</v>
      </c>
      <c r="B2203">
        <v>39</v>
      </c>
      <c r="C2203" t="s">
        <v>19</v>
      </c>
      <c r="D2203" t="s">
        <v>95</v>
      </c>
      <c r="E2203" t="s">
        <v>21</v>
      </c>
      <c r="F2203" s="1">
        <v>25</v>
      </c>
      <c r="G2203" t="s">
        <v>123</v>
      </c>
      <c r="H2203" t="s">
        <v>23</v>
      </c>
      <c r="I2203" t="s">
        <v>100</v>
      </c>
      <c r="J2203" t="s">
        <v>39</v>
      </c>
      <c r="K2203" s="2">
        <v>4.9000000000000004</v>
      </c>
      <c r="L2203" t="s">
        <v>152</v>
      </c>
      <c r="M2203" t="s">
        <v>34</v>
      </c>
      <c r="N2203" t="s">
        <v>72</v>
      </c>
      <c r="O2203" t="s">
        <v>152</v>
      </c>
      <c r="P2203" t="s">
        <v>152</v>
      </c>
      <c r="Q2203" s="3">
        <v>10</v>
      </c>
      <c r="R2203" t="s">
        <v>29</v>
      </c>
      <c r="S2203" t="s">
        <v>50</v>
      </c>
    </row>
    <row r="2204" spans="1:19" x14ac:dyDescent="0.25">
      <c r="A2204">
        <v>2203</v>
      </c>
      <c r="B2204">
        <v>42</v>
      </c>
      <c r="C2204" t="s">
        <v>19</v>
      </c>
      <c r="D2204" t="s">
        <v>82</v>
      </c>
      <c r="E2204" t="s">
        <v>21</v>
      </c>
      <c r="F2204" s="1">
        <v>36</v>
      </c>
      <c r="G2204" t="s">
        <v>90</v>
      </c>
      <c r="H2204" t="s">
        <v>45</v>
      </c>
      <c r="I2204" t="s">
        <v>108</v>
      </c>
      <c r="J2204" t="s">
        <v>54</v>
      </c>
      <c r="K2204" s="2">
        <v>4.3</v>
      </c>
      <c r="L2204" t="s">
        <v>152</v>
      </c>
      <c r="M2204" t="s">
        <v>46</v>
      </c>
      <c r="N2204" t="s">
        <v>47</v>
      </c>
      <c r="O2204" t="s">
        <v>152</v>
      </c>
      <c r="P2204" t="s">
        <v>152</v>
      </c>
      <c r="Q2204" s="3">
        <v>23</v>
      </c>
      <c r="R2204" t="s">
        <v>27</v>
      </c>
      <c r="S2204" t="s">
        <v>41</v>
      </c>
    </row>
    <row r="2205" spans="1:19" x14ac:dyDescent="0.25">
      <c r="A2205">
        <v>2204</v>
      </c>
      <c r="B2205">
        <v>53</v>
      </c>
      <c r="C2205" t="s">
        <v>19</v>
      </c>
      <c r="D2205" t="s">
        <v>82</v>
      </c>
      <c r="E2205" t="s">
        <v>21</v>
      </c>
      <c r="F2205" s="1">
        <v>79</v>
      </c>
      <c r="G2205" t="s">
        <v>44</v>
      </c>
      <c r="H2205" t="s">
        <v>45</v>
      </c>
      <c r="I2205" t="s">
        <v>126</v>
      </c>
      <c r="J2205" t="s">
        <v>25</v>
      </c>
      <c r="K2205" s="2">
        <v>3.1</v>
      </c>
      <c r="L2205" t="s">
        <v>152</v>
      </c>
      <c r="M2205" t="s">
        <v>29</v>
      </c>
      <c r="N2205" t="s">
        <v>40</v>
      </c>
      <c r="O2205" t="s">
        <v>152</v>
      </c>
      <c r="P2205" t="s">
        <v>152</v>
      </c>
      <c r="Q2205" s="3">
        <v>32</v>
      </c>
      <c r="R2205" t="s">
        <v>35</v>
      </c>
      <c r="S2205" t="s">
        <v>60</v>
      </c>
    </row>
    <row r="2206" spans="1:19" x14ac:dyDescent="0.25">
      <c r="A2206">
        <v>2205</v>
      </c>
      <c r="B2206">
        <v>20</v>
      </c>
      <c r="C2206" t="s">
        <v>19</v>
      </c>
      <c r="D2206" t="s">
        <v>36</v>
      </c>
      <c r="E2206" t="s">
        <v>21</v>
      </c>
      <c r="F2206" s="1">
        <v>41</v>
      </c>
      <c r="G2206" t="s">
        <v>48</v>
      </c>
      <c r="H2206" t="s">
        <v>38</v>
      </c>
      <c r="I2206" t="s">
        <v>93</v>
      </c>
      <c r="J2206" t="s">
        <v>25</v>
      </c>
      <c r="K2206" s="2">
        <v>3.4</v>
      </c>
      <c r="L2206" t="s">
        <v>152</v>
      </c>
      <c r="M2206" t="s">
        <v>29</v>
      </c>
      <c r="N2206" t="s">
        <v>72</v>
      </c>
      <c r="O2206" t="s">
        <v>152</v>
      </c>
      <c r="P2206" t="s">
        <v>152</v>
      </c>
      <c r="Q2206" s="3">
        <v>6</v>
      </c>
      <c r="R2206" t="s">
        <v>59</v>
      </c>
      <c r="S2206" t="s">
        <v>88</v>
      </c>
    </row>
    <row r="2207" spans="1:19" x14ac:dyDescent="0.25">
      <c r="A2207">
        <v>2206</v>
      </c>
      <c r="B2207">
        <v>46</v>
      </c>
      <c r="C2207" t="s">
        <v>19</v>
      </c>
      <c r="D2207" t="s">
        <v>31</v>
      </c>
      <c r="E2207" t="s">
        <v>21</v>
      </c>
      <c r="F2207" s="1">
        <v>68</v>
      </c>
      <c r="G2207" t="s">
        <v>114</v>
      </c>
      <c r="H2207" t="s">
        <v>92</v>
      </c>
      <c r="I2207" t="s">
        <v>108</v>
      </c>
      <c r="J2207" t="s">
        <v>58</v>
      </c>
      <c r="K2207" s="2">
        <v>2.7</v>
      </c>
      <c r="L2207" t="s">
        <v>152</v>
      </c>
      <c r="M2207" t="s">
        <v>46</v>
      </c>
      <c r="N2207" t="s">
        <v>28</v>
      </c>
      <c r="O2207" t="s">
        <v>152</v>
      </c>
      <c r="P2207" t="s">
        <v>152</v>
      </c>
      <c r="Q2207" s="3">
        <v>27</v>
      </c>
      <c r="R2207" t="s">
        <v>46</v>
      </c>
      <c r="S2207" t="s">
        <v>41</v>
      </c>
    </row>
    <row r="2208" spans="1:19" x14ac:dyDescent="0.25">
      <c r="A2208">
        <v>2207</v>
      </c>
      <c r="B2208">
        <v>46</v>
      </c>
      <c r="C2208" t="s">
        <v>19</v>
      </c>
      <c r="D2208" t="s">
        <v>42</v>
      </c>
      <c r="E2208" t="s">
        <v>43</v>
      </c>
      <c r="F2208" s="1">
        <v>51</v>
      </c>
      <c r="G2208" t="s">
        <v>115</v>
      </c>
      <c r="H2208" t="s">
        <v>23</v>
      </c>
      <c r="I2208" t="s">
        <v>96</v>
      </c>
      <c r="J2208" t="s">
        <v>39</v>
      </c>
      <c r="K2208" s="2">
        <v>2.6</v>
      </c>
      <c r="L2208" t="s">
        <v>152</v>
      </c>
      <c r="M2208" t="s">
        <v>46</v>
      </c>
      <c r="N2208" t="s">
        <v>76</v>
      </c>
      <c r="O2208" t="s">
        <v>152</v>
      </c>
      <c r="P2208" t="s">
        <v>152</v>
      </c>
      <c r="Q2208" s="3">
        <v>25</v>
      </c>
      <c r="R2208" t="s">
        <v>34</v>
      </c>
      <c r="S2208" t="s">
        <v>30</v>
      </c>
    </row>
    <row r="2209" spans="1:19" x14ac:dyDescent="0.25">
      <c r="A2209">
        <v>2208</v>
      </c>
      <c r="B2209">
        <v>69</v>
      </c>
      <c r="C2209" t="s">
        <v>19</v>
      </c>
      <c r="D2209" t="s">
        <v>68</v>
      </c>
      <c r="E2209" t="s">
        <v>69</v>
      </c>
      <c r="F2209" s="1">
        <v>38</v>
      </c>
      <c r="G2209" t="s">
        <v>130</v>
      </c>
      <c r="H2209" t="s">
        <v>45</v>
      </c>
      <c r="I2209" t="s">
        <v>24</v>
      </c>
      <c r="J2209" t="s">
        <v>58</v>
      </c>
      <c r="K2209" s="2">
        <v>2.9</v>
      </c>
      <c r="L2209" t="s">
        <v>152</v>
      </c>
      <c r="M2209" t="s">
        <v>59</v>
      </c>
      <c r="N2209" t="s">
        <v>47</v>
      </c>
      <c r="O2209" t="s">
        <v>152</v>
      </c>
      <c r="P2209" t="s">
        <v>152</v>
      </c>
      <c r="Q2209" s="3">
        <v>11</v>
      </c>
      <c r="R2209" t="s">
        <v>27</v>
      </c>
      <c r="S2209" t="s">
        <v>50</v>
      </c>
    </row>
    <row r="2210" spans="1:19" x14ac:dyDescent="0.25">
      <c r="A2210">
        <v>2209</v>
      </c>
      <c r="B2210">
        <v>28</v>
      </c>
      <c r="C2210" t="s">
        <v>19</v>
      </c>
      <c r="D2210" t="s">
        <v>119</v>
      </c>
      <c r="E2210" t="s">
        <v>69</v>
      </c>
      <c r="F2210" s="1">
        <v>46</v>
      </c>
      <c r="G2210" t="s">
        <v>112</v>
      </c>
      <c r="H2210" t="s">
        <v>92</v>
      </c>
      <c r="I2210" t="s">
        <v>84</v>
      </c>
      <c r="J2210" t="s">
        <v>54</v>
      </c>
      <c r="K2210" s="2">
        <v>2.7</v>
      </c>
      <c r="L2210" t="s">
        <v>152</v>
      </c>
      <c r="M2210" t="s">
        <v>59</v>
      </c>
      <c r="N2210" t="s">
        <v>72</v>
      </c>
      <c r="O2210" t="s">
        <v>152</v>
      </c>
      <c r="P2210" t="s">
        <v>152</v>
      </c>
      <c r="Q2210" s="3">
        <v>23</v>
      </c>
      <c r="R2210" t="s">
        <v>46</v>
      </c>
      <c r="S2210" t="s">
        <v>88</v>
      </c>
    </row>
    <row r="2211" spans="1:19" x14ac:dyDescent="0.25">
      <c r="A2211">
        <v>2210</v>
      </c>
      <c r="B2211">
        <v>42</v>
      </c>
      <c r="C2211" t="s">
        <v>19</v>
      </c>
      <c r="D2211" t="s">
        <v>42</v>
      </c>
      <c r="E2211" t="s">
        <v>43</v>
      </c>
      <c r="F2211" s="1">
        <v>20</v>
      </c>
      <c r="G2211" t="s">
        <v>140</v>
      </c>
      <c r="H2211" t="s">
        <v>92</v>
      </c>
      <c r="I2211" t="s">
        <v>118</v>
      </c>
      <c r="J2211" t="s">
        <v>54</v>
      </c>
      <c r="K2211" s="2">
        <v>4.5</v>
      </c>
      <c r="L2211" t="s">
        <v>152</v>
      </c>
      <c r="M2211" t="s">
        <v>27</v>
      </c>
      <c r="N2211" t="s">
        <v>72</v>
      </c>
      <c r="O2211" t="s">
        <v>152</v>
      </c>
      <c r="P2211" t="s">
        <v>152</v>
      </c>
      <c r="Q2211" s="3">
        <v>44</v>
      </c>
      <c r="R2211" t="s">
        <v>34</v>
      </c>
      <c r="S2211" t="s">
        <v>60</v>
      </c>
    </row>
    <row r="2212" spans="1:19" x14ac:dyDescent="0.25">
      <c r="A2212">
        <v>2211</v>
      </c>
      <c r="B2212">
        <v>30</v>
      </c>
      <c r="C2212" t="s">
        <v>19</v>
      </c>
      <c r="D2212" t="s">
        <v>89</v>
      </c>
      <c r="E2212" t="s">
        <v>69</v>
      </c>
      <c r="F2212" s="1">
        <v>25</v>
      </c>
      <c r="G2212" t="s">
        <v>141</v>
      </c>
      <c r="H2212" t="s">
        <v>45</v>
      </c>
      <c r="I2212" t="s">
        <v>121</v>
      </c>
      <c r="J2212" t="s">
        <v>54</v>
      </c>
      <c r="K2212" s="2">
        <v>3.1</v>
      </c>
      <c r="L2212" t="s">
        <v>152</v>
      </c>
      <c r="M2212" t="s">
        <v>29</v>
      </c>
      <c r="N2212" t="s">
        <v>76</v>
      </c>
      <c r="O2212" t="s">
        <v>152</v>
      </c>
      <c r="P2212" t="s">
        <v>152</v>
      </c>
      <c r="Q2212" s="3">
        <v>35</v>
      </c>
      <c r="R2212" t="s">
        <v>46</v>
      </c>
      <c r="S2212" t="s">
        <v>30</v>
      </c>
    </row>
    <row r="2213" spans="1:19" x14ac:dyDescent="0.25">
      <c r="A2213">
        <v>2212</v>
      </c>
      <c r="B2213">
        <v>50</v>
      </c>
      <c r="C2213" t="s">
        <v>19</v>
      </c>
      <c r="D2213" t="s">
        <v>31</v>
      </c>
      <c r="E2213" t="s">
        <v>21</v>
      </c>
      <c r="F2213" s="1">
        <v>89</v>
      </c>
      <c r="G2213" t="s">
        <v>32</v>
      </c>
      <c r="H2213" t="s">
        <v>23</v>
      </c>
      <c r="I2213" t="s">
        <v>75</v>
      </c>
      <c r="J2213" t="s">
        <v>25</v>
      </c>
      <c r="K2213" s="2">
        <v>3.2</v>
      </c>
      <c r="L2213" t="s">
        <v>152</v>
      </c>
      <c r="M2213" t="s">
        <v>46</v>
      </c>
      <c r="N2213" t="s">
        <v>40</v>
      </c>
      <c r="O2213" t="s">
        <v>152</v>
      </c>
      <c r="P2213" t="s">
        <v>152</v>
      </c>
      <c r="Q2213" s="3">
        <v>45</v>
      </c>
      <c r="R2213" t="s">
        <v>59</v>
      </c>
      <c r="S2213" t="s">
        <v>97</v>
      </c>
    </row>
    <row r="2214" spans="1:19" x14ac:dyDescent="0.25">
      <c r="A2214">
        <v>2213</v>
      </c>
      <c r="B2214">
        <v>59</v>
      </c>
      <c r="C2214" t="s">
        <v>19</v>
      </c>
      <c r="D2214" t="s">
        <v>95</v>
      </c>
      <c r="E2214" t="s">
        <v>21</v>
      </c>
      <c r="F2214" s="1">
        <v>77</v>
      </c>
      <c r="G2214" t="s">
        <v>145</v>
      </c>
      <c r="H2214" t="s">
        <v>45</v>
      </c>
      <c r="I2214" t="s">
        <v>110</v>
      </c>
      <c r="J2214" t="s">
        <v>25</v>
      </c>
      <c r="K2214" s="2">
        <v>3.3</v>
      </c>
      <c r="L2214" t="s">
        <v>152</v>
      </c>
      <c r="M2214" t="s">
        <v>46</v>
      </c>
      <c r="N2214" t="s">
        <v>47</v>
      </c>
      <c r="O2214" t="s">
        <v>152</v>
      </c>
      <c r="P2214" t="s">
        <v>152</v>
      </c>
      <c r="Q2214" s="3">
        <v>22</v>
      </c>
      <c r="R2214" t="s">
        <v>34</v>
      </c>
      <c r="S2214" t="s">
        <v>60</v>
      </c>
    </row>
    <row r="2215" spans="1:19" x14ac:dyDescent="0.25">
      <c r="A2215">
        <v>2214</v>
      </c>
      <c r="B2215">
        <v>54</v>
      </c>
      <c r="C2215" t="s">
        <v>19</v>
      </c>
      <c r="D2215" t="s">
        <v>124</v>
      </c>
      <c r="E2215" t="s">
        <v>69</v>
      </c>
      <c r="F2215" s="1">
        <v>94</v>
      </c>
      <c r="G2215" t="s">
        <v>78</v>
      </c>
      <c r="H2215" t="s">
        <v>45</v>
      </c>
      <c r="I2215" t="s">
        <v>33</v>
      </c>
      <c r="J2215" t="s">
        <v>58</v>
      </c>
      <c r="K2215" s="2">
        <v>2.9</v>
      </c>
      <c r="L2215" t="s">
        <v>152</v>
      </c>
      <c r="M2215" t="s">
        <v>27</v>
      </c>
      <c r="N2215" t="s">
        <v>28</v>
      </c>
      <c r="O2215" t="s">
        <v>152</v>
      </c>
      <c r="P2215" t="s">
        <v>152</v>
      </c>
      <c r="Q2215" s="3">
        <v>18</v>
      </c>
      <c r="R2215" t="s">
        <v>59</v>
      </c>
      <c r="S2215" t="s">
        <v>60</v>
      </c>
    </row>
    <row r="2216" spans="1:19" x14ac:dyDescent="0.25">
      <c r="A2216">
        <v>2215</v>
      </c>
      <c r="B2216">
        <v>50</v>
      </c>
      <c r="C2216" t="s">
        <v>19</v>
      </c>
      <c r="D2216" t="s">
        <v>133</v>
      </c>
      <c r="E2216" t="s">
        <v>69</v>
      </c>
      <c r="F2216" s="1">
        <v>100</v>
      </c>
      <c r="G2216" t="s">
        <v>135</v>
      </c>
      <c r="H2216" t="s">
        <v>23</v>
      </c>
      <c r="I2216" t="s">
        <v>81</v>
      </c>
      <c r="J2216" t="s">
        <v>58</v>
      </c>
      <c r="K2216" s="2">
        <v>4.0999999999999996</v>
      </c>
      <c r="L2216" t="s">
        <v>152</v>
      </c>
      <c r="M2216" t="s">
        <v>35</v>
      </c>
      <c r="N2216" t="s">
        <v>55</v>
      </c>
      <c r="O2216" t="s">
        <v>152</v>
      </c>
      <c r="P2216" t="s">
        <v>152</v>
      </c>
      <c r="Q2216" s="3">
        <v>20</v>
      </c>
      <c r="R2216" t="s">
        <v>59</v>
      </c>
      <c r="S2216" t="s">
        <v>41</v>
      </c>
    </row>
    <row r="2217" spans="1:19" x14ac:dyDescent="0.25">
      <c r="A2217">
        <v>2216</v>
      </c>
      <c r="B2217">
        <v>25</v>
      </c>
      <c r="C2217" t="s">
        <v>19</v>
      </c>
      <c r="D2217" t="s">
        <v>42</v>
      </c>
      <c r="E2217" t="s">
        <v>43</v>
      </c>
      <c r="F2217" s="1">
        <v>96</v>
      </c>
      <c r="G2217" t="s">
        <v>66</v>
      </c>
      <c r="H2217" t="s">
        <v>45</v>
      </c>
      <c r="I2217" t="s">
        <v>126</v>
      </c>
      <c r="J2217" t="s">
        <v>25</v>
      </c>
      <c r="K2217" s="2">
        <v>2.7</v>
      </c>
      <c r="L2217" t="s">
        <v>152</v>
      </c>
      <c r="M2217" t="s">
        <v>59</v>
      </c>
      <c r="N2217" t="s">
        <v>28</v>
      </c>
      <c r="O2217" t="s">
        <v>152</v>
      </c>
      <c r="P2217" t="s">
        <v>152</v>
      </c>
      <c r="Q2217" s="3">
        <v>28</v>
      </c>
      <c r="R2217" t="s">
        <v>27</v>
      </c>
      <c r="S2217" t="s">
        <v>30</v>
      </c>
    </row>
    <row r="2218" spans="1:19" x14ac:dyDescent="0.25">
      <c r="A2218">
        <v>2217</v>
      </c>
      <c r="B2218">
        <v>41</v>
      </c>
      <c r="C2218" t="s">
        <v>19</v>
      </c>
      <c r="D2218" t="s">
        <v>95</v>
      </c>
      <c r="E2218" t="s">
        <v>21</v>
      </c>
      <c r="F2218" s="1">
        <v>36</v>
      </c>
      <c r="G2218" t="s">
        <v>129</v>
      </c>
      <c r="H2218" t="s">
        <v>92</v>
      </c>
      <c r="I2218" t="s">
        <v>67</v>
      </c>
      <c r="J2218" t="s">
        <v>25</v>
      </c>
      <c r="K2218" s="2">
        <v>4</v>
      </c>
      <c r="L2218" t="s">
        <v>152</v>
      </c>
      <c r="M2218" t="s">
        <v>27</v>
      </c>
      <c r="N2218" t="s">
        <v>76</v>
      </c>
      <c r="O2218" t="s">
        <v>152</v>
      </c>
      <c r="P2218" t="s">
        <v>152</v>
      </c>
      <c r="Q2218" s="3">
        <v>15</v>
      </c>
      <c r="R2218" t="s">
        <v>29</v>
      </c>
      <c r="S2218" t="s">
        <v>77</v>
      </c>
    </row>
    <row r="2219" spans="1:19" x14ac:dyDescent="0.25">
      <c r="A2219">
        <v>2218</v>
      </c>
      <c r="B2219">
        <v>35</v>
      </c>
      <c r="C2219" t="s">
        <v>19</v>
      </c>
      <c r="D2219" t="s">
        <v>106</v>
      </c>
      <c r="E2219" t="s">
        <v>69</v>
      </c>
      <c r="F2219" s="1">
        <v>27</v>
      </c>
      <c r="G2219" t="s">
        <v>116</v>
      </c>
      <c r="H2219" t="s">
        <v>92</v>
      </c>
      <c r="I2219" t="s">
        <v>108</v>
      </c>
      <c r="J2219" t="s">
        <v>58</v>
      </c>
      <c r="K2219" s="2">
        <v>2.6</v>
      </c>
      <c r="L2219" t="s">
        <v>152</v>
      </c>
      <c r="M2219" t="s">
        <v>34</v>
      </c>
      <c r="N2219" t="s">
        <v>76</v>
      </c>
      <c r="O2219" t="s">
        <v>152</v>
      </c>
      <c r="P2219" t="s">
        <v>152</v>
      </c>
      <c r="Q2219" s="3">
        <v>42</v>
      </c>
      <c r="R2219" t="s">
        <v>34</v>
      </c>
      <c r="S2219" t="s">
        <v>30</v>
      </c>
    </row>
    <row r="2220" spans="1:19" x14ac:dyDescent="0.25">
      <c r="A2220">
        <v>2219</v>
      </c>
      <c r="B2220">
        <v>67</v>
      </c>
      <c r="C2220" t="s">
        <v>19</v>
      </c>
      <c r="D2220" t="s">
        <v>89</v>
      </c>
      <c r="E2220" t="s">
        <v>69</v>
      </c>
      <c r="F2220" s="1">
        <v>67</v>
      </c>
      <c r="G2220" t="s">
        <v>135</v>
      </c>
      <c r="H2220" t="s">
        <v>45</v>
      </c>
      <c r="I2220" t="s">
        <v>136</v>
      </c>
      <c r="J2220" t="s">
        <v>25</v>
      </c>
      <c r="K2220" s="2">
        <v>3.5</v>
      </c>
      <c r="L2220" t="s">
        <v>152</v>
      </c>
      <c r="M2220" t="s">
        <v>35</v>
      </c>
      <c r="N2220" t="s">
        <v>76</v>
      </c>
      <c r="O2220" t="s">
        <v>152</v>
      </c>
      <c r="P2220" t="s">
        <v>152</v>
      </c>
      <c r="Q2220" s="3">
        <v>20</v>
      </c>
      <c r="R2220" t="s">
        <v>59</v>
      </c>
      <c r="S2220" t="s">
        <v>60</v>
      </c>
    </row>
    <row r="2221" spans="1:19" x14ac:dyDescent="0.25">
      <c r="A2221">
        <v>2220</v>
      </c>
      <c r="B2221">
        <v>33</v>
      </c>
      <c r="C2221" t="s">
        <v>19</v>
      </c>
      <c r="D2221" t="s">
        <v>20</v>
      </c>
      <c r="E2221" t="s">
        <v>21</v>
      </c>
      <c r="F2221" s="1">
        <v>91</v>
      </c>
      <c r="G2221" t="s">
        <v>148</v>
      </c>
      <c r="H2221" t="s">
        <v>38</v>
      </c>
      <c r="I2221" t="s">
        <v>75</v>
      </c>
      <c r="J2221" t="s">
        <v>58</v>
      </c>
      <c r="K2221" s="2">
        <v>2.8</v>
      </c>
      <c r="L2221" t="s">
        <v>152</v>
      </c>
      <c r="M2221" t="s">
        <v>46</v>
      </c>
      <c r="N2221" t="s">
        <v>76</v>
      </c>
      <c r="O2221" t="s">
        <v>152</v>
      </c>
      <c r="P2221" t="s">
        <v>152</v>
      </c>
      <c r="Q2221" s="3">
        <v>16</v>
      </c>
      <c r="R2221" t="s">
        <v>34</v>
      </c>
      <c r="S2221" t="s">
        <v>30</v>
      </c>
    </row>
    <row r="2222" spans="1:19" x14ac:dyDescent="0.25">
      <c r="A2222">
        <v>2221</v>
      </c>
      <c r="B2222">
        <v>19</v>
      </c>
      <c r="C2222" t="s">
        <v>19</v>
      </c>
      <c r="D2222" t="s">
        <v>133</v>
      </c>
      <c r="E2222" t="s">
        <v>69</v>
      </c>
      <c r="F2222" s="1">
        <v>62</v>
      </c>
      <c r="G2222" t="s">
        <v>52</v>
      </c>
      <c r="H2222" t="s">
        <v>92</v>
      </c>
      <c r="I2222" t="s">
        <v>118</v>
      </c>
      <c r="J2222" t="s">
        <v>58</v>
      </c>
      <c r="K2222" s="2">
        <v>4.5</v>
      </c>
      <c r="L2222" t="s">
        <v>152</v>
      </c>
      <c r="M2222" t="s">
        <v>35</v>
      </c>
      <c r="N2222" t="s">
        <v>76</v>
      </c>
      <c r="O2222" t="s">
        <v>152</v>
      </c>
      <c r="P2222" t="s">
        <v>152</v>
      </c>
      <c r="Q2222" s="3">
        <v>47</v>
      </c>
      <c r="R2222" t="s">
        <v>35</v>
      </c>
      <c r="S2222" t="s">
        <v>50</v>
      </c>
    </row>
    <row r="2223" spans="1:19" x14ac:dyDescent="0.25">
      <c r="A2223">
        <v>2222</v>
      </c>
      <c r="B2223">
        <v>25</v>
      </c>
      <c r="C2223" t="s">
        <v>19</v>
      </c>
      <c r="D2223" t="s">
        <v>61</v>
      </c>
      <c r="E2223" t="s">
        <v>21</v>
      </c>
      <c r="F2223" s="1">
        <v>88</v>
      </c>
      <c r="G2223" t="s">
        <v>111</v>
      </c>
      <c r="H2223" t="s">
        <v>92</v>
      </c>
      <c r="I2223" t="s">
        <v>53</v>
      </c>
      <c r="J2223" t="s">
        <v>58</v>
      </c>
      <c r="K2223" s="2">
        <v>3</v>
      </c>
      <c r="L2223" t="s">
        <v>152</v>
      </c>
      <c r="M2223" t="s">
        <v>59</v>
      </c>
      <c r="N2223" t="s">
        <v>40</v>
      </c>
      <c r="O2223" t="s">
        <v>152</v>
      </c>
      <c r="P2223" t="s">
        <v>152</v>
      </c>
      <c r="Q2223" s="3">
        <v>34</v>
      </c>
      <c r="R2223" t="s">
        <v>27</v>
      </c>
      <c r="S2223" t="s">
        <v>50</v>
      </c>
    </row>
    <row r="2224" spans="1:19" x14ac:dyDescent="0.25">
      <c r="A2224">
        <v>2223</v>
      </c>
      <c r="B2224">
        <v>32</v>
      </c>
      <c r="C2224" t="s">
        <v>19</v>
      </c>
      <c r="D2224" t="s">
        <v>95</v>
      </c>
      <c r="E2224" t="s">
        <v>21</v>
      </c>
      <c r="F2224" s="1">
        <v>66</v>
      </c>
      <c r="G2224" t="s">
        <v>142</v>
      </c>
      <c r="H2224" t="s">
        <v>45</v>
      </c>
      <c r="I2224" t="s">
        <v>86</v>
      </c>
      <c r="J2224" t="s">
        <v>54</v>
      </c>
      <c r="K2224" s="2">
        <v>4.4000000000000004</v>
      </c>
      <c r="L2224" t="s">
        <v>152</v>
      </c>
      <c r="M2224" t="s">
        <v>46</v>
      </c>
      <c r="N2224" t="s">
        <v>76</v>
      </c>
      <c r="O2224" t="s">
        <v>152</v>
      </c>
      <c r="P2224" t="s">
        <v>152</v>
      </c>
      <c r="Q2224" s="3">
        <v>30</v>
      </c>
      <c r="R2224" t="s">
        <v>27</v>
      </c>
      <c r="S2224" t="s">
        <v>41</v>
      </c>
    </row>
    <row r="2225" spans="1:19" x14ac:dyDescent="0.25">
      <c r="A2225">
        <v>2224</v>
      </c>
      <c r="B2225">
        <v>30</v>
      </c>
      <c r="C2225" t="s">
        <v>19</v>
      </c>
      <c r="D2225" t="s">
        <v>42</v>
      </c>
      <c r="E2225" t="s">
        <v>43</v>
      </c>
      <c r="F2225" s="1">
        <v>65</v>
      </c>
      <c r="G2225" t="s">
        <v>111</v>
      </c>
      <c r="H2225" t="s">
        <v>45</v>
      </c>
      <c r="I2225" t="s">
        <v>24</v>
      </c>
      <c r="J2225" t="s">
        <v>58</v>
      </c>
      <c r="K2225" s="2">
        <v>4.7</v>
      </c>
      <c r="L2225" t="s">
        <v>152</v>
      </c>
      <c r="M2225" t="s">
        <v>27</v>
      </c>
      <c r="N2225" t="s">
        <v>47</v>
      </c>
      <c r="O2225" t="s">
        <v>152</v>
      </c>
      <c r="P2225" t="s">
        <v>152</v>
      </c>
      <c r="Q2225" s="3">
        <v>5</v>
      </c>
      <c r="R2225" t="s">
        <v>46</v>
      </c>
      <c r="S2225" t="s">
        <v>60</v>
      </c>
    </row>
    <row r="2226" spans="1:19" x14ac:dyDescent="0.25">
      <c r="A2226">
        <v>2225</v>
      </c>
      <c r="B2226">
        <v>18</v>
      </c>
      <c r="C2226" t="s">
        <v>19</v>
      </c>
      <c r="D2226" t="s">
        <v>143</v>
      </c>
      <c r="E2226" t="s">
        <v>69</v>
      </c>
      <c r="F2226" s="1">
        <v>25</v>
      </c>
      <c r="G2226" t="s">
        <v>145</v>
      </c>
      <c r="H2226" t="s">
        <v>23</v>
      </c>
      <c r="I2226" t="s">
        <v>63</v>
      </c>
      <c r="J2226" t="s">
        <v>25</v>
      </c>
      <c r="K2226" s="2">
        <v>4.3</v>
      </c>
      <c r="L2226" t="s">
        <v>152</v>
      </c>
      <c r="M2226" t="s">
        <v>27</v>
      </c>
      <c r="N2226" t="s">
        <v>55</v>
      </c>
      <c r="O2226" t="s">
        <v>152</v>
      </c>
      <c r="P2226" t="s">
        <v>152</v>
      </c>
      <c r="Q2226" s="3">
        <v>38</v>
      </c>
      <c r="R2226" t="s">
        <v>35</v>
      </c>
      <c r="S2226" t="s">
        <v>60</v>
      </c>
    </row>
    <row r="2227" spans="1:19" x14ac:dyDescent="0.25">
      <c r="A2227">
        <v>2226</v>
      </c>
      <c r="B2227">
        <v>38</v>
      </c>
      <c r="C2227" t="s">
        <v>19</v>
      </c>
      <c r="D2227" t="s">
        <v>133</v>
      </c>
      <c r="E2227" t="s">
        <v>69</v>
      </c>
      <c r="F2227" s="1">
        <v>64</v>
      </c>
      <c r="G2227" t="s">
        <v>149</v>
      </c>
      <c r="H2227" t="s">
        <v>38</v>
      </c>
      <c r="I2227" t="s">
        <v>79</v>
      </c>
      <c r="J2227" t="s">
        <v>39</v>
      </c>
      <c r="K2227" s="2">
        <v>4.8</v>
      </c>
      <c r="L2227" t="s">
        <v>152</v>
      </c>
      <c r="M2227" t="s">
        <v>27</v>
      </c>
      <c r="N2227" t="s">
        <v>40</v>
      </c>
      <c r="O2227" t="s">
        <v>152</v>
      </c>
      <c r="P2227" t="s">
        <v>152</v>
      </c>
      <c r="Q2227" s="3">
        <v>18</v>
      </c>
      <c r="R2227" t="s">
        <v>27</v>
      </c>
      <c r="S2227" t="s">
        <v>50</v>
      </c>
    </row>
    <row r="2228" spans="1:19" x14ac:dyDescent="0.25">
      <c r="A2228">
        <v>2227</v>
      </c>
      <c r="B2228">
        <v>22</v>
      </c>
      <c r="C2228" t="s">
        <v>19</v>
      </c>
      <c r="D2228" t="s">
        <v>56</v>
      </c>
      <c r="E2228" t="s">
        <v>21</v>
      </c>
      <c r="F2228" s="1">
        <v>72</v>
      </c>
      <c r="G2228" t="s">
        <v>70</v>
      </c>
      <c r="H2228" t="s">
        <v>23</v>
      </c>
      <c r="I2228" t="s">
        <v>144</v>
      </c>
      <c r="J2228" t="s">
        <v>39</v>
      </c>
      <c r="K2228" s="2">
        <v>4.8</v>
      </c>
      <c r="L2228" t="s">
        <v>152</v>
      </c>
      <c r="M2228" t="s">
        <v>27</v>
      </c>
      <c r="N2228" t="s">
        <v>76</v>
      </c>
      <c r="O2228" t="s">
        <v>152</v>
      </c>
      <c r="P2228" t="s">
        <v>152</v>
      </c>
      <c r="Q2228" s="3">
        <v>28</v>
      </c>
      <c r="R2228" t="s">
        <v>35</v>
      </c>
      <c r="S2228" t="s">
        <v>50</v>
      </c>
    </row>
    <row r="2229" spans="1:19" x14ac:dyDescent="0.25">
      <c r="A2229">
        <v>2228</v>
      </c>
      <c r="B2229">
        <v>40</v>
      </c>
      <c r="C2229" t="s">
        <v>19</v>
      </c>
      <c r="D2229" t="s">
        <v>119</v>
      </c>
      <c r="E2229" t="s">
        <v>69</v>
      </c>
      <c r="F2229" s="1">
        <v>74</v>
      </c>
      <c r="G2229" t="s">
        <v>149</v>
      </c>
      <c r="H2229" t="s">
        <v>38</v>
      </c>
      <c r="I2229" t="s">
        <v>24</v>
      </c>
      <c r="J2229" t="s">
        <v>54</v>
      </c>
      <c r="K2229" s="2">
        <v>4.4000000000000004</v>
      </c>
      <c r="L2229" t="s">
        <v>152</v>
      </c>
      <c r="M2229" t="s">
        <v>29</v>
      </c>
      <c r="N2229" t="s">
        <v>47</v>
      </c>
      <c r="O2229" t="s">
        <v>152</v>
      </c>
      <c r="P2229" t="s">
        <v>152</v>
      </c>
      <c r="Q2229" s="3">
        <v>42</v>
      </c>
      <c r="R2229" t="s">
        <v>27</v>
      </c>
      <c r="S2229" t="s">
        <v>30</v>
      </c>
    </row>
    <row r="2230" spans="1:19" x14ac:dyDescent="0.25">
      <c r="A2230">
        <v>2229</v>
      </c>
      <c r="B2230">
        <v>54</v>
      </c>
      <c r="C2230" t="s">
        <v>19</v>
      </c>
      <c r="D2230" t="s">
        <v>143</v>
      </c>
      <c r="E2230" t="s">
        <v>69</v>
      </c>
      <c r="F2230" s="1">
        <v>50</v>
      </c>
      <c r="G2230" t="s">
        <v>111</v>
      </c>
      <c r="H2230" t="s">
        <v>45</v>
      </c>
      <c r="I2230" t="s">
        <v>96</v>
      </c>
      <c r="J2230" t="s">
        <v>58</v>
      </c>
      <c r="K2230" s="2">
        <v>3.7</v>
      </c>
      <c r="L2230" t="s">
        <v>152</v>
      </c>
      <c r="M2230" t="s">
        <v>59</v>
      </c>
      <c r="N2230" t="s">
        <v>40</v>
      </c>
      <c r="O2230" t="s">
        <v>152</v>
      </c>
      <c r="P2230" t="s">
        <v>152</v>
      </c>
      <c r="Q2230" s="3">
        <v>5</v>
      </c>
      <c r="R2230" t="s">
        <v>27</v>
      </c>
      <c r="S2230" t="s">
        <v>41</v>
      </c>
    </row>
    <row r="2231" spans="1:19" x14ac:dyDescent="0.25">
      <c r="A2231">
        <v>2230</v>
      </c>
      <c r="B2231">
        <v>70</v>
      </c>
      <c r="C2231" t="s">
        <v>19</v>
      </c>
      <c r="D2231" t="s">
        <v>95</v>
      </c>
      <c r="E2231" t="s">
        <v>21</v>
      </c>
      <c r="F2231" s="1">
        <v>97</v>
      </c>
      <c r="G2231" t="s">
        <v>148</v>
      </c>
      <c r="H2231" t="s">
        <v>45</v>
      </c>
      <c r="I2231" t="s">
        <v>67</v>
      </c>
      <c r="J2231" t="s">
        <v>58</v>
      </c>
      <c r="K2231" s="2">
        <v>3.9</v>
      </c>
      <c r="L2231" t="s">
        <v>152</v>
      </c>
      <c r="M2231" t="s">
        <v>34</v>
      </c>
      <c r="N2231" t="s">
        <v>28</v>
      </c>
      <c r="O2231" t="s">
        <v>152</v>
      </c>
      <c r="P2231" t="s">
        <v>152</v>
      </c>
      <c r="Q2231" s="3">
        <v>50</v>
      </c>
      <c r="R2231" t="s">
        <v>29</v>
      </c>
      <c r="S2231" t="s">
        <v>88</v>
      </c>
    </row>
    <row r="2232" spans="1:19" x14ac:dyDescent="0.25">
      <c r="A2232">
        <v>2231</v>
      </c>
      <c r="B2232">
        <v>52</v>
      </c>
      <c r="C2232" t="s">
        <v>19</v>
      </c>
      <c r="D2232" t="s">
        <v>51</v>
      </c>
      <c r="E2232" t="s">
        <v>43</v>
      </c>
      <c r="F2232" s="1">
        <v>36</v>
      </c>
      <c r="G2232" t="s">
        <v>112</v>
      </c>
      <c r="H2232" t="s">
        <v>38</v>
      </c>
      <c r="I2232" t="s">
        <v>86</v>
      </c>
      <c r="J2232" t="s">
        <v>39</v>
      </c>
      <c r="K2232" s="2">
        <v>3.8</v>
      </c>
      <c r="L2232" t="s">
        <v>152</v>
      </c>
      <c r="M2232" t="s">
        <v>59</v>
      </c>
      <c r="N2232" t="s">
        <v>28</v>
      </c>
      <c r="O2232" t="s">
        <v>152</v>
      </c>
      <c r="P2232" t="s">
        <v>152</v>
      </c>
      <c r="Q2232" s="3">
        <v>33</v>
      </c>
      <c r="R2232" t="s">
        <v>29</v>
      </c>
      <c r="S2232" t="s">
        <v>30</v>
      </c>
    </row>
    <row r="2233" spans="1:19" x14ac:dyDescent="0.25">
      <c r="A2233">
        <v>2232</v>
      </c>
      <c r="B2233">
        <v>34</v>
      </c>
      <c r="C2233" t="s">
        <v>19</v>
      </c>
      <c r="D2233" t="s">
        <v>102</v>
      </c>
      <c r="E2233" t="s">
        <v>65</v>
      </c>
      <c r="F2233" s="1">
        <v>49</v>
      </c>
      <c r="G2233" t="s">
        <v>140</v>
      </c>
      <c r="H2233" t="s">
        <v>45</v>
      </c>
      <c r="I2233" t="s">
        <v>118</v>
      </c>
      <c r="J2233" t="s">
        <v>58</v>
      </c>
      <c r="K2233" s="2">
        <v>4.0999999999999996</v>
      </c>
      <c r="L2233" t="s">
        <v>152</v>
      </c>
      <c r="M2233" t="s">
        <v>35</v>
      </c>
      <c r="N2233" t="s">
        <v>76</v>
      </c>
      <c r="O2233" t="s">
        <v>152</v>
      </c>
      <c r="P2233" t="s">
        <v>152</v>
      </c>
      <c r="Q2233" s="3">
        <v>1</v>
      </c>
      <c r="R2233" t="s">
        <v>27</v>
      </c>
      <c r="S2233" t="s">
        <v>41</v>
      </c>
    </row>
    <row r="2234" spans="1:19" x14ac:dyDescent="0.25">
      <c r="A2234">
        <v>2233</v>
      </c>
      <c r="B2234">
        <v>65</v>
      </c>
      <c r="C2234" t="s">
        <v>19</v>
      </c>
      <c r="D2234" t="s">
        <v>73</v>
      </c>
      <c r="E2234" t="s">
        <v>43</v>
      </c>
      <c r="F2234" s="1">
        <v>64</v>
      </c>
      <c r="G2234" t="s">
        <v>98</v>
      </c>
      <c r="H2234" t="s">
        <v>23</v>
      </c>
      <c r="I2234" t="s">
        <v>93</v>
      </c>
      <c r="J2234" t="s">
        <v>39</v>
      </c>
      <c r="K2234" s="2">
        <v>4</v>
      </c>
      <c r="L2234" t="s">
        <v>152</v>
      </c>
      <c r="M2234" t="s">
        <v>34</v>
      </c>
      <c r="N2234" t="s">
        <v>76</v>
      </c>
      <c r="O2234" t="s">
        <v>152</v>
      </c>
      <c r="P2234" t="s">
        <v>152</v>
      </c>
      <c r="Q2234" s="3">
        <v>14</v>
      </c>
      <c r="R2234" t="s">
        <v>35</v>
      </c>
      <c r="S2234" t="s">
        <v>30</v>
      </c>
    </row>
    <row r="2235" spans="1:19" x14ac:dyDescent="0.25">
      <c r="A2235">
        <v>2234</v>
      </c>
      <c r="B2235">
        <v>38</v>
      </c>
      <c r="C2235" t="s">
        <v>19</v>
      </c>
      <c r="D2235" t="s">
        <v>20</v>
      </c>
      <c r="E2235" t="s">
        <v>21</v>
      </c>
      <c r="F2235" s="1">
        <v>31</v>
      </c>
      <c r="G2235" t="s">
        <v>103</v>
      </c>
      <c r="H2235" t="s">
        <v>92</v>
      </c>
      <c r="I2235" t="s">
        <v>24</v>
      </c>
      <c r="J2235" t="s">
        <v>54</v>
      </c>
      <c r="K2235" s="2">
        <v>4.5</v>
      </c>
      <c r="L2235" t="s">
        <v>152</v>
      </c>
      <c r="M2235" t="s">
        <v>27</v>
      </c>
      <c r="N2235" t="s">
        <v>28</v>
      </c>
      <c r="O2235" t="s">
        <v>152</v>
      </c>
      <c r="P2235" t="s">
        <v>152</v>
      </c>
      <c r="Q2235" s="3">
        <v>48</v>
      </c>
      <c r="R2235" t="s">
        <v>27</v>
      </c>
      <c r="S2235" t="s">
        <v>88</v>
      </c>
    </row>
    <row r="2236" spans="1:19" x14ac:dyDescent="0.25">
      <c r="A2236">
        <v>2235</v>
      </c>
      <c r="B2236">
        <v>35</v>
      </c>
      <c r="C2236" t="s">
        <v>19</v>
      </c>
      <c r="D2236" t="s">
        <v>137</v>
      </c>
      <c r="E2236" t="s">
        <v>43</v>
      </c>
      <c r="F2236" s="1">
        <v>66</v>
      </c>
      <c r="G2236" t="s">
        <v>83</v>
      </c>
      <c r="H2236" t="s">
        <v>38</v>
      </c>
      <c r="I2236" t="s">
        <v>134</v>
      </c>
      <c r="J2236" t="s">
        <v>25</v>
      </c>
      <c r="K2236" s="2">
        <v>4</v>
      </c>
      <c r="L2236" t="s">
        <v>152</v>
      </c>
      <c r="M2236" t="s">
        <v>35</v>
      </c>
      <c r="N2236" t="s">
        <v>28</v>
      </c>
      <c r="O2236" t="s">
        <v>152</v>
      </c>
      <c r="P2236" t="s">
        <v>152</v>
      </c>
      <c r="Q2236" s="3">
        <v>26</v>
      </c>
      <c r="R2236" t="s">
        <v>35</v>
      </c>
      <c r="S2236" t="s">
        <v>41</v>
      </c>
    </row>
    <row r="2237" spans="1:19" x14ac:dyDescent="0.25">
      <c r="A2237">
        <v>2236</v>
      </c>
      <c r="B2237">
        <v>40</v>
      </c>
      <c r="C2237" t="s">
        <v>19</v>
      </c>
      <c r="D2237" t="s">
        <v>125</v>
      </c>
      <c r="E2237" t="s">
        <v>21</v>
      </c>
      <c r="F2237" s="1">
        <v>82</v>
      </c>
      <c r="G2237" t="s">
        <v>115</v>
      </c>
      <c r="H2237" t="s">
        <v>45</v>
      </c>
      <c r="I2237" t="s">
        <v>24</v>
      </c>
      <c r="J2237" t="s">
        <v>39</v>
      </c>
      <c r="K2237" s="2">
        <v>4.5</v>
      </c>
      <c r="L2237" t="s">
        <v>152</v>
      </c>
      <c r="M2237" t="s">
        <v>27</v>
      </c>
      <c r="N2237" t="s">
        <v>72</v>
      </c>
      <c r="O2237" t="s">
        <v>152</v>
      </c>
      <c r="P2237" t="s">
        <v>152</v>
      </c>
      <c r="Q2237" s="3">
        <v>44</v>
      </c>
      <c r="R2237" t="s">
        <v>27</v>
      </c>
      <c r="S2237" t="s">
        <v>50</v>
      </c>
    </row>
    <row r="2238" spans="1:19" x14ac:dyDescent="0.25">
      <c r="A2238">
        <v>2237</v>
      </c>
      <c r="B2238">
        <v>23</v>
      </c>
      <c r="C2238" t="s">
        <v>19</v>
      </c>
      <c r="D2238" t="s">
        <v>113</v>
      </c>
      <c r="E2238" t="s">
        <v>21</v>
      </c>
      <c r="F2238" s="1">
        <v>88</v>
      </c>
      <c r="G2238" t="s">
        <v>62</v>
      </c>
      <c r="H2238" t="s">
        <v>45</v>
      </c>
      <c r="I2238" t="s">
        <v>134</v>
      </c>
      <c r="J2238" t="s">
        <v>25</v>
      </c>
      <c r="K2238" s="2">
        <v>2.7</v>
      </c>
      <c r="L2238" t="s">
        <v>152</v>
      </c>
      <c r="M2238" t="s">
        <v>29</v>
      </c>
      <c r="N2238" t="s">
        <v>55</v>
      </c>
      <c r="O2238" t="s">
        <v>152</v>
      </c>
      <c r="P2238" t="s">
        <v>152</v>
      </c>
      <c r="Q2238" s="3">
        <v>18</v>
      </c>
      <c r="R2238" t="s">
        <v>59</v>
      </c>
      <c r="S2238" t="s">
        <v>30</v>
      </c>
    </row>
    <row r="2239" spans="1:19" x14ac:dyDescent="0.25">
      <c r="A2239">
        <v>2238</v>
      </c>
      <c r="B2239">
        <v>45</v>
      </c>
      <c r="C2239" t="s">
        <v>19</v>
      </c>
      <c r="D2239" t="s">
        <v>42</v>
      </c>
      <c r="E2239" t="s">
        <v>43</v>
      </c>
      <c r="F2239" s="1">
        <v>34</v>
      </c>
      <c r="G2239" t="s">
        <v>90</v>
      </c>
      <c r="H2239" t="s">
        <v>38</v>
      </c>
      <c r="I2239" t="s">
        <v>94</v>
      </c>
      <c r="J2239" t="s">
        <v>54</v>
      </c>
      <c r="K2239" s="2">
        <v>3.8</v>
      </c>
      <c r="L2239" t="s">
        <v>152</v>
      </c>
      <c r="M2239" t="s">
        <v>34</v>
      </c>
      <c r="N2239" t="s">
        <v>47</v>
      </c>
      <c r="O2239" t="s">
        <v>152</v>
      </c>
      <c r="P2239" t="s">
        <v>152</v>
      </c>
      <c r="Q2239" s="3">
        <v>31</v>
      </c>
      <c r="R2239" t="s">
        <v>29</v>
      </c>
      <c r="S2239" t="s">
        <v>97</v>
      </c>
    </row>
    <row r="2240" spans="1:19" x14ac:dyDescent="0.25">
      <c r="A2240">
        <v>2239</v>
      </c>
      <c r="B2240">
        <v>40</v>
      </c>
      <c r="C2240" t="s">
        <v>19</v>
      </c>
      <c r="D2240" t="s">
        <v>51</v>
      </c>
      <c r="E2240" t="s">
        <v>43</v>
      </c>
      <c r="F2240" s="1">
        <v>84</v>
      </c>
      <c r="G2240" t="s">
        <v>103</v>
      </c>
      <c r="H2240" t="s">
        <v>23</v>
      </c>
      <c r="I2240" t="s">
        <v>118</v>
      </c>
      <c r="J2240" t="s">
        <v>25</v>
      </c>
      <c r="K2240" s="2">
        <v>3.8</v>
      </c>
      <c r="L2240" t="s">
        <v>152</v>
      </c>
      <c r="M2240" t="s">
        <v>27</v>
      </c>
      <c r="N2240" t="s">
        <v>55</v>
      </c>
      <c r="O2240" t="s">
        <v>152</v>
      </c>
      <c r="P2240" t="s">
        <v>152</v>
      </c>
      <c r="Q2240" s="3">
        <v>18</v>
      </c>
      <c r="R2240" t="s">
        <v>59</v>
      </c>
      <c r="S2240" t="s">
        <v>41</v>
      </c>
    </row>
    <row r="2241" spans="1:19" x14ac:dyDescent="0.25">
      <c r="A2241">
        <v>2240</v>
      </c>
      <c r="B2241">
        <v>42</v>
      </c>
      <c r="C2241" t="s">
        <v>19</v>
      </c>
      <c r="D2241" t="s">
        <v>106</v>
      </c>
      <c r="E2241" t="s">
        <v>69</v>
      </c>
      <c r="F2241" s="1">
        <v>96</v>
      </c>
      <c r="G2241" t="s">
        <v>90</v>
      </c>
      <c r="H2241" t="s">
        <v>23</v>
      </c>
      <c r="I2241" t="s">
        <v>126</v>
      </c>
      <c r="J2241" t="s">
        <v>54</v>
      </c>
      <c r="K2241" s="2">
        <v>3.8</v>
      </c>
      <c r="L2241" t="s">
        <v>152</v>
      </c>
      <c r="M2241" t="s">
        <v>34</v>
      </c>
      <c r="N2241" t="s">
        <v>72</v>
      </c>
      <c r="O2241" t="s">
        <v>152</v>
      </c>
      <c r="P2241" t="s">
        <v>152</v>
      </c>
      <c r="Q2241" s="3">
        <v>41</v>
      </c>
      <c r="R2241" t="s">
        <v>27</v>
      </c>
      <c r="S2241" t="s">
        <v>97</v>
      </c>
    </row>
    <row r="2242" spans="1:19" x14ac:dyDescent="0.25">
      <c r="A2242">
        <v>2241</v>
      </c>
      <c r="B2242">
        <v>57</v>
      </c>
      <c r="C2242" t="s">
        <v>19</v>
      </c>
      <c r="D2242" t="s">
        <v>42</v>
      </c>
      <c r="E2242" t="s">
        <v>43</v>
      </c>
      <c r="F2242" s="1">
        <v>71</v>
      </c>
      <c r="G2242" t="s">
        <v>99</v>
      </c>
      <c r="H2242" t="s">
        <v>23</v>
      </c>
      <c r="I2242" t="s">
        <v>96</v>
      </c>
      <c r="J2242" t="s">
        <v>25</v>
      </c>
      <c r="K2242" s="2">
        <v>4.3</v>
      </c>
      <c r="L2242" t="s">
        <v>152</v>
      </c>
      <c r="M2242" t="s">
        <v>27</v>
      </c>
      <c r="N2242" t="s">
        <v>47</v>
      </c>
      <c r="O2242" t="s">
        <v>152</v>
      </c>
      <c r="P2242" t="s">
        <v>152</v>
      </c>
      <c r="Q2242" s="3">
        <v>18</v>
      </c>
      <c r="R2242" t="s">
        <v>59</v>
      </c>
      <c r="S2242" t="s">
        <v>97</v>
      </c>
    </row>
    <row r="2243" spans="1:19" x14ac:dyDescent="0.25">
      <c r="A2243">
        <v>2242</v>
      </c>
      <c r="B2243">
        <v>18</v>
      </c>
      <c r="C2243" t="s">
        <v>19</v>
      </c>
      <c r="D2243" t="s">
        <v>102</v>
      </c>
      <c r="E2243" t="s">
        <v>65</v>
      </c>
      <c r="F2243" s="1">
        <v>77</v>
      </c>
      <c r="G2243" t="s">
        <v>128</v>
      </c>
      <c r="H2243" t="s">
        <v>45</v>
      </c>
      <c r="I2243" t="s">
        <v>75</v>
      </c>
      <c r="J2243" t="s">
        <v>54</v>
      </c>
      <c r="K2243" s="2">
        <v>3.5</v>
      </c>
      <c r="L2243" t="s">
        <v>152</v>
      </c>
      <c r="M2243" t="s">
        <v>34</v>
      </c>
      <c r="N2243" t="s">
        <v>40</v>
      </c>
      <c r="O2243" t="s">
        <v>152</v>
      </c>
      <c r="P2243" t="s">
        <v>152</v>
      </c>
      <c r="Q2243" s="3">
        <v>3</v>
      </c>
      <c r="R2243" t="s">
        <v>34</v>
      </c>
      <c r="S2243" t="s">
        <v>77</v>
      </c>
    </row>
    <row r="2244" spans="1:19" x14ac:dyDescent="0.25">
      <c r="A2244">
        <v>2243</v>
      </c>
      <c r="B2244">
        <v>18</v>
      </c>
      <c r="C2244" t="s">
        <v>19</v>
      </c>
      <c r="D2244" t="s">
        <v>87</v>
      </c>
      <c r="E2244" t="s">
        <v>21</v>
      </c>
      <c r="F2244" s="1">
        <v>66</v>
      </c>
      <c r="G2244" t="s">
        <v>107</v>
      </c>
      <c r="H2244" t="s">
        <v>45</v>
      </c>
      <c r="I2244" t="s">
        <v>121</v>
      </c>
      <c r="J2244" t="s">
        <v>39</v>
      </c>
      <c r="K2244" s="2">
        <v>3.8</v>
      </c>
      <c r="L2244" t="s">
        <v>152</v>
      </c>
      <c r="M2244" t="s">
        <v>46</v>
      </c>
      <c r="N2244" t="s">
        <v>47</v>
      </c>
      <c r="O2244" t="s">
        <v>152</v>
      </c>
      <c r="P2244" t="s">
        <v>152</v>
      </c>
      <c r="Q2244" s="3">
        <v>5</v>
      </c>
      <c r="R2244" t="s">
        <v>27</v>
      </c>
      <c r="S2244" t="s">
        <v>77</v>
      </c>
    </row>
    <row r="2245" spans="1:19" x14ac:dyDescent="0.25">
      <c r="A2245">
        <v>2244</v>
      </c>
      <c r="B2245">
        <v>56</v>
      </c>
      <c r="C2245" t="s">
        <v>19</v>
      </c>
      <c r="D2245" t="s">
        <v>56</v>
      </c>
      <c r="E2245" t="s">
        <v>21</v>
      </c>
      <c r="F2245" s="1">
        <v>21</v>
      </c>
      <c r="G2245" t="s">
        <v>37</v>
      </c>
      <c r="H2245" t="s">
        <v>45</v>
      </c>
      <c r="I2245" t="s">
        <v>86</v>
      </c>
      <c r="J2245" t="s">
        <v>25</v>
      </c>
      <c r="K2245" s="2">
        <v>3.7</v>
      </c>
      <c r="L2245" t="s">
        <v>152</v>
      </c>
      <c r="M2245" t="s">
        <v>35</v>
      </c>
      <c r="N2245" t="s">
        <v>72</v>
      </c>
      <c r="O2245" t="s">
        <v>152</v>
      </c>
      <c r="P2245" t="s">
        <v>152</v>
      </c>
      <c r="Q2245" s="3">
        <v>13</v>
      </c>
      <c r="R2245" t="s">
        <v>59</v>
      </c>
      <c r="S2245" t="s">
        <v>50</v>
      </c>
    </row>
    <row r="2246" spans="1:19" x14ac:dyDescent="0.25">
      <c r="A2246">
        <v>2245</v>
      </c>
      <c r="B2246">
        <v>35</v>
      </c>
      <c r="C2246" t="s">
        <v>19</v>
      </c>
      <c r="D2246" t="s">
        <v>61</v>
      </c>
      <c r="E2246" t="s">
        <v>21</v>
      </c>
      <c r="F2246" s="1">
        <v>37</v>
      </c>
      <c r="G2246" t="s">
        <v>131</v>
      </c>
      <c r="H2246" t="s">
        <v>45</v>
      </c>
      <c r="I2246" t="s">
        <v>81</v>
      </c>
      <c r="J2246" t="s">
        <v>54</v>
      </c>
      <c r="K2246" s="2">
        <v>4.8</v>
      </c>
      <c r="L2246" t="s">
        <v>152</v>
      </c>
      <c r="M2246" t="s">
        <v>27</v>
      </c>
      <c r="N2246" t="s">
        <v>72</v>
      </c>
      <c r="O2246" t="s">
        <v>152</v>
      </c>
      <c r="P2246" t="s">
        <v>152</v>
      </c>
      <c r="Q2246" s="3">
        <v>22</v>
      </c>
      <c r="R2246" t="s">
        <v>46</v>
      </c>
      <c r="S2246" t="s">
        <v>50</v>
      </c>
    </row>
    <row r="2247" spans="1:19" x14ac:dyDescent="0.25">
      <c r="A2247">
        <v>2246</v>
      </c>
      <c r="B2247">
        <v>49</v>
      </c>
      <c r="C2247" t="s">
        <v>19</v>
      </c>
      <c r="D2247" t="s">
        <v>125</v>
      </c>
      <c r="E2247" t="s">
        <v>21</v>
      </c>
      <c r="F2247" s="1">
        <v>90</v>
      </c>
      <c r="G2247" t="s">
        <v>80</v>
      </c>
      <c r="H2247" t="s">
        <v>23</v>
      </c>
      <c r="I2247" t="s">
        <v>24</v>
      </c>
      <c r="J2247" t="s">
        <v>58</v>
      </c>
      <c r="K2247" s="2">
        <v>4.9000000000000004</v>
      </c>
      <c r="L2247" t="s">
        <v>152</v>
      </c>
      <c r="M2247" t="s">
        <v>29</v>
      </c>
      <c r="N2247" t="s">
        <v>40</v>
      </c>
      <c r="O2247" t="s">
        <v>152</v>
      </c>
      <c r="P2247" t="s">
        <v>152</v>
      </c>
      <c r="Q2247" s="3">
        <v>45</v>
      </c>
      <c r="R2247" t="s">
        <v>46</v>
      </c>
      <c r="S2247" t="s">
        <v>30</v>
      </c>
    </row>
    <row r="2248" spans="1:19" x14ac:dyDescent="0.25">
      <c r="A2248">
        <v>2247</v>
      </c>
      <c r="B2248">
        <v>49</v>
      </c>
      <c r="C2248" t="s">
        <v>19</v>
      </c>
      <c r="D2248" t="s">
        <v>102</v>
      </c>
      <c r="E2248" t="s">
        <v>65</v>
      </c>
      <c r="F2248" s="1">
        <v>96</v>
      </c>
      <c r="G2248" t="s">
        <v>78</v>
      </c>
      <c r="H2248" t="s">
        <v>45</v>
      </c>
      <c r="I2248" t="s">
        <v>109</v>
      </c>
      <c r="J2248" t="s">
        <v>58</v>
      </c>
      <c r="K2248" s="2">
        <v>4.3</v>
      </c>
      <c r="L2248" t="s">
        <v>152</v>
      </c>
      <c r="M2248" t="s">
        <v>35</v>
      </c>
      <c r="N2248" t="s">
        <v>76</v>
      </c>
      <c r="O2248" t="s">
        <v>152</v>
      </c>
      <c r="P2248" t="s">
        <v>152</v>
      </c>
      <c r="Q2248" s="3">
        <v>39</v>
      </c>
      <c r="R2248" t="s">
        <v>46</v>
      </c>
      <c r="S2248" t="s">
        <v>97</v>
      </c>
    </row>
    <row r="2249" spans="1:19" x14ac:dyDescent="0.25">
      <c r="A2249">
        <v>2248</v>
      </c>
      <c r="B2249">
        <v>34</v>
      </c>
      <c r="C2249" t="s">
        <v>19</v>
      </c>
      <c r="D2249" t="s">
        <v>106</v>
      </c>
      <c r="E2249" t="s">
        <v>69</v>
      </c>
      <c r="F2249" s="1">
        <v>37</v>
      </c>
      <c r="G2249" t="s">
        <v>103</v>
      </c>
      <c r="H2249" t="s">
        <v>23</v>
      </c>
      <c r="I2249" t="s">
        <v>86</v>
      </c>
      <c r="J2249" t="s">
        <v>54</v>
      </c>
      <c r="K2249" s="2">
        <v>4.4000000000000004</v>
      </c>
      <c r="L2249" t="s">
        <v>152</v>
      </c>
      <c r="M2249" t="s">
        <v>46</v>
      </c>
      <c r="N2249" t="s">
        <v>47</v>
      </c>
      <c r="O2249" t="s">
        <v>152</v>
      </c>
      <c r="P2249" t="s">
        <v>152</v>
      </c>
      <c r="Q2249" s="3">
        <v>18</v>
      </c>
      <c r="R2249" t="s">
        <v>29</v>
      </c>
      <c r="S2249" t="s">
        <v>50</v>
      </c>
    </row>
    <row r="2250" spans="1:19" x14ac:dyDescent="0.25">
      <c r="A2250">
        <v>2249</v>
      </c>
      <c r="B2250">
        <v>63</v>
      </c>
      <c r="C2250" t="s">
        <v>19</v>
      </c>
      <c r="D2250" t="s">
        <v>113</v>
      </c>
      <c r="E2250" t="s">
        <v>21</v>
      </c>
      <c r="F2250" s="1">
        <v>66</v>
      </c>
      <c r="G2250" t="s">
        <v>44</v>
      </c>
      <c r="H2250" t="s">
        <v>45</v>
      </c>
      <c r="I2250" t="s">
        <v>84</v>
      </c>
      <c r="J2250" t="s">
        <v>25</v>
      </c>
      <c r="K2250" s="2">
        <v>3.4</v>
      </c>
      <c r="L2250" t="s">
        <v>152</v>
      </c>
      <c r="M2250" t="s">
        <v>35</v>
      </c>
      <c r="N2250" t="s">
        <v>40</v>
      </c>
      <c r="O2250" t="s">
        <v>152</v>
      </c>
      <c r="P2250" t="s">
        <v>152</v>
      </c>
      <c r="Q2250" s="3">
        <v>19</v>
      </c>
      <c r="R2250" t="s">
        <v>46</v>
      </c>
      <c r="S2250" t="s">
        <v>30</v>
      </c>
    </row>
    <row r="2251" spans="1:19" x14ac:dyDescent="0.25">
      <c r="A2251">
        <v>2250</v>
      </c>
      <c r="B2251">
        <v>42</v>
      </c>
      <c r="C2251" t="s">
        <v>19</v>
      </c>
      <c r="D2251" t="s">
        <v>143</v>
      </c>
      <c r="E2251" t="s">
        <v>69</v>
      </c>
      <c r="F2251" s="1">
        <v>45</v>
      </c>
      <c r="G2251" t="s">
        <v>52</v>
      </c>
      <c r="H2251" t="s">
        <v>92</v>
      </c>
      <c r="I2251" t="s">
        <v>126</v>
      </c>
      <c r="J2251" t="s">
        <v>39</v>
      </c>
      <c r="K2251" s="2">
        <v>4.3</v>
      </c>
      <c r="L2251" t="s">
        <v>152</v>
      </c>
      <c r="M2251" t="s">
        <v>34</v>
      </c>
      <c r="N2251" t="s">
        <v>47</v>
      </c>
      <c r="O2251" t="s">
        <v>152</v>
      </c>
      <c r="P2251" t="s">
        <v>152</v>
      </c>
      <c r="Q2251" s="3">
        <v>29</v>
      </c>
      <c r="R2251" t="s">
        <v>59</v>
      </c>
      <c r="S2251" t="s">
        <v>41</v>
      </c>
    </row>
    <row r="2252" spans="1:19" x14ac:dyDescent="0.25">
      <c r="A2252">
        <v>2251</v>
      </c>
      <c r="B2252">
        <v>41</v>
      </c>
      <c r="C2252" t="s">
        <v>19</v>
      </c>
      <c r="D2252" t="s">
        <v>73</v>
      </c>
      <c r="E2252" t="s">
        <v>43</v>
      </c>
      <c r="F2252" s="1">
        <v>89</v>
      </c>
      <c r="G2252" t="s">
        <v>112</v>
      </c>
      <c r="H2252" t="s">
        <v>23</v>
      </c>
      <c r="I2252" t="s">
        <v>71</v>
      </c>
      <c r="J2252" t="s">
        <v>54</v>
      </c>
      <c r="K2252" s="2">
        <v>4.5999999999999996</v>
      </c>
      <c r="L2252" t="s">
        <v>152</v>
      </c>
      <c r="M2252" t="s">
        <v>29</v>
      </c>
      <c r="N2252" t="s">
        <v>76</v>
      </c>
      <c r="O2252" t="s">
        <v>152</v>
      </c>
      <c r="P2252" t="s">
        <v>152</v>
      </c>
      <c r="Q2252" s="3">
        <v>19</v>
      </c>
      <c r="R2252" t="s">
        <v>27</v>
      </c>
      <c r="S2252" t="s">
        <v>41</v>
      </c>
    </row>
    <row r="2253" spans="1:19" x14ac:dyDescent="0.25">
      <c r="A2253">
        <v>2252</v>
      </c>
      <c r="B2253">
        <v>26</v>
      </c>
      <c r="C2253" t="s">
        <v>19</v>
      </c>
      <c r="D2253" t="s">
        <v>73</v>
      </c>
      <c r="E2253" t="s">
        <v>43</v>
      </c>
      <c r="F2253" s="1">
        <v>94</v>
      </c>
      <c r="G2253" t="s">
        <v>141</v>
      </c>
      <c r="H2253" t="s">
        <v>23</v>
      </c>
      <c r="I2253" t="s">
        <v>81</v>
      </c>
      <c r="J2253" t="s">
        <v>58</v>
      </c>
      <c r="K2253" s="2">
        <v>3.8</v>
      </c>
      <c r="L2253" t="s">
        <v>152</v>
      </c>
      <c r="M2253" t="s">
        <v>46</v>
      </c>
      <c r="N2253" t="s">
        <v>40</v>
      </c>
      <c r="O2253" t="s">
        <v>152</v>
      </c>
      <c r="P2253" t="s">
        <v>152</v>
      </c>
      <c r="Q2253" s="3">
        <v>22</v>
      </c>
      <c r="R2253" t="s">
        <v>59</v>
      </c>
      <c r="S2253" t="s">
        <v>88</v>
      </c>
    </row>
    <row r="2254" spans="1:19" x14ac:dyDescent="0.25">
      <c r="A2254">
        <v>2253</v>
      </c>
      <c r="B2254">
        <v>48</v>
      </c>
      <c r="C2254" t="s">
        <v>19</v>
      </c>
      <c r="D2254" t="s">
        <v>73</v>
      </c>
      <c r="E2254" t="s">
        <v>43</v>
      </c>
      <c r="F2254" s="1">
        <v>96</v>
      </c>
      <c r="G2254" t="s">
        <v>145</v>
      </c>
      <c r="H2254" t="s">
        <v>38</v>
      </c>
      <c r="I2254" t="s">
        <v>33</v>
      </c>
      <c r="J2254" t="s">
        <v>54</v>
      </c>
      <c r="K2254" s="2">
        <v>3.9</v>
      </c>
      <c r="L2254" t="s">
        <v>152</v>
      </c>
      <c r="M2254" t="s">
        <v>29</v>
      </c>
      <c r="N2254" t="s">
        <v>28</v>
      </c>
      <c r="O2254" t="s">
        <v>152</v>
      </c>
      <c r="P2254" t="s">
        <v>152</v>
      </c>
      <c r="Q2254" s="3">
        <v>21</v>
      </c>
      <c r="R2254" t="s">
        <v>34</v>
      </c>
      <c r="S2254" t="s">
        <v>50</v>
      </c>
    </row>
    <row r="2255" spans="1:19" x14ac:dyDescent="0.25">
      <c r="A2255">
        <v>2254</v>
      </c>
      <c r="B2255">
        <v>62</v>
      </c>
      <c r="C2255" t="s">
        <v>19</v>
      </c>
      <c r="D2255" t="s">
        <v>104</v>
      </c>
      <c r="E2255" t="s">
        <v>21</v>
      </c>
      <c r="F2255" s="1">
        <v>31</v>
      </c>
      <c r="G2255" t="s">
        <v>101</v>
      </c>
      <c r="H2255" t="s">
        <v>45</v>
      </c>
      <c r="I2255" t="s">
        <v>110</v>
      </c>
      <c r="J2255" t="s">
        <v>39</v>
      </c>
      <c r="K2255" s="2">
        <v>2.6</v>
      </c>
      <c r="L2255" t="s">
        <v>152</v>
      </c>
      <c r="M2255" t="s">
        <v>27</v>
      </c>
      <c r="N2255" t="s">
        <v>76</v>
      </c>
      <c r="O2255" t="s">
        <v>152</v>
      </c>
      <c r="P2255" t="s">
        <v>152</v>
      </c>
      <c r="Q2255" s="3">
        <v>22</v>
      </c>
      <c r="R2255" t="s">
        <v>46</v>
      </c>
      <c r="S2255" t="s">
        <v>88</v>
      </c>
    </row>
    <row r="2256" spans="1:19" x14ac:dyDescent="0.25">
      <c r="A2256">
        <v>2255</v>
      </c>
      <c r="B2256">
        <v>24</v>
      </c>
      <c r="C2256" t="s">
        <v>19</v>
      </c>
      <c r="D2256" t="s">
        <v>133</v>
      </c>
      <c r="E2256" t="s">
        <v>69</v>
      </c>
      <c r="F2256" s="1">
        <v>79</v>
      </c>
      <c r="G2256" t="s">
        <v>114</v>
      </c>
      <c r="H2256" t="s">
        <v>45</v>
      </c>
      <c r="I2256" t="s">
        <v>81</v>
      </c>
      <c r="J2256" t="s">
        <v>25</v>
      </c>
      <c r="K2256" s="2">
        <v>4.2</v>
      </c>
      <c r="L2256" t="s">
        <v>152</v>
      </c>
      <c r="M2256" t="s">
        <v>29</v>
      </c>
      <c r="N2256" t="s">
        <v>76</v>
      </c>
      <c r="O2256" t="s">
        <v>152</v>
      </c>
      <c r="P2256" t="s">
        <v>152</v>
      </c>
      <c r="Q2256" s="3">
        <v>44</v>
      </c>
      <c r="R2256" t="s">
        <v>46</v>
      </c>
      <c r="S2256" t="s">
        <v>97</v>
      </c>
    </row>
    <row r="2257" spans="1:19" x14ac:dyDescent="0.25">
      <c r="A2257">
        <v>2256</v>
      </c>
      <c r="B2257">
        <v>48</v>
      </c>
      <c r="C2257" t="s">
        <v>19</v>
      </c>
      <c r="D2257" t="s">
        <v>64</v>
      </c>
      <c r="E2257" t="s">
        <v>65</v>
      </c>
      <c r="F2257" s="1">
        <v>39</v>
      </c>
      <c r="G2257" t="s">
        <v>151</v>
      </c>
      <c r="H2257" t="s">
        <v>23</v>
      </c>
      <c r="I2257" t="s">
        <v>86</v>
      </c>
      <c r="J2257" t="s">
        <v>39</v>
      </c>
      <c r="K2257" s="2">
        <v>4.5999999999999996</v>
      </c>
      <c r="L2257" t="s">
        <v>152</v>
      </c>
      <c r="M2257" t="s">
        <v>29</v>
      </c>
      <c r="N2257" t="s">
        <v>76</v>
      </c>
      <c r="O2257" t="s">
        <v>152</v>
      </c>
      <c r="P2257" t="s">
        <v>152</v>
      </c>
      <c r="Q2257" s="3">
        <v>42</v>
      </c>
      <c r="R2257" t="s">
        <v>34</v>
      </c>
      <c r="S2257" t="s">
        <v>60</v>
      </c>
    </row>
    <row r="2258" spans="1:19" x14ac:dyDescent="0.25">
      <c r="A2258">
        <v>2257</v>
      </c>
      <c r="B2258">
        <v>31</v>
      </c>
      <c r="C2258" t="s">
        <v>19</v>
      </c>
      <c r="D2258" t="s">
        <v>20</v>
      </c>
      <c r="E2258" t="s">
        <v>21</v>
      </c>
      <c r="F2258" s="1">
        <v>22</v>
      </c>
      <c r="G2258" t="s">
        <v>99</v>
      </c>
      <c r="H2258" t="s">
        <v>45</v>
      </c>
      <c r="I2258" t="s">
        <v>49</v>
      </c>
      <c r="J2258" t="s">
        <v>58</v>
      </c>
      <c r="K2258" s="2">
        <v>5</v>
      </c>
      <c r="L2258" t="s">
        <v>152</v>
      </c>
      <c r="M2258" t="s">
        <v>59</v>
      </c>
      <c r="N2258" t="s">
        <v>55</v>
      </c>
      <c r="O2258" t="s">
        <v>152</v>
      </c>
      <c r="P2258" t="s">
        <v>152</v>
      </c>
      <c r="Q2258" s="3">
        <v>33</v>
      </c>
      <c r="R2258" t="s">
        <v>27</v>
      </c>
      <c r="S2258" t="s">
        <v>60</v>
      </c>
    </row>
    <row r="2259" spans="1:19" x14ac:dyDescent="0.25">
      <c r="A2259">
        <v>2258</v>
      </c>
      <c r="B2259">
        <v>41</v>
      </c>
      <c r="C2259" t="s">
        <v>19</v>
      </c>
      <c r="D2259" t="s">
        <v>87</v>
      </c>
      <c r="E2259" t="s">
        <v>21</v>
      </c>
      <c r="F2259" s="1">
        <v>32</v>
      </c>
      <c r="G2259" t="s">
        <v>122</v>
      </c>
      <c r="H2259" t="s">
        <v>23</v>
      </c>
      <c r="I2259" t="s">
        <v>79</v>
      </c>
      <c r="J2259" t="s">
        <v>58</v>
      </c>
      <c r="K2259" s="2">
        <v>4.2</v>
      </c>
      <c r="L2259" t="s">
        <v>152</v>
      </c>
      <c r="M2259" t="s">
        <v>46</v>
      </c>
      <c r="N2259" t="s">
        <v>55</v>
      </c>
      <c r="O2259" t="s">
        <v>152</v>
      </c>
      <c r="P2259" t="s">
        <v>152</v>
      </c>
      <c r="Q2259" s="3">
        <v>6</v>
      </c>
      <c r="R2259" t="s">
        <v>34</v>
      </c>
      <c r="S2259" t="s">
        <v>50</v>
      </c>
    </row>
    <row r="2260" spans="1:19" x14ac:dyDescent="0.25">
      <c r="A2260">
        <v>2259</v>
      </c>
      <c r="B2260">
        <v>24</v>
      </c>
      <c r="C2260" t="s">
        <v>19</v>
      </c>
      <c r="D2260" t="s">
        <v>113</v>
      </c>
      <c r="E2260" t="s">
        <v>21</v>
      </c>
      <c r="F2260" s="1">
        <v>71</v>
      </c>
      <c r="G2260" t="s">
        <v>123</v>
      </c>
      <c r="H2260" t="s">
        <v>23</v>
      </c>
      <c r="I2260" t="s">
        <v>109</v>
      </c>
      <c r="J2260" t="s">
        <v>25</v>
      </c>
      <c r="K2260" s="2">
        <v>4.3</v>
      </c>
      <c r="L2260" t="s">
        <v>152</v>
      </c>
      <c r="M2260" t="s">
        <v>34</v>
      </c>
      <c r="N2260" t="s">
        <v>76</v>
      </c>
      <c r="O2260" t="s">
        <v>152</v>
      </c>
      <c r="P2260" t="s">
        <v>152</v>
      </c>
      <c r="Q2260" s="3">
        <v>44</v>
      </c>
      <c r="R2260" t="s">
        <v>27</v>
      </c>
      <c r="S2260" t="s">
        <v>97</v>
      </c>
    </row>
    <row r="2261" spans="1:19" x14ac:dyDescent="0.25">
      <c r="A2261">
        <v>2260</v>
      </c>
      <c r="B2261">
        <v>60</v>
      </c>
      <c r="C2261" t="s">
        <v>19</v>
      </c>
      <c r="D2261" t="s">
        <v>36</v>
      </c>
      <c r="E2261" t="s">
        <v>21</v>
      </c>
      <c r="F2261" s="1">
        <v>96</v>
      </c>
      <c r="G2261" t="s">
        <v>103</v>
      </c>
      <c r="H2261" t="s">
        <v>92</v>
      </c>
      <c r="I2261" t="s">
        <v>118</v>
      </c>
      <c r="J2261" t="s">
        <v>39</v>
      </c>
      <c r="K2261" s="2">
        <v>3.3</v>
      </c>
      <c r="L2261" t="s">
        <v>152</v>
      </c>
      <c r="M2261" t="s">
        <v>29</v>
      </c>
      <c r="N2261" t="s">
        <v>40</v>
      </c>
      <c r="O2261" t="s">
        <v>152</v>
      </c>
      <c r="P2261" t="s">
        <v>152</v>
      </c>
      <c r="Q2261" s="3">
        <v>24</v>
      </c>
      <c r="R2261" t="s">
        <v>35</v>
      </c>
      <c r="S2261" t="s">
        <v>50</v>
      </c>
    </row>
    <row r="2262" spans="1:19" x14ac:dyDescent="0.25">
      <c r="A2262">
        <v>2261</v>
      </c>
      <c r="B2262">
        <v>38</v>
      </c>
      <c r="C2262" t="s">
        <v>19</v>
      </c>
      <c r="D2262" t="s">
        <v>119</v>
      </c>
      <c r="E2262" t="s">
        <v>69</v>
      </c>
      <c r="F2262" s="1">
        <v>82</v>
      </c>
      <c r="G2262" t="s">
        <v>70</v>
      </c>
      <c r="H2262" t="s">
        <v>45</v>
      </c>
      <c r="I2262" t="s">
        <v>144</v>
      </c>
      <c r="J2262" t="s">
        <v>58</v>
      </c>
      <c r="K2262" s="2">
        <v>4.9000000000000004</v>
      </c>
      <c r="L2262" t="s">
        <v>152</v>
      </c>
      <c r="M2262" t="s">
        <v>29</v>
      </c>
      <c r="N2262" t="s">
        <v>28</v>
      </c>
      <c r="O2262" t="s">
        <v>152</v>
      </c>
      <c r="P2262" t="s">
        <v>152</v>
      </c>
      <c r="Q2262" s="3">
        <v>16</v>
      </c>
      <c r="R2262" t="s">
        <v>46</v>
      </c>
      <c r="S2262" t="s">
        <v>60</v>
      </c>
    </row>
    <row r="2263" spans="1:19" x14ac:dyDescent="0.25">
      <c r="A2263">
        <v>2262</v>
      </c>
      <c r="B2263">
        <v>58</v>
      </c>
      <c r="C2263" t="s">
        <v>19</v>
      </c>
      <c r="D2263" t="s">
        <v>132</v>
      </c>
      <c r="E2263" t="s">
        <v>69</v>
      </c>
      <c r="F2263" s="1">
        <v>76</v>
      </c>
      <c r="G2263" t="s">
        <v>131</v>
      </c>
      <c r="H2263" t="s">
        <v>23</v>
      </c>
      <c r="I2263" t="s">
        <v>81</v>
      </c>
      <c r="J2263" t="s">
        <v>39</v>
      </c>
      <c r="K2263" s="2">
        <v>4.4000000000000004</v>
      </c>
      <c r="L2263" t="s">
        <v>152</v>
      </c>
      <c r="M2263" t="s">
        <v>35</v>
      </c>
      <c r="N2263" t="s">
        <v>55</v>
      </c>
      <c r="O2263" t="s">
        <v>152</v>
      </c>
      <c r="P2263" t="s">
        <v>152</v>
      </c>
      <c r="Q2263" s="3">
        <v>12</v>
      </c>
      <c r="R2263" t="s">
        <v>34</v>
      </c>
      <c r="S2263" t="s">
        <v>30</v>
      </c>
    </row>
    <row r="2264" spans="1:19" x14ac:dyDescent="0.25">
      <c r="A2264">
        <v>2263</v>
      </c>
      <c r="B2264">
        <v>53</v>
      </c>
      <c r="C2264" t="s">
        <v>19</v>
      </c>
      <c r="D2264" t="s">
        <v>132</v>
      </c>
      <c r="E2264" t="s">
        <v>69</v>
      </c>
      <c r="F2264" s="1">
        <v>22</v>
      </c>
      <c r="G2264" t="s">
        <v>117</v>
      </c>
      <c r="H2264" t="s">
        <v>45</v>
      </c>
      <c r="I2264" t="s">
        <v>96</v>
      </c>
      <c r="J2264" t="s">
        <v>25</v>
      </c>
      <c r="K2264" s="2">
        <v>3.1</v>
      </c>
      <c r="L2264" t="s">
        <v>152</v>
      </c>
      <c r="M2264" t="s">
        <v>29</v>
      </c>
      <c r="N2264" t="s">
        <v>72</v>
      </c>
      <c r="O2264" t="s">
        <v>152</v>
      </c>
      <c r="P2264" t="s">
        <v>152</v>
      </c>
      <c r="Q2264" s="3">
        <v>50</v>
      </c>
      <c r="R2264" t="s">
        <v>46</v>
      </c>
      <c r="S2264" t="s">
        <v>88</v>
      </c>
    </row>
    <row r="2265" spans="1:19" x14ac:dyDescent="0.25">
      <c r="A2265">
        <v>2264</v>
      </c>
      <c r="B2265">
        <v>44</v>
      </c>
      <c r="C2265" t="s">
        <v>19</v>
      </c>
      <c r="D2265" t="s">
        <v>119</v>
      </c>
      <c r="E2265" t="s">
        <v>69</v>
      </c>
      <c r="F2265" s="1">
        <v>40</v>
      </c>
      <c r="G2265" t="s">
        <v>116</v>
      </c>
      <c r="H2265" t="s">
        <v>92</v>
      </c>
      <c r="I2265" t="s">
        <v>96</v>
      </c>
      <c r="J2265" t="s">
        <v>25</v>
      </c>
      <c r="K2265" s="2">
        <v>3.5</v>
      </c>
      <c r="L2265" t="s">
        <v>152</v>
      </c>
      <c r="M2265" t="s">
        <v>46</v>
      </c>
      <c r="N2265" t="s">
        <v>76</v>
      </c>
      <c r="O2265" t="s">
        <v>152</v>
      </c>
      <c r="P2265" t="s">
        <v>152</v>
      </c>
      <c r="Q2265" s="3">
        <v>42</v>
      </c>
      <c r="R2265" t="s">
        <v>35</v>
      </c>
      <c r="S2265" t="s">
        <v>60</v>
      </c>
    </row>
    <row r="2266" spans="1:19" x14ac:dyDescent="0.25">
      <c r="A2266">
        <v>2265</v>
      </c>
      <c r="B2266">
        <v>51</v>
      </c>
      <c r="C2266" t="s">
        <v>19</v>
      </c>
      <c r="D2266" t="s">
        <v>124</v>
      </c>
      <c r="E2266" t="s">
        <v>69</v>
      </c>
      <c r="F2266" s="1">
        <v>92</v>
      </c>
      <c r="G2266" t="s">
        <v>114</v>
      </c>
      <c r="H2266" t="s">
        <v>45</v>
      </c>
      <c r="I2266" t="s">
        <v>49</v>
      </c>
      <c r="J2266" t="s">
        <v>54</v>
      </c>
      <c r="K2266" s="2">
        <v>3.9</v>
      </c>
      <c r="L2266" t="s">
        <v>152</v>
      </c>
      <c r="M2266" t="s">
        <v>34</v>
      </c>
      <c r="N2266" t="s">
        <v>72</v>
      </c>
      <c r="O2266" t="s">
        <v>152</v>
      </c>
      <c r="P2266" t="s">
        <v>152</v>
      </c>
      <c r="Q2266" s="3">
        <v>50</v>
      </c>
      <c r="R2266" t="s">
        <v>46</v>
      </c>
      <c r="S2266" t="s">
        <v>88</v>
      </c>
    </row>
    <row r="2267" spans="1:19" x14ac:dyDescent="0.25">
      <c r="A2267">
        <v>2266</v>
      </c>
      <c r="B2267">
        <v>36</v>
      </c>
      <c r="C2267" t="s">
        <v>19</v>
      </c>
      <c r="D2267" t="s">
        <v>64</v>
      </c>
      <c r="E2267" t="s">
        <v>65</v>
      </c>
      <c r="F2267" s="1">
        <v>94</v>
      </c>
      <c r="G2267" t="s">
        <v>57</v>
      </c>
      <c r="H2267" t="s">
        <v>92</v>
      </c>
      <c r="I2267" t="s">
        <v>134</v>
      </c>
      <c r="J2267" t="s">
        <v>58</v>
      </c>
      <c r="K2267" s="2">
        <v>3.9</v>
      </c>
      <c r="L2267" t="s">
        <v>152</v>
      </c>
      <c r="M2267" t="s">
        <v>34</v>
      </c>
      <c r="N2267" t="s">
        <v>76</v>
      </c>
      <c r="O2267" t="s">
        <v>152</v>
      </c>
      <c r="P2267" t="s">
        <v>152</v>
      </c>
      <c r="Q2267" s="3">
        <v>10</v>
      </c>
      <c r="R2267" t="s">
        <v>46</v>
      </c>
      <c r="S2267" t="s">
        <v>60</v>
      </c>
    </row>
    <row r="2268" spans="1:19" x14ac:dyDescent="0.25">
      <c r="A2268">
        <v>2267</v>
      </c>
      <c r="B2268">
        <v>20</v>
      </c>
      <c r="C2268" t="s">
        <v>19</v>
      </c>
      <c r="D2268" t="s">
        <v>82</v>
      </c>
      <c r="E2268" t="s">
        <v>21</v>
      </c>
      <c r="F2268" s="1">
        <v>44</v>
      </c>
      <c r="G2268" t="s">
        <v>70</v>
      </c>
      <c r="H2268" t="s">
        <v>45</v>
      </c>
      <c r="I2268" t="s">
        <v>134</v>
      </c>
      <c r="J2268" t="s">
        <v>58</v>
      </c>
      <c r="K2268" s="2">
        <v>4.3</v>
      </c>
      <c r="L2268" t="s">
        <v>152</v>
      </c>
      <c r="M2268" t="s">
        <v>34</v>
      </c>
      <c r="N2268" t="s">
        <v>76</v>
      </c>
      <c r="O2268" t="s">
        <v>152</v>
      </c>
      <c r="P2268" t="s">
        <v>152</v>
      </c>
      <c r="Q2268" s="3">
        <v>32</v>
      </c>
      <c r="R2268" t="s">
        <v>59</v>
      </c>
      <c r="S2268" t="s">
        <v>41</v>
      </c>
    </row>
    <row r="2269" spans="1:19" x14ac:dyDescent="0.25">
      <c r="A2269">
        <v>2268</v>
      </c>
      <c r="B2269">
        <v>32</v>
      </c>
      <c r="C2269" t="s">
        <v>19</v>
      </c>
      <c r="D2269" t="s">
        <v>143</v>
      </c>
      <c r="E2269" t="s">
        <v>69</v>
      </c>
      <c r="F2269" s="1">
        <v>49</v>
      </c>
      <c r="G2269" t="s">
        <v>22</v>
      </c>
      <c r="H2269" t="s">
        <v>38</v>
      </c>
      <c r="I2269" t="s">
        <v>144</v>
      </c>
      <c r="J2269" t="s">
        <v>39</v>
      </c>
      <c r="K2269" s="2">
        <v>3.8</v>
      </c>
      <c r="L2269" t="s">
        <v>152</v>
      </c>
      <c r="M2269" t="s">
        <v>29</v>
      </c>
      <c r="N2269" t="s">
        <v>28</v>
      </c>
      <c r="O2269" t="s">
        <v>152</v>
      </c>
      <c r="P2269" t="s">
        <v>152</v>
      </c>
      <c r="Q2269" s="3">
        <v>37</v>
      </c>
      <c r="R2269" t="s">
        <v>29</v>
      </c>
      <c r="S2269" t="s">
        <v>41</v>
      </c>
    </row>
    <row r="2270" spans="1:19" x14ac:dyDescent="0.25">
      <c r="A2270">
        <v>2269</v>
      </c>
      <c r="B2270">
        <v>66</v>
      </c>
      <c r="C2270" t="s">
        <v>19</v>
      </c>
      <c r="D2270" t="s">
        <v>31</v>
      </c>
      <c r="E2270" t="s">
        <v>21</v>
      </c>
      <c r="F2270" s="1">
        <v>26</v>
      </c>
      <c r="G2270" t="s">
        <v>142</v>
      </c>
      <c r="H2270" t="s">
        <v>23</v>
      </c>
      <c r="I2270" t="s">
        <v>63</v>
      </c>
      <c r="J2270" t="s">
        <v>39</v>
      </c>
      <c r="K2270" s="2">
        <v>2.7</v>
      </c>
      <c r="L2270" t="s">
        <v>152</v>
      </c>
      <c r="M2270" t="s">
        <v>27</v>
      </c>
      <c r="N2270" t="s">
        <v>72</v>
      </c>
      <c r="O2270" t="s">
        <v>152</v>
      </c>
      <c r="P2270" t="s">
        <v>152</v>
      </c>
      <c r="Q2270" s="3">
        <v>15</v>
      </c>
      <c r="R2270" t="s">
        <v>34</v>
      </c>
      <c r="S2270" t="s">
        <v>88</v>
      </c>
    </row>
    <row r="2271" spans="1:19" x14ac:dyDescent="0.25">
      <c r="A2271">
        <v>2270</v>
      </c>
      <c r="B2271">
        <v>49</v>
      </c>
      <c r="C2271" t="s">
        <v>19</v>
      </c>
      <c r="D2271" t="s">
        <v>87</v>
      </c>
      <c r="E2271" t="s">
        <v>21</v>
      </c>
      <c r="F2271" s="1">
        <v>38</v>
      </c>
      <c r="G2271" t="s">
        <v>22</v>
      </c>
      <c r="H2271" t="s">
        <v>45</v>
      </c>
      <c r="I2271" t="s">
        <v>134</v>
      </c>
      <c r="J2271" t="s">
        <v>58</v>
      </c>
      <c r="K2271" s="2">
        <v>4.4000000000000004</v>
      </c>
      <c r="L2271" t="s">
        <v>152</v>
      </c>
      <c r="M2271" t="s">
        <v>27</v>
      </c>
      <c r="N2271" t="s">
        <v>76</v>
      </c>
      <c r="O2271" t="s">
        <v>152</v>
      </c>
      <c r="P2271" t="s">
        <v>152</v>
      </c>
      <c r="Q2271" s="3">
        <v>27</v>
      </c>
      <c r="R2271" t="s">
        <v>27</v>
      </c>
      <c r="S2271" t="s">
        <v>50</v>
      </c>
    </row>
    <row r="2272" spans="1:19" x14ac:dyDescent="0.25">
      <c r="A2272">
        <v>2271</v>
      </c>
      <c r="B2272">
        <v>27</v>
      </c>
      <c r="C2272" t="s">
        <v>19</v>
      </c>
      <c r="D2272" t="s">
        <v>20</v>
      </c>
      <c r="E2272" t="s">
        <v>21</v>
      </c>
      <c r="F2272" s="1">
        <v>72</v>
      </c>
      <c r="G2272" t="s">
        <v>142</v>
      </c>
      <c r="H2272" t="s">
        <v>23</v>
      </c>
      <c r="I2272" t="s">
        <v>75</v>
      </c>
      <c r="J2272" t="s">
        <v>39</v>
      </c>
      <c r="K2272" s="2">
        <v>3.5</v>
      </c>
      <c r="L2272" t="s">
        <v>152</v>
      </c>
      <c r="M2272" t="s">
        <v>59</v>
      </c>
      <c r="N2272" t="s">
        <v>28</v>
      </c>
      <c r="O2272" t="s">
        <v>152</v>
      </c>
      <c r="P2272" t="s">
        <v>152</v>
      </c>
      <c r="Q2272" s="3">
        <v>7</v>
      </c>
      <c r="R2272" t="s">
        <v>29</v>
      </c>
      <c r="S2272" t="s">
        <v>41</v>
      </c>
    </row>
    <row r="2273" spans="1:19" x14ac:dyDescent="0.25">
      <c r="A2273">
        <v>2272</v>
      </c>
      <c r="B2273">
        <v>29</v>
      </c>
      <c r="C2273" t="s">
        <v>19</v>
      </c>
      <c r="D2273" t="s">
        <v>82</v>
      </c>
      <c r="E2273" t="s">
        <v>21</v>
      </c>
      <c r="F2273" s="1">
        <v>99</v>
      </c>
      <c r="G2273" t="s">
        <v>120</v>
      </c>
      <c r="H2273" t="s">
        <v>45</v>
      </c>
      <c r="I2273" t="s">
        <v>96</v>
      </c>
      <c r="J2273" t="s">
        <v>54</v>
      </c>
      <c r="K2273" s="2">
        <v>3.4</v>
      </c>
      <c r="L2273" t="s">
        <v>152</v>
      </c>
      <c r="M2273" t="s">
        <v>35</v>
      </c>
      <c r="N2273" t="s">
        <v>40</v>
      </c>
      <c r="O2273" t="s">
        <v>152</v>
      </c>
      <c r="P2273" t="s">
        <v>152</v>
      </c>
      <c r="Q2273" s="3">
        <v>49</v>
      </c>
      <c r="R2273" t="s">
        <v>46</v>
      </c>
      <c r="S2273" t="s">
        <v>60</v>
      </c>
    </row>
    <row r="2274" spans="1:19" x14ac:dyDescent="0.25">
      <c r="A2274">
        <v>2273</v>
      </c>
      <c r="B2274">
        <v>29</v>
      </c>
      <c r="C2274" t="s">
        <v>19</v>
      </c>
      <c r="D2274" t="s">
        <v>102</v>
      </c>
      <c r="E2274" t="s">
        <v>65</v>
      </c>
      <c r="F2274" s="1">
        <v>38</v>
      </c>
      <c r="G2274" t="s">
        <v>32</v>
      </c>
      <c r="H2274" t="s">
        <v>23</v>
      </c>
      <c r="I2274" t="s">
        <v>63</v>
      </c>
      <c r="J2274" t="s">
        <v>39</v>
      </c>
      <c r="K2274" s="2">
        <v>4</v>
      </c>
      <c r="L2274" t="s">
        <v>152</v>
      </c>
      <c r="M2274" t="s">
        <v>29</v>
      </c>
      <c r="N2274" t="s">
        <v>55</v>
      </c>
      <c r="O2274" t="s">
        <v>152</v>
      </c>
      <c r="P2274" t="s">
        <v>152</v>
      </c>
      <c r="Q2274" s="3">
        <v>44</v>
      </c>
      <c r="R2274" t="s">
        <v>46</v>
      </c>
      <c r="S2274" t="s">
        <v>88</v>
      </c>
    </row>
    <row r="2275" spans="1:19" x14ac:dyDescent="0.25">
      <c r="A2275">
        <v>2274</v>
      </c>
      <c r="B2275">
        <v>55</v>
      </c>
      <c r="C2275" t="s">
        <v>19</v>
      </c>
      <c r="D2275" t="s">
        <v>64</v>
      </c>
      <c r="E2275" t="s">
        <v>65</v>
      </c>
      <c r="F2275" s="1">
        <v>96</v>
      </c>
      <c r="G2275" t="s">
        <v>130</v>
      </c>
      <c r="H2275" t="s">
        <v>23</v>
      </c>
      <c r="I2275" t="s">
        <v>67</v>
      </c>
      <c r="J2275" t="s">
        <v>25</v>
      </c>
      <c r="K2275" s="2">
        <v>4.8</v>
      </c>
      <c r="L2275" t="s">
        <v>152</v>
      </c>
      <c r="M2275" t="s">
        <v>27</v>
      </c>
      <c r="N2275" t="s">
        <v>28</v>
      </c>
      <c r="O2275" t="s">
        <v>152</v>
      </c>
      <c r="P2275" t="s">
        <v>152</v>
      </c>
      <c r="Q2275" s="3">
        <v>13</v>
      </c>
      <c r="R2275" t="s">
        <v>46</v>
      </c>
      <c r="S2275" t="s">
        <v>77</v>
      </c>
    </row>
    <row r="2276" spans="1:19" x14ac:dyDescent="0.25">
      <c r="A2276">
        <v>2275</v>
      </c>
      <c r="B2276">
        <v>57</v>
      </c>
      <c r="C2276" t="s">
        <v>19</v>
      </c>
      <c r="D2276" t="s">
        <v>82</v>
      </c>
      <c r="E2276" t="s">
        <v>21</v>
      </c>
      <c r="F2276" s="1">
        <v>27</v>
      </c>
      <c r="G2276" t="s">
        <v>85</v>
      </c>
      <c r="H2276" t="s">
        <v>23</v>
      </c>
      <c r="I2276" t="s">
        <v>49</v>
      </c>
      <c r="J2276" t="s">
        <v>39</v>
      </c>
      <c r="K2276" s="2">
        <v>4.5</v>
      </c>
      <c r="L2276" t="s">
        <v>152</v>
      </c>
      <c r="M2276" t="s">
        <v>35</v>
      </c>
      <c r="N2276" t="s">
        <v>47</v>
      </c>
      <c r="O2276" t="s">
        <v>152</v>
      </c>
      <c r="P2276" t="s">
        <v>152</v>
      </c>
      <c r="Q2276" s="3">
        <v>38</v>
      </c>
      <c r="R2276" t="s">
        <v>46</v>
      </c>
      <c r="S2276" t="s">
        <v>30</v>
      </c>
    </row>
    <row r="2277" spans="1:19" x14ac:dyDescent="0.25">
      <c r="A2277">
        <v>2276</v>
      </c>
      <c r="B2277">
        <v>29</v>
      </c>
      <c r="C2277" t="s">
        <v>19</v>
      </c>
      <c r="D2277" t="s">
        <v>61</v>
      </c>
      <c r="E2277" t="s">
        <v>21</v>
      </c>
      <c r="F2277" s="1">
        <v>24</v>
      </c>
      <c r="G2277" t="s">
        <v>101</v>
      </c>
      <c r="H2277" t="s">
        <v>45</v>
      </c>
      <c r="I2277" t="s">
        <v>24</v>
      </c>
      <c r="J2277" t="s">
        <v>25</v>
      </c>
      <c r="K2277" s="2">
        <v>4.4000000000000004</v>
      </c>
      <c r="L2277" t="s">
        <v>152</v>
      </c>
      <c r="M2277" t="s">
        <v>46</v>
      </c>
      <c r="N2277" t="s">
        <v>55</v>
      </c>
      <c r="O2277" t="s">
        <v>152</v>
      </c>
      <c r="P2277" t="s">
        <v>152</v>
      </c>
      <c r="Q2277" s="3">
        <v>10</v>
      </c>
      <c r="R2277" t="s">
        <v>59</v>
      </c>
      <c r="S2277" t="s">
        <v>41</v>
      </c>
    </row>
    <row r="2278" spans="1:19" x14ac:dyDescent="0.25">
      <c r="A2278">
        <v>2277</v>
      </c>
      <c r="B2278">
        <v>31</v>
      </c>
      <c r="C2278" t="s">
        <v>19</v>
      </c>
      <c r="D2278" t="s">
        <v>36</v>
      </c>
      <c r="E2278" t="s">
        <v>21</v>
      </c>
      <c r="F2278" s="1">
        <v>82</v>
      </c>
      <c r="G2278" t="s">
        <v>52</v>
      </c>
      <c r="H2278" t="s">
        <v>23</v>
      </c>
      <c r="I2278" t="s">
        <v>108</v>
      </c>
      <c r="J2278" t="s">
        <v>54</v>
      </c>
      <c r="K2278" s="2">
        <v>4.0999999999999996</v>
      </c>
      <c r="L2278" t="s">
        <v>152</v>
      </c>
      <c r="M2278" t="s">
        <v>34</v>
      </c>
      <c r="N2278" t="s">
        <v>72</v>
      </c>
      <c r="O2278" t="s">
        <v>152</v>
      </c>
      <c r="P2278" t="s">
        <v>152</v>
      </c>
      <c r="Q2278" s="3">
        <v>25</v>
      </c>
      <c r="R2278" t="s">
        <v>59</v>
      </c>
      <c r="S2278" t="s">
        <v>41</v>
      </c>
    </row>
    <row r="2279" spans="1:19" x14ac:dyDescent="0.25">
      <c r="A2279">
        <v>2278</v>
      </c>
      <c r="B2279">
        <v>25</v>
      </c>
      <c r="C2279" t="s">
        <v>19</v>
      </c>
      <c r="D2279" t="s">
        <v>124</v>
      </c>
      <c r="E2279" t="s">
        <v>69</v>
      </c>
      <c r="F2279" s="1">
        <v>56</v>
      </c>
      <c r="G2279" t="s">
        <v>90</v>
      </c>
      <c r="H2279" t="s">
        <v>45</v>
      </c>
      <c r="I2279" t="s">
        <v>118</v>
      </c>
      <c r="J2279" t="s">
        <v>54</v>
      </c>
      <c r="K2279" s="2">
        <v>4.5999999999999996</v>
      </c>
      <c r="L2279" t="s">
        <v>152</v>
      </c>
      <c r="M2279" t="s">
        <v>34</v>
      </c>
      <c r="N2279" t="s">
        <v>47</v>
      </c>
      <c r="O2279" t="s">
        <v>152</v>
      </c>
      <c r="P2279" t="s">
        <v>152</v>
      </c>
      <c r="Q2279" s="3">
        <v>18</v>
      </c>
      <c r="R2279" t="s">
        <v>27</v>
      </c>
      <c r="S2279" t="s">
        <v>60</v>
      </c>
    </row>
    <row r="2280" spans="1:19" x14ac:dyDescent="0.25">
      <c r="A2280">
        <v>2279</v>
      </c>
      <c r="B2280">
        <v>61</v>
      </c>
      <c r="C2280" t="s">
        <v>19</v>
      </c>
      <c r="D2280" t="s">
        <v>143</v>
      </c>
      <c r="E2280" t="s">
        <v>69</v>
      </c>
      <c r="F2280" s="1">
        <v>25</v>
      </c>
      <c r="G2280" t="s">
        <v>128</v>
      </c>
      <c r="H2280" t="s">
        <v>45</v>
      </c>
      <c r="I2280" t="s">
        <v>33</v>
      </c>
      <c r="J2280" t="s">
        <v>58</v>
      </c>
      <c r="K2280" s="2">
        <v>3.8</v>
      </c>
      <c r="L2280" t="s">
        <v>152</v>
      </c>
      <c r="M2280" t="s">
        <v>35</v>
      </c>
      <c r="N2280" t="s">
        <v>76</v>
      </c>
      <c r="O2280" t="s">
        <v>152</v>
      </c>
      <c r="P2280" t="s">
        <v>152</v>
      </c>
      <c r="Q2280" s="3">
        <v>6</v>
      </c>
      <c r="R2280" t="s">
        <v>35</v>
      </c>
      <c r="S2280" t="s">
        <v>97</v>
      </c>
    </row>
    <row r="2281" spans="1:19" x14ac:dyDescent="0.25">
      <c r="A2281">
        <v>2280</v>
      </c>
      <c r="B2281">
        <v>53</v>
      </c>
      <c r="C2281" t="s">
        <v>19</v>
      </c>
      <c r="D2281" t="s">
        <v>51</v>
      </c>
      <c r="E2281" t="s">
        <v>43</v>
      </c>
      <c r="F2281" s="1">
        <v>67</v>
      </c>
      <c r="G2281" t="s">
        <v>66</v>
      </c>
      <c r="H2281" t="s">
        <v>23</v>
      </c>
      <c r="I2281" t="s">
        <v>126</v>
      </c>
      <c r="J2281" t="s">
        <v>39</v>
      </c>
      <c r="K2281" s="2">
        <v>2.9</v>
      </c>
      <c r="L2281" t="s">
        <v>152</v>
      </c>
      <c r="M2281" t="s">
        <v>34</v>
      </c>
      <c r="N2281" t="s">
        <v>40</v>
      </c>
      <c r="O2281" t="s">
        <v>152</v>
      </c>
      <c r="P2281" t="s">
        <v>152</v>
      </c>
      <c r="Q2281" s="3">
        <v>35</v>
      </c>
      <c r="R2281" t="s">
        <v>34</v>
      </c>
      <c r="S2281" t="s">
        <v>60</v>
      </c>
    </row>
    <row r="2282" spans="1:19" x14ac:dyDescent="0.25">
      <c r="A2282">
        <v>2281</v>
      </c>
      <c r="B2282">
        <v>22</v>
      </c>
      <c r="C2282" t="s">
        <v>19</v>
      </c>
      <c r="D2282" t="s">
        <v>73</v>
      </c>
      <c r="E2282" t="s">
        <v>43</v>
      </c>
      <c r="F2282" s="1">
        <v>21</v>
      </c>
      <c r="G2282" t="s">
        <v>22</v>
      </c>
      <c r="H2282" t="s">
        <v>45</v>
      </c>
      <c r="I2282" t="s">
        <v>108</v>
      </c>
      <c r="J2282" t="s">
        <v>54</v>
      </c>
      <c r="K2282" s="2">
        <v>2.8</v>
      </c>
      <c r="L2282" t="s">
        <v>152</v>
      </c>
      <c r="M2282" t="s">
        <v>34</v>
      </c>
      <c r="N2282" t="s">
        <v>55</v>
      </c>
      <c r="O2282" t="s">
        <v>152</v>
      </c>
      <c r="P2282" t="s">
        <v>152</v>
      </c>
      <c r="Q2282" s="3">
        <v>31</v>
      </c>
      <c r="R2282" t="s">
        <v>27</v>
      </c>
      <c r="S2282" t="s">
        <v>30</v>
      </c>
    </row>
    <row r="2283" spans="1:19" x14ac:dyDescent="0.25">
      <c r="A2283">
        <v>2282</v>
      </c>
      <c r="B2283">
        <v>28</v>
      </c>
      <c r="C2283" t="s">
        <v>19</v>
      </c>
      <c r="D2283" t="s">
        <v>104</v>
      </c>
      <c r="E2283" t="s">
        <v>21</v>
      </c>
      <c r="F2283" s="1">
        <v>27</v>
      </c>
      <c r="G2283" t="s">
        <v>111</v>
      </c>
      <c r="H2283" t="s">
        <v>92</v>
      </c>
      <c r="I2283" t="s">
        <v>33</v>
      </c>
      <c r="J2283" t="s">
        <v>54</v>
      </c>
      <c r="K2283" s="2">
        <v>3</v>
      </c>
      <c r="L2283" t="s">
        <v>152</v>
      </c>
      <c r="M2283" t="s">
        <v>34</v>
      </c>
      <c r="N2283" t="s">
        <v>76</v>
      </c>
      <c r="O2283" t="s">
        <v>152</v>
      </c>
      <c r="P2283" t="s">
        <v>152</v>
      </c>
      <c r="Q2283" s="3">
        <v>41</v>
      </c>
      <c r="R2283" t="s">
        <v>34</v>
      </c>
      <c r="S2283" t="s">
        <v>50</v>
      </c>
    </row>
    <row r="2284" spans="1:19" x14ac:dyDescent="0.25">
      <c r="A2284">
        <v>2283</v>
      </c>
      <c r="B2284">
        <v>18</v>
      </c>
      <c r="C2284" t="s">
        <v>19</v>
      </c>
      <c r="D2284" t="s">
        <v>51</v>
      </c>
      <c r="E2284" t="s">
        <v>43</v>
      </c>
      <c r="F2284" s="1">
        <v>97</v>
      </c>
      <c r="G2284" t="s">
        <v>135</v>
      </c>
      <c r="H2284" t="s">
        <v>38</v>
      </c>
      <c r="I2284" t="s">
        <v>108</v>
      </c>
      <c r="J2284" t="s">
        <v>58</v>
      </c>
      <c r="K2284" s="2">
        <v>4.2</v>
      </c>
      <c r="L2284" t="s">
        <v>152</v>
      </c>
      <c r="M2284" t="s">
        <v>59</v>
      </c>
      <c r="N2284" t="s">
        <v>72</v>
      </c>
      <c r="O2284" t="s">
        <v>152</v>
      </c>
      <c r="P2284" t="s">
        <v>152</v>
      </c>
      <c r="Q2284" s="3">
        <v>8</v>
      </c>
      <c r="R2284" t="s">
        <v>27</v>
      </c>
      <c r="S2284" t="s">
        <v>50</v>
      </c>
    </row>
    <row r="2285" spans="1:19" x14ac:dyDescent="0.25">
      <c r="A2285">
        <v>2284</v>
      </c>
      <c r="B2285">
        <v>44</v>
      </c>
      <c r="C2285" t="s">
        <v>19</v>
      </c>
      <c r="D2285" t="s">
        <v>68</v>
      </c>
      <c r="E2285" t="s">
        <v>69</v>
      </c>
      <c r="F2285" s="1">
        <v>45</v>
      </c>
      <c r="G2285" t="s">
        <v>123</v>
      </c>
      <c r="H2285" t="s">
        <v>38</v>
      </c>
      <c r="I2285" t="s">
        <v>94</v>
      </c>
      <c r="J2285" t="s">
        <v>25</v>
      </c>
      <c r="K2285" s="2">
        <v>4.0999999999999996</v>
      </c>
      <c r="L2285" t="s">
        <v>152</v>
      </c>
      <c r="M2285" t="s">
        <v>35</v>
      </c>
      <c r="N2285" t="s">
        <v>40</v>
      </c>
      <c r="O2285" t="s">
        <v>152</v>
      </c>
      <c r="P2285" t="s">
        <v>152</v>
      </c>
      <c r="Q2285" s="3">
        <v>34</v>
      </c>
      <c r="R2285" t="s">
        <v>27</v>
      </c>
      <c r="S2285" t="s">
        <v>30</v>
      </c>
    </row>
    <row r="2286" spans="1:19" x14ac:dyDescent="0.25">
      <c r="A2286">
        <v>2285</v>
      </c>
      <c r="B2286">
        <v>32</v>
      </c>
      <c r="C2286" t="s">
        <v>19</v>
      </c>
      <c r="D2286" t="s">
        <v>20</v>
      </c>
      <c r="E2286" t="s">
        <v>21</v>
      </c>
      <c r="F2286" s="1">
        <v>63</v>
      </c>
      <c r="G2286" t="s">
        <v>146</v>
      </c>
      <c r="H2286" t="s">
        <v>92</v>
      </c>
      <c r="I2286" t="s">
        <v>94</v>
      </c>
      <c r="J2286" t="s">
        <v>58</v>
      </c>
      <c r="K2286" s="2">
        <v>4.0999999999999996</v>
      </c>
      <c r="L2286" t="s">
        <v>152</v>
      </c>
      <c r="M2286" t="s">
        <v>35</v>
      </c>
      <c r="N2286" t="s">
        <v>28</v>
      </c>
      <c r="O2286" t="s">
        <v>152</v>
      </c>
      <c r="P2286" t="s">
        <v>152</v>
      </c>
      <c r="Q2286" s="3">
        <v>20</v>
      </c>
      <c r="R2286" t="s">
        <v>29</v>
      </c>
      <c r="S2286" t="s">
        <v>50</v>
      </c>
    </row>
    <row r="2287" spans="1:19" x14ac:dyDescent="0.25">
      <c r="A2287">
        <v>2286</v>
      </c>
      <c r="B2287">
        <v>34</v>
      </c>
      <c r="C2287" t="s">
        <v>19</v>
      </c>
      <c r="D2287" t="s">
        <v>133</v>
      </c>
      <c r="E2287" t="s">
        <v>69</v>
      </c>
      <c r="F2287" s="1">
        <v>100</v>
      </c>
      <c r="G2287" t="s">
        <v>151</v>
      </c>
      <c r="H2287" t="s">
        <v>23</v>
      </c>
      <c r="I2287" t="s">
        <v>71</v>
      </c>
      <c r="J2287" t="s">
        <v>54</v>
      </c>
      <c r="K2287" s="2">
        <v>4.5999999999999996</v>
      </c>
      <c r="L2287" t="s">
        <v>152</v>
      </c>
      <c r="M2287" t="s">
        <v>35</v>
      </c>
      <c r="N2287" t="s">
        <v>72</v>
      </c>
      <c r="O2287" t="s">
        <v>152</v>
      </c>
      <c r="P2287" t="s">
        <v>152</v>
      </c>
      <c r="Q2287" s="3">
        <v>38</v>
      </c>
      <c r="R2287" t="s">
        <v>46</v>
      </c>
      <c r="S2287" t="s">
        <v>97</v>
      </c>
    </row>
    <row r="2288" spans="1:19" x14ac:dyDescent="0.25">
      <c r="A2288">
        <v>2287</v>
      </c>
      <c r="B2288">
        <v>67</v>
      </c>
      <c r="C2288" t="s">
        <v>19</v>
      </c>
      <c r="D2288" t="s">
        <v>125</v>
      </c>
      <c r="E2288" t="s">
        <v>21</v>
      </c>
      <c r="F2288" s="1">
        <v>38</v>
      </c>
      <c r="G2288" t="s">
        <v>147</v>
      </c>
      <c r="H2288" t="s">
        <v>23</v>
      </c>
      <c r="I2288" t="s">
        <v>144</v>
      </c>
      <c r="J2288" t="s">
        <v>39</v>
      </c>
      <c r="K2288" s="2">
        <v>2.5</v>
      </c>
      <c r="L2288" t="s">
        <v>152</v>
      </c>
      <c r="M2288" t="s">
        <v>46</v>
      </c>
      <c r="N2288" t="s">
        <v>76</v>
      </c>
      <c r="O2288" t="s">
        <v>152</v>
      </c>
      <c r="P2288" t="s">
        <v>152</v>
      </c>
      <c r="Q2288" s="3">
        <v>35</v>
      </c>
      <c r="R2288" t="s">
        <v>29</v>
      </c>
      <c r="S2288" t="s">
        <v>60</v>
      </c>
    </row>
    <row r="2289" spans="1:19" x14ac:dyDescent="0.25">
      <c r="A2289">
        <v>2288</v>
      </c>
      <c r="B2289">
        <v>66</v>
      </c>
      <c r="C2289" t="s">
        <v>19</v>
      </c>
      <c r="D2289" t="s">
        <v>20</v>
      </c>
      <c r="E2289" t="s">
        <v>21</v>
      </c>
      <c r="F2289" s="1">
        <v>45</v>
      </c>
      <c r="G2289" t="s">
        <v>145</v>
      </c>
      <c r="H2289" t="s">
        <v>23</v>
      </c>
      <c r="I2289" t="s">
        <v>96</v>
      </c>
      <c r="J2289" t="s">
        <v>54</v>
      </c>
      <c r="K2289" s="2">
        <v>3</v>
      </c>
      <c r="L2289" t="s">
        <v>152</v>
      </c>
      <c r="M2289" t="s">
        <v>46</v>
      </c>
      <c r="N2289" t="s">
        <v>76</v>
      </c>
      <c r="O2289" t="s">
        <v>152</v>
      </c>
      <c r="P2289" t="s">
        <v>152</v>
      </c>
      <c r="Q2289" s="3">
        <v>6</v>
      </c>
      <c r="R2289" t="s">
        <v>59</v>
      </c>
      <c r="S2289" t="s">
        <v>50</v>
      </c>
    </row>
    <row r="2290" spans="1:19" x14ac:dyDescent="0.25">
      <c r="A2290">
        <v>2289</v>
      </c>
      <c r="B2290">
        <v>28</v>
      </c>
      <c r="C2290" t="s">
        <v>19</v>
      </c>
      <c r="D2290" t="s">
        <v>106</v>
      </c>
      <c r="E2290" t="s">
        <v>69</v>
      </c>
      <c r="F2290" s="1">
        <v>91</v>
      </c>
      <c r="G2290" t="s">
        <v>99</v>
      </c>
      <c r="H2290" t="s">
        <v>45</v>
      </c>
      <c r="I2290" t="s">
        <v>121</v>
      </c>
      <c r="J2290" t="s">
        <v>58</v>
      </c>
      <c r="K2290" s="2">
        <v>3.8</v>
      </c>
      <c r="L2290" t="s">
        <v>152</v>
      </c>
      <c r="M2290" t="s">
        <v>27</v>
      </c>
      <c r="N2290" t="s">
        <v>47</v>
      </c>
      <c r="O2290" t="s">
        <v>152</v>
      </c>
      <c r="P2290" t="s">
        <v>152</v>
      </c>
      <c r="Q2290" s="3">
        <v>50</v>
      </c>
      <c r="R2290" t="s">
        <v>46</v>
      </c>
      <c r="S2290" t="s">
        <v>41</v>
      </c>
    </row>
    <row r="2291" spans="1:19" x14ac:dyDescent="0.25">
      <c r="A2291">
        <v>2290</v>
      </c>
      <c r="B2291">
        <v>70</v>
      </c>
      <c r="C2291" t="s">
        <v>19</v>
      </c>
      <c r="D2291" t="s">
        <v>61</v>
      </c>
      <c r="E2291" t="s">
        <v>21</v>
      </c>
      <c r="F2291" s="1">
        <v>82</v>
      </c>
      <c r="G2291" t="s">
        <v>107</v>
      </c>
      <c r="H2291" t="s">
        <v>45</v>
      </c>
      <c r="I2291" t="s">
        <v>121</v>
      </c>
      <c r="J2291" t="s">
        <v>58</v>
      </c>
      <c r="K2291" s="2">
        <v>4.0999999999999996</v>
      </c>
      <c r="L2291" t="s">
        <v>152</v>
      </c>
      <c r="M2291" t="s">
        <v>46</v>
      </c>
      <c r="N2291" t="s">
        <v>40</v>
      </c>
      <c r="O2291" t="s">
        <v>152</v>
      </c>
      <c r="P2291" t="s">
        <v>152</v>
      </c>
      <c r="Q2291" s="3">
        <v>47</v>
      </c>
      <c r="R2291" t="s">
        <v>29</v>
      </c>
      <c r="S2291" t="s">
        <v>41</v>
      </c>
    </row>
    <row r="2292" spans="1:19" x14ac:dyDescent="0.25">
      <c r="A2292">
        <v>2291</v>
      </c>
      <c r="B2292">
        <v>37</v>
      </c>
      <c r="C2292" t="s">
        <v>19</v>
      </c>
      <c r="D2292" t="s">
        <v>137</v>
      </c>
      <c r="E2292" t="s">
        <v>43</v>
      </c>
      <c r="F2292" s="1">
        <v>48</v>
      </c>
      <c r="G2292" t="s">
        <v>111</v>
      </c>
      <c r="H2292" t="s">
        <v>23</v>
      </c>
      <c r="I2292" t="s">
        <v>136</v>
      </c>
      <c r="J2292" t="s">
        <v>25</v>
      </c>
      <c r="K2292" s="2">
        <v>3.3</v>
      </c>
      <c r="L2292" t="s">
        <v>152</v>
      </c>
      <c r="M2292" t="s">
        <v>29</v>
      </c>
      <c r="N2292" t="s">
        <v>55</v>
      </c>
      <c r="O2292" t="s">
        <v>152</v>
      </c>
      <c r="P2292" t="s">
        <v>152</v>
      </c>
      <c r="Q2292" s="3">
        <v>23</v>
      </c>
      <c r="R2292" t="s">
        <v>46</v>
      </c>
      <c r="S2292" t="s">
        <v>60</v>
      </c>
    </row>
    <row r="2293" spans="1:19" x14ac:dyDescent="0.25">
      <c r="A2293">
        <v>2292</v>
      </c>
      <c r="B2293">
        <v>28</v>
      </c>
      <c r="C2293" t="s">
        <v>19</v>
      </c>
      <c r="D2293" t="s">
        <v>64</v>
      </c>
      <c r="E2293" t="s">
        <v>65</v>
      </c>
      <c r="F2293" s="1">
        <v>30</v>
      </c>
      <c r="G2293" t="s">
        <v>123</v>
      </c>
      <c r="H2293" t="s">
        <v>45</v>
      </c>
      <c r="I2293" t="s">
        <v>126</v>
      </c>
      <c r="J2293" t="s">
        <v>39</v>
      </c>
      <c r="K2293" s="2">
        <v>5</v>
      </c>
      <c r="L2293" t="s">
        <v>152</v>
      </c>
      <c r="M2293" t="s">
        <v>46</v>
      </c>
      <c r="N2293" t="s">
        <v>72</v>
      </c>
      <c r="O2293" t="s">
        <v>152</v>
      </c>
      <c r="P2293" t="s">
        <v>152</v>
      </c>
      <c r="Q2293" s="3">
        <v>13</v>
      </c>
      <c r="R2293" t="s">
        <v>27</v>
      </c>
      <c r="S2293" t="s">
        <v>60</v>
      </c>
    </row>
    <row r="2294" spans="1:19" x14ac:dyDescent="0.25">
      <c r="A2294">
        <v>2293</v>
      </c>
      <c r="B2294">
        <v>43</v>
      </c>
      <c r="C2294" t="s">
        <v>19</v>
      </c>
      <c r="D2294" t="s">
        <v>113</v>
      </c>
      <c r="E2294" t="s">
        <v>21</v>
      </c>
      <c r="F2294" s="1">
        <v>34</v>
      </c>
      <c r="G2294" t="s">
        <v>129</v>
      </c>
      <c r="H2294" t="s">
        <v>38</v>
      </c>
      <c r="I2294" t="s">
        <v>118</v>
      </c>
      <c r="J2294" t="s">
        <v>39</v>
      </c>
      <c r="K2294" s="2">
        <v>3.8</v>
      </c>
      <c r="L2294" t="s">
        <v>152</v>
      </c>
      <c r="M2294" t="s">
        <v>59</v>
      </c>
      <c r="N2294" t="s">
        <v>47</v>
      </c>
      <c r="O2294" t="s">
        <v>152</v>
      </c>
      <c r="P2294" t="s">
        <v>152</v>
      </c>
      <c r="Q2294" s="3">
        <v>31</v>
      </c>
      <c r="R2294" t="s">
        <v>59</v>
      </c>
      <c r="S2294" t="s">
        <v>88</v>
      </c>
    </row>
    <row r="2295" spans="1:19" x14ac:dyDescent="0.25">
      <c r="A2295">
        <v>2294</v>
      </c>
      <c r="B2295">
        <v>37</v>
      </c>
      <c r="C2295" t="s">
        <v>19</v>
      </c>
      <c r="D2295" t="s">
        <v>31</v>
      </c>
      <c r="E2295" t="s">
        <v>21</v>
      </c>
      <c r="F2295" s="1">
        <v>68</v>
      </c>
      <c r="G2295" t="s">
        <v>142</v>
      </c>
      <c r="H2295" t="s">
        <v>23</v>
      </c>
      <c r="I2295" t="s">
        <v>96</v>
      </c>
      <c r="J2295" t="s">
        <v>58</v>
      </c>
      <c r="K2295" s="2">
        <v>3.3</v>
      </c>
      <c r="L2295" t="s">
        <v>152</v>
      </c>
      <c r="M2295" t="s">
        <v>46</v>
      </c>
      <c r="N2295" t="s">
        <v>28</v>
      </c>
      <c r="O2295" t="s">
        <v>152</v>
      </c>
      <c r="P2295" t="s">
        <v>152</v>
      </c>
      <c r="Q2295" s="3">
        <v>16</v>
      </c>
      <c r="R2295" t="s">
        <v>59</v>
      </c>
      <c r="S2295" t="s">
        <v>97</v>
      </c>
    </row>
    <row r="2296" spans="1:19" x14ac:dyDescent="0.25">
      <c r="A2296">
        <v>2295</v>
      </c>
      <c r="B2296">
        <v>54</v>
      </c>
      <c r="C2296" t="s">
        <v>19</v>
      </c>
      <c r="D2296" t="s">
        <v>89</v>
      </c>
      <c r="E2296" t="s">
        <v>69</v>
      </c>
      <c r="F2296" s="1">
        <v>95</v>
      </c>
      <c r="G2296" t="s">
        <v>128</v>
      </c>
      <c r="H2296" t="s">
        <v>45</v>
      </c>
      <c r="I2296" t="s">
        <v>108</v>
      </c>
      <c r="J2296" t="s">
        <v>25</v>
      </c>
      <c r="K2296" s="2">
        <v>5</v>
      </c>
      <c r="L2296" t="s">
        <v>152</v>
      </c>
      <c r="M2296" t="s">
        <v>29</v>
      </c>
      <c r="N2296" t="s">
        <v>28</v>
      </c>
      <c r="O2296" t="s">
        <v>152</v>
      </c>
      <c r="P2296" t="s">
        <v>152</v>
      </c>
      <c r="Q2296" s="3">
        <v>40</v>
      </c>
      <c r="R2296" t="s">
        <v>59</v>
      </c>
      <c r="S2296" t="s">
        <v>50</v>
      </c>
    </row>
    <row r="2297" spans="1:19" x14ac:dyDescent="0.25">
      <c r="A2297">
        <v>2296</v>
      </c>
      <c r="B2297">
        <v>50</v>
      </c>
      <c r="C2297" t="s">
        <v>19</v>
      </c>
      <c r="D2297" t="s">
        <v>124</v>
      </c>
      <c r="E2297" t="s">
        <v>69</v>
      </c>
      <c r="F2297" s="1">
        <v>22</v>
      </c>
      <c r="G2297" t="s">
        <v>139</v>
      </c>
      <c r="H2297" t="s">
        <v>23</v>
      </c>
      <c r="I2297" t="s">
        <v>118</v>
      </c>
      <c r="J2297" t="s">
        <v>39</v>
      </c>
      <c r="K2297" s="2">
        <v>2.9</v>
      </c>
      <c r="L2297" t="s">
        <v>152</v>
      </c>
      <c r="M2297" t="s">
        <v>27</v>
      </c>
      <c r="N2297" t="s">
        <v>72</v>
      </c>
      <c r="O2297" t="s">
        <v>152</v>
      </c>
      <c r="P2297" t="s">
        <v>152</v>
      </c>
      <c r="Q2297" s="3">
        <v>45</v>
      </c>
      <c r="R2297" t="s">
        <v>46</v>
      </c>
      <c r="S2297" t="s">
        <v>60</v>
      </c>
    </row>
    <row r="2298" spans="1:19" x14ac:dyDescent="0.25">
      <c r="A2298">
        <v>2297</v>
      </c>
      <c r="B2298">
        <v>46</v>
      </c>
      <c r="C2298" t="s">
        <v>19</v>
      </c>
      <c r="D2298" t="s">
        <v>143</v>
      </c>
      <c r="E2298" t="s">
        <v>69</v>
      </c>
      <c r="F2298" s="1">
        <v>88</v>
      </c>
      <c r="G2298" t="s">
        <v>149</v>
      </c>
      <c r="H2298" t="s">
        <v>45</v>
      </c>
      <c r="I2298" t="s">
        <v>96</v>
      </c>
      <c r="J2298" t="s">
        <v>58</v>
      </c>
      <c r="K2298" s="2">
        <v>2.5</v>
      </c>
      <c r="L2298" t="s">
        <v>152</v>
      </c>
      <c r="M2298" t="s">
        <v>46</v>
      </c>
      <c r="N2298" t="s">
        <v>47</v>
      </c>
      <c r="O2298" t="s">
        <v>152</v>
      </c>
      <c r="P2298" t="s">
        <v>152</v>
      </c>
      <c r="Q2298" s="3">
        <v>50</v>
      </c>
      <c r="R2298" t="s">
        <v>29</v>
      </c>
      <c r="S2298" t="s">
        <v>97</v>
      </c>
    </row>
    <row r="2299" spans="1:19" x14ac:dyDescent="0.25">
      <c r="A2299">
        <v>2298</v>
      </c>
      <c r="B2299">
        <v>60</v>
      </c>
      <c r="C2299" t="s">
        <v>19</v>
      </c>
      <c r="D2299" t="s">
        <v>125</v>
      </c>
      <c r="E2299" t="s">
        <v>21</v>
      </c>
      <c r="F2299" s="1">
        <v>83</v>
      </c>
      <c r="G2299" t="s">
        <v>99</v>
      </c>
      <c r="H2299" t="s">
        <v>45</v>
      </c>
      <c r="I2299" t="s">
        <v>121</v>
      </c>
      <c r="J2299" t="s">
        <v>54</v>
      </c>
      <c r="K2299" s="2">
        <v>4.7</v>
      </c>
      <c r="L2299" t="s">
        <v>152</v>
      </c>
      <c r="M2299" t="s">
        <v>46</v>
      </c>
      <c r="N2299" t="s">
        <v>55</v>
      </c>
      <c r="O2299" t="s">
        <v>152</v>
      </c>
      <c r="P2299" t="s">
        <v>152</v>
      </c>
      <c r="Q2299" s="3">
        <v>1</v>
      </c>
      <c r="R2299" t="s">
        <v>34</v>
      </c>
      <c r="S2299" t="s">
        <v>60</v>
      </c>
    </row>
    <row r="2300" spans="1:19" x14ac:dyDescent="0.25">
      <c r="A2300">
        <v>2299</v>
      </c>
      <c r="B2300">
        <v>40</v>
      </c>
      <c r="C2300" t="s">
        <v>19</v>
      </c>
      <c r="D2300" t="s">
        <v>68</v>
      </c>
      <c r="E2300" t="s">
        <v>69</v>
      </c>
      <c r="F2300" s="1">
        <v>87</v>
      </c>
      <c r="G2300" t="s">
        <v>57</v>
      </c>
      <c r="H2300" t="s">
        <v>23</v>
      </c>
      <c r="I2300" t="s">
        <v>109</v>
      </c>
      <c r="J2300" t="s">
        <v>39</v>
      </c>
      <c r="K2300" s="2">
        <v>2.9</v>
      </c>
      <c r="L2300" t="s">
        <v>152</v>
      </c>
      <c r="M2300" t="s">
        <v>46</v>
      </c>
      <c r="N2300" t="s">
        <v>72</v>
      </c>
      <c r="O2300" t="s">
        <v>152</v>
      </c>
      <c r="P2300" t="s">
        <v>152</v>
      </c>
      <c r="Q2300" s="3">
        <v>10</v>
      </c>
      <c r="R2300" t="s">
        <v>35</v>
      </c>
      <c r="S2300" t="s">
        <v>97</v>
      </c>
    </row>
    <row r="2301" spans="1:19" x14ac:dyDescent="0.25">
      <c r="A2301">
        <v>2300</v>
      </c>
      <c r="B2301">
        <v>64</v>
      </c>
      <c r="C2301" t="s">
        <v>19</v>
      </c>
      <c r="D2301" t="s">
        <v>64</v>
      </c>
      <c r="E2301" t="s">
        <v>65</v>
      </c>
      <c r="F2301" s="1">
        <v>57</v>
      </c>
      <c r="G2301" t="s">
        <v>135</v>
      </c>
      <c r="H2301" t="s">
        <v>45</v>
      </c>
      <c r="I2301" t="s">
        <v>84</v>
      </c>
      <c r="J2301" t="s">
        <v>54</v>
      </c>
      <c r="K2301" s="2">
        <v>3.7</v>
      </c>
      <c r="L2301" t="s">
        <v>152</v>
      </c>
      <c r="M2301" t="s">
        <v>59</v>
      </c>
      <c r="N2301" t="s">
        <v>76</v>
      </c>
      <c r="O2301" t="s">
        <v>152</v>
      </c>
      <c r="P2301" t="s">
        <v>152</v>
      </c>
      <c r="Q2301" s="3">
        <v>48</v>
      </c>
      <c r="R2301" t="s">
        <v>27</v>
      </c>
      <c r="S2301" t="s">
        <v>97</v>
      </c>
    </row>
    <row r="2302" spans="1:19" x14ac:dyDescent="0.25">
      <c r="A2302">
        <v>2301</v>
      </c>
      <c r="B2302">
        <v>18</v>
      </c>
      <c r="C2302" t="s">
        <v>19</v>
      </c>
      <c r="D2302" t="s">
        <v>64</v>
      </c>
      <c r="E2302" t="s">
        <v>65</v>
      </c>
      <c r="F2302" s="1">
        <v>88</v>
      </c>
      <c r="G2302" t="s">
        <v>138</v>
      </c>
      <c r="H2302" t="s">
        <v>92</v>
      </c>
      <c r="I2302" t="s">
        <v>93</v>
      </c>
      <c r="J2302" t="s">
        <v>54</v>
      </c>
      <c r="K2302" s="2">
        <v>4.4000000000000004</v>
      </c>
      <c r="L2302" t="s">
        <v>152</v>
      </c>
      <c r="M2302" t="s">
        <v>29</v>
      </c>
      <c r="N2302" t="s">
        <v>72</v>
      </c>
      <c r="O2302" t="s">
        <v>152</v>
      </c>
      <c r="P2302" t="s">
        <v>152</v>
      </c>
      <c r="Q2302" s="3">
        <v>38</v>
      </c>
      <c r="R2302" t="s">
        <v>27</v>
      </c>
      <c r="S2302" t="s">
        <v>88</v>
      </c>
    </row>
    <row r="2303" spans="1:19" x14ac:dyDescent="0.25">
      <c r="A2303">
        <v>2302</v>
      </c>
      <c r="B2303">
        <v>37</v>
      </c>
      <c r="C2303" t="s">
        <v>19</v>
      </c>
      <c r="D2303" t="s">
        <v>95</v>
      </c>
      <c r="E2303" t="s">
        <v>21</v>
      </c>
      <c r="F2303" s="1">
        <v>20</v>
      </c>
      <c r="G2303" t="s">
        <v>32</v>
      </c>
      <c r="H2303" t="s">
        <v>23</v>
      </c>
      <c r="I2303" t="s">
        <v>49</v>
      </c>
      <c r="J2303" t="s">
        <v>25</v>
      </c>
      <c r="K2303" s="2">
        <v>2.9</v>
      </c>
      <c r="L2303" t="s">
        <v>152</v>
      </c>
      <c r="M2303" t="s">
        <v>59</v>
      </c>
      <c r="N2303" t="s">
        <v>47</v>
      </c>
      <c r="O2303" t="s">
        <v>152</v>
      </c>
      <c r="P2303" t="s">
        <v>152</v>
      </c>
      <c r="Q2303" s="3">
        <v>21</v>
      </c>
      <c r="R2303" t="s">
        <v>59</v>
      </c>
      <c r="S2303" t="s">
        <v>50</v>
      </c>
    </row>
    <row r="2304" spans="1:19" x14ac:dyDescent="0.25">
      <c r="A2304">
        <v>2303</v>
      </c>
      <c r="B2304">
        <v>36</v>
      </c>
      <c r="C2304" t="s">
        <v>19</v>
      </c>
      <c r="D2304" t="s">
        <v>133</v>
      </c>
      <c r="E2304" t="s">
        <v>69</v>
      </c>
      <c r="F2304" s="1">
        <v>39</v>
      </c>
      <c r="G2304" t="s">
        <v>57</v>
      </c>
      <c r="H2304" t="s">
        <v>23</v>
      </c>
      <c r="I2304" t="s">
        <v>71</v>
      </c>
      <c r="J2304" t="s">
        <v>54</v>
      </c>
      <c r="K2304" s="2">
        <v>3.6</v>
      </c>
      <c r="L2304" t="s">
        <v>152</v>
      </c>
      <c r="M2304" t="s">
        <v>35</v>
      </c>
      <c r="N2304" t="s">
        <v>76</v>
      </c>
      <c r="O2304" t="s">
        <v>152</v>
      </c>
      <c r="P2304" t="s">
        <v>152</v>
      </c>
      <c r="Q2304" s="3">
        <v>38</v>
      </c>
      <c r="R2304" t="s">
        <v>29</v>
      </c>
      <c r="S2304" t="s">
        <v>88</v>
      </c>
    </row>
    <row r="2305" spans="1:19" x14ac:dyDescent="0.25">
      <c r="A2305">
        <v>2304</v>
      </c>
      <c r="B2305">
        <v>51</v>
      </c>
      <c r="C2305" t="s">
        <v>19</v>
      </c>
      <c r="D2305" t="s">
        <v>89</v>
      </c>
      <c r="E2305" t="s">
        <v>69</v>
      </c>
      <c r="F2305" s="1">
        <v>71</v>
      </c>
      <c r="G2305" t="s">
        <v>127</v>
      </c>
      <c r="H2305" t="s">
        <v>38</v>
      </c>
      <c r="I2305" t="s">
        <v>118</v>
      </c>
      <c r="J2305" t="s">
        <v>39</v>
      </c>
      <c r="K2305" s="2">
        <v>4.8</v>
      </c>
      <c r="L2305" t="s">
        <v>152</v>
      </c>
      <c r="M2305" t="s">
        <v>34</v>
      </c>
      <c r="N2305" t="s">
        <v>72</v>
      </c>
      <c r="O2305" t="s">
        <v>152</v>
      </c>
      <c r="P2305" t="s">
        <v>152</v>
      </c>
      <c r="Q2305" s="3">
        <v>31</v>
      </c>
      <c r="R2305" t="s">
        <v>27</v>
      </c>
      <c r="S2305" t="s">
        <v>30</v>
      </c>
    </row>
    <row r="2306" spans="1:19" x14ac:dyDescent="0.25">
      <c r="A2306">
        <v>2305</v>
      </c>
      <c r="B2306">
        <v>26</v>
      </c>
      <c r="C2306" t="s">
        <v>19</v>
      </c>
      <c r="D2306" t="s">
        <v>104</v>
      </c>
      <c r="E2306" t="s">
        <v>21</v>
      </c>
      <c r="F2306" s="1">
        <v>73</v>
      </c>
      <c r="G2306" t="s">
        <v>62</v>
      </c>
      <c r="H2306" t="s">
        <v>23</v>
      </c>
      <c r="I2306" t="s">
        <v>67</v>
      </c>
      <c r="J2306" t="s">
        <v>25</v>
      </c>
      <c r="K2306" s="2">
        <v>4.7</v>
      </c>
      <c r="L2306" t="s">
        <v>152</v>
      </c>
      <c r="M2306" t="s">
        <v>34</v>
      </c>
      <c r="N2306" t="s">
        <v>40</v>
      </c>
      <c r="O2306" t="s">
        <v>152</v>
      </c>
      <c r="P2306" t="s">
        <v>152</v>
      </c>
      <c r="Q2306" s="3">
        <v>9</v>
      </c>
      <c r="R2306" t="s">
        <v>59</v>
      </c>
      <c r="S2306" t="s">
        <v>30</v>
      </c>
    </row>
    <row r="2307" spans="1:19" x14ac:dyDescent="0.25">
      <c r="A2307">
        <v>2306</v>
      </c>
      <c r="B2307">
        <v>68</v>
      </c>
      <c r="C2307" t="s">
        <v>19</v>
      </c>
      <c r="D2307" t="s">
        <v>68</v>
      </c>
      <c r="E2307" t="s">
        <v>69</v>
      </c>
      <c r="F2307" s="1">
        <v>63</v>
      </c>
      <c r="G2307" t="s">
        <v>32</v>
      </c>
      <c r="H2307" t="s">
        <v>45</v>
      </c>
      <c r="I2307" t="s">
        <v>81</v>
      </c>
      <c r="J2307" t="s">
        <v>54</v>
      </c>
      <c r="K2307" s="2">
        <v>2.6</v>
      </c>
      <c r="L2307" t="s">
        <v>152</v>
      </c>
      <c r="M2307" t="s">
        <v>35</v>
      </c>
      <c r="N2307" t="s">
        <v>40</v>
      </c>
      <c r="O2307" t="s">
        <v>152</v>
      </c>
      <c r="P2307" t="s">
        <v>152</v>
      </c>
      <c r="Q2307" s="3">
        <v>47</v>
      </c>
      <c r="R2307" t="s">
        <v>35</v>
      </c>
      <c r="S2307" t="s">
        <v>41</v>
      </c>
    </row>
    <row r="2308" spans="1:19" x14ac:dyDescent="0.25">
      <c r="A2308">
        <v>2307</v>
      </c>
      <c r="B2308">
        <v>27</v>
      </c>
      <c r="C2308" t="s">
        <v>19</v>
      </c>
      <c r="D2308" t="s">
        <v>143</v>
      </c>
      <c r="E2308" t="s">
        <v>69</v>
      </c>
      <c r="F2308" s="1">
        <v>78</v>
      </c>
      <c r="G2308" t="s">
        <v>103</v>
      </c>
      <c r="H2308" t="s">
        <v>23</v>
      </c>
      <c r="I2308" t="s">
        <v>67</v>
      </c>
      <c r="J2308" t="s">
        <v>25</v>
      </c>
      <c r="K2308" s="2">
        <v>3.4</v>
      </c>
      <c r="L2308" t="s">
        <v>152</v>
      </c>
      <c r="M2308" t="s">
        <v>35</v>
      </c>
      <c r="N2308" t="s">
        <v>55</v>
      </c>
      <c r="O2308" t="s">
        <v>152</v>
      </c>
      <c r="P2308" t="s">
        <v>152</v>
      </c>
      <c r="Q2308" s="3">
        <v>8</v>
      </c>
      <c r="R2308" t="s">
        <v>35</v>
      </c>
      <c r="S2308" t="s">
        <v>77</v>
      </c>
    </row>
    <row r="2309" spans="1:19" x14ac:dyDescent="0.25">
      <c r="A2309">
        <v>2308</v>
      </c>
      <c r="B2309">
        <v>28</v>
      </c>
      <c r="C2309" t="s">
        <v>19</v>
      </c>
      <c r="D2309" t="s">
        <v>87</v>
      </c>
      <c r="E2309" t="s">
        <v>21</v>
      </c>
      <c r="F2309" s="1">
        <v>96</v>
      </c>
      <c r="G2309" t="s">
        <v>70</v>
      </c>
      <c r="H2309" t="s">
        <v>23</v>
      </c>
      <c r="I2309" t="s">
        <v>96</v>
      </c>
      <c r="J2309" t="s">
        <v>58</v>
      </c>
      <c r="K2309" s="2">
        <v>3.5</v>
      </c>
      <c r="L2309" t="s">
        <v>152</v>
      </c>
      <c r="M2309" t="s">
        <v>34</v>
      </c>
      <c r="N2309" t="s">
        <v>47</v>
      </c>
      <c r="O2309" t="s">
        <v>152</v>
      </c>
      <c r="P2309" t="s">
        <v>152</v>
      </c>
      <c r="Q2309" s="3">
        <v>30</v>
      </c>
      <c r="R2309" t="s">
        <v>59</v>
      </c>
      <c r="S2309" t="s">
        <v>50</v>
      </c>
    </row>
    <row r="2310" spans="1:19" x14ac:dyDescent="0.25">
      <c r="A2310">
        <v>2309</v>
      </c>
      <c r="B2310">
        <v>49</v>
      </c>
      <c r="C2310" t="s">
        <v>19</v>
      </c>
      <c r="D2310" t="s">
        <v>89</v>
      </c>
      <c r="E2310" t="s">
        <v>69</v>
      </c>
      <c r="F2310" s="1">
        <v>81</v>
      </c>
      <c r="G2310" t="s">
        <v>114</v>
      </c>
      <c r="H2310" t="s">
        <v>45</v>
      </c>
      <c r="I2310" t="s">
        <v>86</v>
      </c>
      <c r="J2310" t="s">
        <v>25</v>
      </c>
      <c r="K2310" s="2">
        <v>3.4</v>
      </c>
      <c r="L2310" t="s">
        <v>152</v>
      </c>
      <c r="M2310" t="s">
        <v>34</v>
      </c>
      <c r="N2310" t="s">
        <v>72</v>
      </c>
      <c r="O2310" t="s">
        <v>152</v>
      </c>
      <c r="P2310" t="s">
        <v>152</v>
      </c>
      <c r="Q2310" s="3">
        <v>22</v>
      </c>
      <c r="R2310" t="s">
        <v>34</v>
      </c>
      <c r="S2310" t="s">
        <v>60</v>
      </c>
    </row>
    <row r="2311" spans="1:19" x14ac:dyDescent="0.25">
      <c r="A2311">
        <v>2310</v>
      </c>
      <c r="B2311">
        <v>70</v>
      </c>
      <c r="C2311" t="s">
        <v>19</v>
      </c>
      <c r="D2311" t="s">
        <v>82</v>
      </c>
      <c r="E2311" t="s">
        <v>21</v>
      </c>
      <c r="F2311" s="1">
        <v>95</v>
      </c>
      <c r="G2311" t="s">
        <v>139</v>
      </c>
      <c r="H2311" t="s">
        <v>38</v>
      </c>
      <c r="I2311" t="s">
        <v>81</v>
      </c>
      <c r="J2311" t="s">
        <v>58</v>
      </c>
      <c r="K2311" s="2">
        <v>5</v>
      </c>
      <c r="L2311" t="s">
        <v>152</v>
      </c>
      <c r="M2311" t="s">
        <v>35</v>
      </c>
      <c r="N2311" t="s">
        <v>72</v>
      </c>
      <c r="O2311" t="s">
        <v>152</v>
      </c>
      <c r="P2311" t="s">
        <v>152</v>
      </c>
      <c r="Q2311" s="3">
        <v>3</v>
      </c>
      <c r="R2311" t="s">
        <v>34</v>
      </c>
      <c r="S2311" t="s">
        <v>60</v>
      </c>
    </row>
    <row r="2312" spans="1:19" x14ac:dyDescent="0.25">
      <c r="A2312">
        <v>2311</v>
      </c>
      <c r="B2312">
        <v>30</v>
      </c>
      <c r="C2312" t="s">
        <v>19</v>
      </c>
      <c r="D2312" t="s">
        <v>143</v>
      </c>
      <c r="E2312" t="s">
        <v>69</v>
      </c>
      <c r="F2312" s="1">
        <v>68</v>
      </c>
      <c r="G2312" t="s">
        <v>141</v>
      </c>
      <c r="H2312" t="s">
        <v>45</v>
      </c>
      <c r="I2312" t="s">
        <v>109</v>
      </c>
      <c r="J2312" t="s">
        <v>39</v>
      </c>
      <c r="K2312" s="2">
        <v>4.5999999999999996</v>
      </c>
      <c r="L2312" t="s">
        <v>152</v>
      </c>
      <c r="M2312" t="s">
        <v>27</v>
      </c>
      <c r="N2312" t="s">
        <v>55</v>
      </c>
      <c r="O2312" t="s">
        <v>152</v>
      </c>
      <c r="P2312" t="s">
        <v>152</v>
      </c>
      <c r="Q2312" s="3">
        <v>15</v>
      </c>
      <c r="R2312" t="s">
        <v>46</v>
      </c>
      <c r="S2312" t="s">
        <v>88</v>
      </c>
    </row>
    <row r="2313" spans="1:19" x14ac:dyDescent="0.25">
      <c r="A2313">
        <v>2312</v>
      </c>
      <c r="B2313">
        <v>27</v>
      </c>
      <c r="C2313" t="s">
        <v>19</v>
      </c>
      <c r="D2313" t="s">
        <v>51</v>
      </c>
      <c r="E2313" t="s">
        <v>43</v>
      </c>
      <c r="F2313" s="1">
        <v>28</v>
      </c>
      <c r="G2313" t="s">
        <v>57</v>
      </c>
      <c r="H2313" t="s">
        <v>23</v>
      </c>
      <c r="I2313" t="s">
        <v>81</v>
      </c>
      <c r="J2313" t="s">
        <v>39</v>
      </c>
      <c r="K2313" s="2">
        <v>4.8</v>
      </c>
      <c r="L2313" t="s">
        <v>152</v>
      </c>
      <c r="M2313" t="s">
        <v>46</v>
      </c>
      <c r="N2313" t="s">
        <v>72</v>
      </c>
      <c r="O2313" t="s">
        <v>152</v>
      </c>
      <c r="P2313" t="s">
        <v>152</v>
      </c>
      <c r="Q2313" s="3">
        <v>10</v>
      </c>
      <c r="R2313" t="s">
        <v>34</v>
      </c>
      <c r="S2313" t="s">
        <v>97</v>
      </c>
    </row>
    <row r="2314" spans="1:19" x14ac:dyDescent="0.25">
      <c r="A2314">
        <v>2313</v>
      </c>
      <c r="B2314">
        <v>19</v>
      </c>
      <c r="C2314" t="s">
        <v>19</v>
      </c>
      <c r="D2314" t="s">
        <v>113</v>
      </c>
      <c r="E2314" t="s">
        <v>21</v>
      </c>
      <c r="F2314" s="1">
        <v>30</v>
      </c>
      <c r="G2314" t="s">
        <v>129</v>
      </c>
      <c r="H2314" t="s">
        <v>23</v>
      </c>
      <c r="I2314" t="s">
        <v>84</v>
      </c>
      <c r="J2314" t="s">
        <v>54</v>
      </c>
      <c r="K2314" s="2">
        <v>3.7</v>
      </c>
      <c r="L2314" t="s">
        <v>152</v>
      </c>
      <c r="M2314" t="s">
        <v>46</v>
      </c>
      <c r="N2314" t="s">
        <v>40</v>
      </c>
      <c r="O2314" t="s">
        <v>152</v>
      </c>
      <c r="P2314" t="s">
        <v>152</v>
      </c>
      <c r="Q2314" s="3">
        <v>19</v>
      </c>
      <c r="R2314" t="s">
        <v>35</v>
      </c>
      <c r="S2314" t="s">
        <v>97</v>
      </c>
    </row>
    <row r="2315" spans="1:19" x14ac:dyDescent="0.25">
      <c r="A2315">
        <v>2314</v>
      </c>
      <c r="B2315">
        <v>64</v>
      </c>
      <c r="C2315" t="s">
        <v>19</v>
      </c>
      <c r="D2315" t="s">
        <v>82</v>
      </c>
      <c r="E2315" t="s">
        <v>21</v>
      </c>
      <c r="F2315" s="1">
        <v>31</v>
      </c>
      <c r="G2315" t="s">
        <v>142</v>
      </c>
      <c r="H2315" t="s">
        <v>45</v>
      </c>
      <c r="I2315" t="s">
        <v>94</v>
      </c>
      <c r="J2315" t="s">
        <v>54</v>
      </c>
      <c r="K2315" s="2">
        <v>4.7</v>
      </c>
      <c r="L2315" t="s">
        <v>152</v>
      </c>
      <c r="M2315" t="s">
        <v>29</v>
      </c>
      <c r="N2315" t="s">
        <v>47</v>
      </c>
      <c r="O2315" t="s">
        <v>152</v>
      </c>
      <c r="P2315" t="s">
        <v>152</v>
      </c>
      <c r="Q2315" s="3">
        <v>36</v>
      </c>
      <c r="R2315" t="s">
        <v>34</v>
      </c>
      <c r="S2315" t="s">
        <v>30</v>
      </c>
    </row>
    <row r="2316" spans="1:19" x14ac:dyDescent="0.25">
      <c r="A2316">
        <v>2315</v>
      </c>
      <c r="B2316">
        <v>42</v>
      </c>
      <c r="C2316" t="s">
        <v>19</v>
      </c>
      <c r="D2316" t="s">
        <v>68</v>
      </c>
      <c r="E2316" t="s">
        <v>69</v>
      </c>
      <c r="F2316" s="1">
        <v>95</v>
      </c>
      <c r="G2316" t="s">
        <v>141</v>
      </c>
      <c r="H2316" t="s">
        <v>92</v>
      </c>
      <c r="I2316" t="s">
        <v>110</v>
      </c>
      <c r="J2316" t="s">
        <v>25</v>
      </c>
      <c r="K2316" s="2">
        <v>4.4000000000000004</v>
      </c>
      <c r="L2316" t="s">
        <v>152</v>
      </c>
      <c r="M2316" t="s">
        <v>29</v>
      </c>
      <c r="N2316" t="s">
        <v>28</v>
      </c>
      <c r="O2316" t="s">
        <v>152</v>
      </c>
      <c r="P2316" t="s">
        <v>152</v>
      </c>
      <c r="Q2316" s="3">
        <v>12</v>
      </c>
      <c r="R2316" t="s">
        <v>34</v>
      </c>
      <c r="S2316" t="s">
        <v>97</v>
      </c>
    </row>
    <row r="2317" spans="1:19" x14ac:dyDescent="0.25">
      <c r="A2317">
        <v>2316</v>
      </c>
      <c r="B2317">
        <v>69</v>
      </c>
      <c r="C2317" t="s">
        <v>19</v>
      </c>
      <c r="D2317" t="s">
        <v>125</v>
      </c>
      <c r="E2317" t="s">
        <v>21</v>
      </c>
      <c r="F2317" s="1">
        <v>79</v>
      </c>
      <c r="G2317" t="s">
        <v>129</v>
      </c>
      <c r="H2317" t="s">
        <v>45</v>
      </c>
      <c r="I2317" t="s">
        <v>126</v>
      </c>
      <c r="J2317" t="s">
        <v>25</v>
      </c>
      <c r="K2317" s="2">
        <v>3.5</v>
      </c>
      <c r="L2317" t="s">
        <v>152</v>
      </c>
      <c r="M2317" t="s">
        <v>35</v>
      </c>
      <c r="N2317" t="s">
        <v>72</v>
      </c>
      <c r="O2317" t="s">
        <v>152</v>
      </c>
      <c r="P2317" t="s">
        <v>152</v>
      </c>
      <c r="Q2317" s="3">
        <v>49</v>
      </c>
      <c r="R2317" t="s">
        <v>59</v>
      </c>
      <c r="S2317" t="s">
        <v>60</v>
      </c>
    </row>
    <row r="2318" spans="1:19" x14ac:dyDescent="0.25">
      <c r="A2318">
        <v>2317</v>
      </c>
      <c r="B2318">
        <v>28</v>
      </c>
      <c r="C2318" t="s">
        <v>19</v>
      </c>
      <c r="D2318" t="s">
        <v>51</v>
      </c>
      <c r="E2318" t="s">
        <v>43</v>
      </c>
      <c r="F2318" s="1">
        <v>39</v>
      </c>
      <c r="G2318" t="s">
        <v>57</v>
      </c>
      <c r="H2318" t="s">
        <v>23</v>
      </c>
      <c r="I2318" t="s">
        <v>134</v>
      </c>
      <c r="J2318" t="s">
        <v>25</v>
      </c>
      <c r="K2318" s="2">
        <v>3.8</v>
      </c>
      <c r="L2318" t="s">
        <v>152</v>
      </c>
      <c r="M2318" t="s">
        <v>27</v>
      </c>
      <c r="N2318" t="s">
        <v>55</v>
      </c>
      <c r="O2318" t="s">
        <v>152</v>
      </c>
      <c r="P2318" t="s">
        <v>152</v>
      </c>
      <c r="Q2318" s="3">
        <v>7</v>
      </c>
      <c r="R2318" t="s">
        <v>59</v>
      </c>
      <c r="S2318" t="s">
        <v>50</v>
      </c>
    </row>
    <row r="2319" spans="1:19" x14ac:dyDescent="0.25">
      <c r="A2319">
        <v>2318</v>
      </c>
      <c r="B2319">
        <v>47</v>
      </c>
      <c r="C2319" t="s">
        <v>19</v>
      </c>
      <c r="D2319" t="s">
        <v>102</v>
      </c>
      <c r="E2319" t="s">
        <v>65</v>
      </c>
      <c r="F2319" s="1">
        <v>34</v>
      </c>
      <c r="G2319" t="s">
        <v>127</v>
      </c>
      <c r="H2319" t="s">
        <v>45</v>
      </c>
      <c r="I2319" t="s">
        <v>75</v>
      </c>
      <c r="J2319" t="s">
        <v>54</v>
      </c>
      <c r="K2319" s="2">
        <v>4.7</v>
      </c>
      <c r="L2319" t="s">
        <v>152</v>
      </c>
      <c r="M2319" t="s">
        <v>59</v>
      </c>
      <c r="N2319" t="s">
        <v>47</v>
      </c>
      <c r="O2319" t="s">
        <v>152</v>
      </c>
      <c r="P2319" t="s">
        <v>152</v>
      </c>
      <c r="Q2319" s="3">
        <v>28</v>
      </c>
      <c r="R2319" t="s">
        <v>34</v>
      </c>
      <c r="S2319" t="s">
        <v>88</v>
      </c>
    </row>
    <row r="2320" spans="1:19" x14ac:dyDescent="0.25">
      <c r="A2320">
        <v>2319</v>
      </c>
      <c r="B2320">
        <v>69</v>
      </c>
      <c r="C2320" t="s">
        <v>19</v>
      </c>
      <c r="D2320" t="s">
        <v>104</v>
      </c>
      <c r="E2320" t="s">
        <v>21</v>
      </c>
      <c r="F2320" s="1">
        <v>28</v>
      </c>
      <c r="G2320" t="s">
        <v>52</v>
      </c>
      <c r="H2320" t="s">
        <v>23</v>
      </c>
      <c r="I2320" t="s">
        <v>53</v>
      </c>
      <c r="J2320" t="s">
        <v>39</v>
      </c>
      <c r="K2320" s="2">
        <v>3.1</v>
      </c>
      <c r="L2320" t="s">
        <v>152</v>
      </c>
      <c r="M2320" t="s">
        <v>46</v>
      </c>
      <c r="N2320" t="s">
        <v>76</v>
      </c>
      <c r="O2320" t="s">
        <v>152</v>
      </c>
      <c r="P2320" t="s">
        <v>152</v>
      </c>
      <c r="Q2320" s="3">
        <v>30</v>
      </c>
      <c r="R2320" t="s">
        <v>27</v>
      </c>
      <c r="S2320" t="s">
        <v>50</v>
      </c>
    </row>
    <row r="2321" spans="1:19" x14ac:dyDescent="0.25">
      <c r="A2321">
        <v>2320</v>
      </c>
      <c r="B2321">
        <v>56</v>
      </c>
      <c r="C2321" t="s">
        <v>19</v>
      </c>
      <c r="D2321" t="s">
        <v>42</v>
      </c>
      <c r="E2321" t="s">
        <v>43</v>
      </c>
      <c r="F2321" s="1">
        <v>38</v>
      </c>
      <c r="G2321" t="s">
        <v>32</v>
      </c>
      <c r="H2321" t="s">
        <v>92</v>
      </c>
      <c r="I2321" t="s">
        <v>49</v>
      </c>
      <c r="J2321" t="s">
        <v>25</v>
      </c>
      <c r="K2321" s="2">
        <v>5</v>
      </c>
      <c r="L2321" t="s">
        <v>152</v>
      </c>
      <c r="M2321" t="s">
        <v>59</v>
      </c>
      <c r="N2321" t="s">
        <v>40</v>
      </c>
      <c r="O2321" t="s">
        <v>152</v>
      </c>
      <c r="P2321" t="s">
        <v>152</v>
      </c>
      <c r="Q2321" s="3">
        <v>29</v>
      </c>
      <c r="R2321" t="s">
        <v>46</v>
      </c>
      <c r="S2321" t="s">
        <v>88</v>
      </c>
    </row>
    <row r="2322" spans="1:19" x14ac:dyDescent="0.25">
      <c r="A2322">
        <v>2321</v>
      </c>
      <c r="B2322">
        <v>28</v>
      </c>
      <c r="C2322" t="s">
        <v>19</v>
      </c>
      <c r="D2322" t="s">
        <v>73</v>
      </c>
      <c r="E2322" t="s">
        <v>43</v>
      </c>
      <c r="F2322" s="1">
        <v>55</v>
      </c>
      <c r="G2322" t="s">
        <v>130</v>
      </c>
      <c r="H2322" t="s">
        <v>45</v>
      </c>
      <c r="I2322" t="s">
        <v>79</v>
      </c>
      <c r="J2322" t="s">
        <v>39</v>
      </c>
      <c r="K2322" s="2">
        <v>3.7</v>
      </c>
      <c r="L2322" t="s">
        <v>152</v>
      </c>
      <c r="M2322" t="s">
        <v>27</v>
      </c>
      <c r="N2322" t="s">
        <v>40</v>
      </c>
      <c r="O2322" t="s">
        <v>152</v>
      </c>
      <c r="P2322" t="s">
        <v>152</v>
      </c>
      <c r="Q2322" s="3">
        <v>9</v>
      </c>
      <c r="R2322" t="s">
        <v>59</v>
      </c>
      <c r="S2322" t="s">
        <v>97</v>
      </c>
    </row>
    <row r="2323" spans="1:19" x14ac:dyDescent="0.25">
      <c r="A2323">
        <v>2322</v>
      </c>
      <c r="B2323">
        <v>50</v>
      </c>
      <c r="C2323" t="s">
        <v>19</v>
      </c>
      <c r="D2323" t="s">
        <v>42</v>
      </c>
      <c r="E2323" t="s">
        <v>43</v>
      </c>
      <c r="F2323" s="1">
        <v>31</v>
      </c>
      <c r="G2323" t="s">
        <v>112</v>
      </c>
      <c r="H2323" t="s">
        <v>45</v>
      </c>
      <c r="I2323" t="s">
        <v>118</v>
      </c>
      <c r="J2323" t="s">
        <v>25</v>
      </c>
      <c r="K2323" s="2">
        <v>3</v>
      </c>
      <c r="L2323" t="s">
        <v>152</v>
      </c>
      <c r="M2323" t="s">
        <v>46</v>
      </c>
      <c r="N2323" t="s">
        <v>47</v>
      </c>
      <c r="O2323" t="s">
        <v>152</v>
      </c>
      <c r="P2323" t="s">
        <v>152</v>
      </c>
      <c r="Q2323" s="3">
        <v>27</v>
      </c>
      <c r="R2323" t="s">
        <v>59</v>
      </c>
      <c r="S2323" t="s">
        <v>30</v>
      </c>
    </row>
    <row r="2324" spans="1:19" x14ac:dyDescent="0.25">
      <c r="A2324">
        <v>2323</v>
      </c>
      <c r="B2324">
        <v>39</v>
      </c>
      <c r="C2324" t="s">
        <v>19</v>
      </c>
      <c r="D2324" t="s">
        <v>64</v>
      </c>
      <c r="E2324" t="s">
        <v>65</v>
      </c>
      <c r="F2324" s="1">
        <v>84</v>
      </c>
      <c r="G2324" t="s">
        <v>139</v>
      </c>
      <c r="H2324" t="s">
        <v>38</v>
      </c>
      <c r="I2324" t="s">
        <v>93</v>
      </c>
      <c r="J2324" t="s">
        <v>39</v>
      </c>
      <c r="K2324" s="2">
        <v>4.5</v>
      </c>
      <c r="L2324" t="s">
        <v>152</v>
      </c>
      <c r="M2324" t="s">
        <v>35</v>
      </c>
      <c r="N2324" t="s">
        <v>76</v>
      </c>
      <c r="O2324" t="s">
        <v>152</v>
      </c>
      <c r="P2324" t="s">
        <v>152</v>
      </c>
      <c r="Q2324" s="3">
        <v>21</v>
      </c>
      <c r="R2324" t="s">
        <v>29</v>
      </c>
      <c r="S2324" t="s">
        <v>30</v>
      </c>
    </row>
    <row r="2325" spans="1:19" x14ac:dyDescent="0.25">
      <c r="A2325">
        <v>2324</v>
      </c>
      <c r="B2325">
        <v>35</v>
      </c>
      <c r="C2325" t="s">
        <v>19</v>
      </c>
      <c r="D2325" t="s">
        <v>143</v>
      </c>
      <c r="E2325" t="s">
        <v>69</v>
      </c>
      <c r="F2325" s="1">
        <v>93</v>
      </c>
      <c r="G2325" t="s">
        <v>128</v>
      </c>
      <c r="H2325" t="s">
        <v>23</v>
      </c>
      <c r="I2325" t="s">
        <v>53</v>
      </c>
      <c r="J2325" t="s">
        <v>25</v>
      </c>
      <c r="K2325" s="2">
        <v>4.7</v>
      </c>
      <c r="L2325" t="s">
        <v>152</v>
      </c>
      <c r="M2325" t="s">
        <v>34</v>
      </c>
      <c r="N2325" t="s">
        <v>28</v>
      </c>
      <c r="O2325" t="s">
        <v>152</v>
      </c>
      <c r="P2325" t="s">
        <v>152</v>
      </c>
      <c r="Q2325" s="3">
        <v>36</v>
      </c>
      <c r="R2325" t="s">
        <v>27</v>
      </c>
      <c r="S2325" t="s">
        <v>88</v>
      </c>
    </row>
    <row r="2326" spans="1:19" x14ac:dyDescent="0.25">
      <c r="A2326">
        <v>2325</v>
      </c>
      <c r="B2326">
        <v>59</v>
      </c>
      <c r="C2326" t="s">
        <v>19</v>
      </c>
      <c r="D2326" t="s">
        <v>64</v>
      </c>
      <c r="E2326" t="s">
        <v>65</v>
      </c>
      <c r="F2326" s="1">
        <v>28</v>
      </c>
      <c r="G2326" t="s">
        <v>48</v>
      </c>
      <c r="H2326" t="s">
        <v>23</v>
      </c>
      <c r="I2326" t="s">
        <v>110</v>
      </c>
      <c r="J2326" t="s">
        <v>25</v>
      </c>
      <c r="K2326" s="2">
        <v>3.5</v>
      </c>
      <c r="L2326" t="s">
        <v>152</v>
      </c>
      <c r="M2326" t="s">
        <v>59</v>
      </c>
      <c r="N2326" t="s">
        <v>40</v>
      </c>
      <c r="O2326" t="s">
        <v>152</v>
      </c>
      <c r="P2326" t="s">
        <v>152</v>
      </c>
      <c r="Q2326" s="3">
        <v>19</v>
      </c>
      <c r="R2326" t="s">
        <v>59</v>
      </c>
      <c r="S2326" t="s">
        <v>50</v>
      </c>
    </row>
    <row r="2327" spans="1:19" x14ac:dyDescent="0.25">
      <c r="A2327">
        <v>2326</v>
      </c>
      <c r="B2327">
        <v>44</v>
      </c>
      <c r="C2327" t="s">
        <v>19</v>
      </c>
      <c r="D2327" t="s">
        <v>137</v>
      </c>
      <c r="E2327" t="s">
        <v>43</v>
      </c>
      <c r="F2327" s="1">
        <v>55</v>
      </c>
      <c r="G2327" t="s">
        <v>85</v>
      </c>
      <c r="H2327" t="s">
        <v>45</v>
      </c>
      <c r="I2327" t="s">
        <v>63</v>
      </c>
      <c r="J2327" t="s">
        <v>54</v>
      </c>
      <c r="K2327" s="2">
        <v>4.4000000000000004</v>
      </c>
      <c r="L2327" t="s">
        <v>152</v>
      </c>
      <c r="M2327" t="s">
        <v>59</v>
      </c>
      <c r="N2327" t="s">
        <v>72</v>
      </c>
      <c r="O2327" t="s">
        <v>152</v>
      </c>
      <c r="P2327" t="s">
        <v>152</v>
      </c>
      <c r="Q2327" s="3">
        <v>47</v>
      </c>
      <c r="R2327" t="s">
        <v>35</v>
      </c>
      <c r="S2327" t="s">
        <v>41</v>
      </c>
    </row>
    <row r="2328" spans="1:19" x14ac:dyDescent="0.25">
      <c r="A2328">
        <v>2327</v>
      </c>
      <c r="B2328">
        <v>66</v>
      </c>
      <c r="C2328" t="s">
        <v>19</v>
      </c>
      <c r="D2328" t="s">
        <v>87</v>
      </c>
      <c r="E2328" t="s">
        <v>21</v>
      </c>
      <c r="F2328" s="1">
        <v>63</v>
      </c>
      <c r="G2328" t="s">
        <v>101</v>
      </c>
      <c r="H2328" t="s">
        <v>23</v>
      </c>
      <c r="I2328" t="s">
        <v>33</v>
      </c>
      <c r="J2328" t="s">
        <v>25</v>
      </c>
      <c r="K2328" s="2">
        <v>2.6</v>
      </c>
      <c r="L2328" t="s">
        <v>152</v>
      </c>
      <c r="M2328" t="s">
        <v>35</v>
      </c>
      <c r="N2328" t="s">
        <v>55</v>
      </c>
      <c r="O2328" t="s">
        <v>152</v>
      </c>
      <c r="P2328" t="s">
        <v>152</v>
      </c>
      <c r="Q2328" s="3">
        <v>38</v>
      </c>
      <c r="R2328" t="s">
        <v>34</v>
      </c>
      <c r="S2328" t="s">
        <v>50</v>
      </c>
    </row>
    <row r="2329" spans="1:19" x14ac:dyDescent="0.25">
      <c r="A2329">
        <v>2328</v>
      </c>
      <c r="B2329">
        <v>20</v>
      </c>
      <c r="C2329" t="s">
        <v>19</v>
      </c>
      <c r="D2329" t="s">
        <v>87</v>
      </c>
      <c r="E2329" t="s">
        <v>21</v>
      </c>
      <c r="F2329" s="1">
        <v>94</v>
      </c>
      <c r="G2329" t="s">
        <v>90</v>
      </c>
      <c r="H2329" t="s">
        <v>45</v>
      </c>
      <c r="I2329" t="s">
        <v>108</v>
      </c>
      <c r="J2329" t="s">
        <v>25</v>
      </c>
      <c r="K2329" s="2">
        <v>4.2</v>
      </c>
      <c r="L2329" t="s">
        <v>152</v>
      </c>
      <c r="M2329" t="s">
        <v>27</v>
      </c>
      <c r="N2329" t="s">
        <v>72</v>
      </c>
      <c r="O2329" t="s">
        <v>152</v>
      </c>
      <c r="P2329" t="s">
        <v>152</v>
      </c>
      <c r="Q2329" s="3">
        <v>22</v>
      </c>
      <c r="R2329" t="s">
        <v>29</v>
      </c>
      <c r="S2329" t="s">
        <v>77</v>
      </c>
    </row>
    <row r="2330" spans="1:19" x14ac:dyDescent="0.25">
      <c r="A2330">
        <v>2329</v>
      </c>
      <c r="B2330">
        <v>45</v>
      </c>
      <c r="C2330" t="s">
        <v>19</v>
      </c>
      <c r="D2330" t="s">
        <v>95</v>
      </c>
      <c r="E2330" t="s">
        <v>21</v>
      </c>
      <c r="F2330" s="1">
        <v>36</v>
      </c>
      <c r="G2330" t="s">
        <v>114</v>
      </c>
      <c r="H2330" t="s">
        <v>45</v>
      </c>
      <c r="I2330" t="s">
        <v>33</v>
      </c>
      <c r="J2330" t="s">
        <v>58</v>
      </c>
      <c r="K2330" s="2">
        <v>2.6</v>
      </c>
      <c r="L2330" t="s">
        <v>152</v>
      </c>
      <c r="M2330" t="s">
        <v>27</v>
      </c>
      <c r="N2330" t="s">
        <v>28</v>
      </c>
      <c r="O2330" t="s">
        <v>152</v>
      </c>
      <c r="P2330" t="s">
        <v>152</v>
      </c>
      <c r="Q2330" s="3">
        <v>29</v>
      </c>
      <c r="R2330" t="s">
        <v>29</v>
      </c>
      <c r="S2330" t="s">
        <v>77</v>
      </c>
    </row>
    <row r="2331" spans="1:19" x14ac:dyDescent="0.25">
      <c r="A2331">
        <v>2330</v>
      </c>
      <c r="B2331">
        <v>49</v>
      </c>
      <c r="C2331" t="s">
        <v>19</v>
      </c>
      <c r="D2331" t="s">
        <v>124</v>
      </c>
      <c r="E2331" t="s">
        <v>69</v>
      </c>
      <c r="F2331" s="1">
        <v>97</v>
      </c>
      <c r="G2331" t="s">
        <v>145</v>
      </c>
      <c r="H2331" t="s">
        <v>38</v>
      </c>
      <c r="I2331" t="s">
        <v>86</v>
      </c>
      <c r="J2331" t="s">
        <v>39</v>
      </c>
      <c r="K2331" s="2">
        <v>4.8</v>
      </c>
      <c r="L2331" t="s">
        <v>152</v>
      </c>
      <c r="M2331" t="s">
        <v>29</v>
      </c>
      <c r="N2331" t="s">
        <v>40</v>
      </c>
      <c r="O2331" t="s">
        <v>152</v>
      </c>
      <c r="P2331" t="s">
        <v>152</v>
      </c>
      <c r="Q2331" s="3">
        <v>42</v>
      </c>
      <c r="R2331" t="s">
        <v>34</v>
      </c>
      <c r="S2331" t="s">
        <v>50</v>
      </c>
    </row>
    <row r="2332" spans="1:19" x14ac:dyDescent="0.25">
      <c r="A2332">
        <v>2331</v>
      </c>
      <c r="B2332">
        <v>60</v>
      </c>
      <c r="C2332" t="s">
        <v>19</v>
      </c>
      <c r="D2332" t="s">
        <v>132</v>
      </c>
      <c r="E2332" t="s">
        <v>69</v>
      </c>
      <c r="F2332" s="1">
        <v>63</v>
      </c>
      <c r="G2332" t="s">
        <v>117</v>
      </c>
      <c r="H2332" t="s">
        <v>23</v>
      </c>
      <c r="I2332" t="s">
        <v>121</v>
      </c>
      <c r="J2332" t="s">
        <v>54</v>
      </c>
      <c r="K2332" s="2">
        <v>2.9</v>
      </c>
      <c r="L2332" t="s">
        <v>152</v>
      </c>
      <c r="M2332" t="s">
        <v>29</v>
      </c>
      <c r="N2332" t="s">
        <v>76</v>
      </c>
      <c r="O2332" t="s">
        <v>152</v>
      </c>
      <c r="P2332" t="s">
        <v>152</v>
      </c>
      <c r="Q2332" s="3">
        <v>47</v>
      </c>
      <c r="R2332" t="s">
        <v>46</v>
      </c>
      <c r="S2332" t="s">
        <v>97</v>
      </c>
    </row>
    <row r="2333" spans="1:19" x14ac:dyDescent="0.25">
      <c r="A2333">
        <v>2332</v>
      </c>
      <c r="B2333">
        <v>61</v>
      </c>
      <c r="C2333" t="s">
        <v>19</v>
      </c>
      <c r="D2333" t="s">
        <v>119</v>
      </c>
      <c r="E2333" t="s">
        <v>69</v>
      </c>
      <c r="F2333" s="1">
        <v>77</v>
      </c>
      <c r="G2333" t="s">
        <v>115</v>
      </c>
      <c r="H2333" t="s">
        <v>38</v>
      </c>
      <c r="I2333" t="s">
        <v>79</v>
      </c>
      <c r="J2333" t="s">
        <v>39</v>
      </c>
      <c r="K2333" s="2">
        <v>4.3</v>
      </c>
      <c r="L2333" t="s">
        <v>152</v>
      </c>
      <c r="M2333" t="s">
        <v>27</v>
      </c>
      <c r="N2333" t="s">
        <v>72</v>
      </c>
      <c r="O2333" t="s">
        <v>152</v>
      </c>
      <c r="P2333" t="s">
        <v>152</v>
      </c>
      <c r="Q2333" s="3">
        <v>10</v>
      </c>
      <c r="R2333" t="s">
        <v>27</v>
      </c>
      <c r="S2333" t="s">
        <v>77</v>
      </c>
    </row>
    <row r="2334" spans="1:19" x14ac:dyDescent="0.25">
      <c r="A2334">
        <v>2333</v>
      </c>
      <c r="B2334">
        <v>36</v>
      </c>
      <c r="C2334" t="s">
        <v>19</v>
      </c>
      <c r="D2334" t="s">
        <v>119</v>
      </c>
      <c r="E2334" t="s">
        <v>69</v>
      </c>
      <c r="F2334" s="1">
        <v>53</v>
      </c>
      <c r="G2334" t="s">
        <v>131</v>
      </c>
      <c r="H2334" t="s">
        <v>92</v>
      </c>
      <c r="I2334" t="s">
        <v>79</v>
      </c>
      <c r="J2334" t="s">
        <v>58</v>
      </c>
      <c r="K2334" s="2">
        <v>2.6</v>
      </c>
      <c r="L2334" t="s">
        <v>152</v>
      </c>
      <c r="M2334" t="s">
        <v>27</v>
      </c>
      <c r="N2334" t="s">
        <v>76</v>
      </c>
      <c r="O2334" t="s">
        <v>152</v>
      </c>
      <c r="P2334" t="s">
        <v>152</v>
      </c>
      <c r="Q2334" s="3">
        <v>10</v>
      </c>
      <c r="R2334" t="s">
        <v>29</v>
      </c>
      <c r="S2334" t="s">
        <v>88</v>
      </c>
    </row>
    <row r="2335" spans="1:19" x14ac:dyDescent="0.25">
      <c r="A2335">
        <v>2334</v>
      </c>
      <c r="B2335">
        <v>33</v>
      </c>
      <c r="C2335" t="s">
        <v>19</v>
      </c>
      <c r="D2335" t="s">
        <v>56</v>
      </c>
      <c r="E2335" t="s">
        <v>21</v>
      </c>
      <c r="F2335" s="1">
        <v>77</v>
      </c>
      <c r="G2335" t="s">
        <v>111</v>
      </c>
      <c r="H2335" t="s">
        <v>45</v>
      </c>
      <c r="I2335" t="s">
        <v>118</v>
      </c>
      <c r="J2335" t="s">
        <v>39</v>
      </c>
      <c r="K2335" s="2">
        <v>3.8</v>
      </c>
      <c r="L2335" t="s">
        <v>152</v>
      </c>
      <c r="M2335" t="s">
        <v>35</v>
      </c>
      <c r="N2335" t="s">
        <v>47</v>
      </c>
      <c r="O2335" t="s">
        <v>152</v>
      </c>
      <c r="P2335" t="s">
        <v>152</v>
      </c>
      <c r="Q2335" s="3">
        <v>1</v>
      </c>
      <c r="R2335" t="s">
        <v>46</v>
      </c>
      <c r="S2335" t="s">
        <v>97</v>
      </c>
    </row>
    <row r="2336" spans="1:19" x14ac:dyDescent="0.25">
      <c r="A2336">
        <v>2335</v>
      </c>
      <c r="B2336">
        <v>49</v>
      </c>
      <c r="C2336" t="s">
        <v>19</v>
      </c>
      <c r="D2336" t="s">
        <v>137</v>
      </c>
      <c r="E2336" t="s">
        <v>43</v>
      </c>
      <c r="F2336" s="1">
        <v>79</v>
      </c>
      <c r="G2336" t="s">
        <v>111</v>
      </c>
      <c r="H2336" t="s">
        <v>23</v>
      </c>
      <c r="I2336" t="s">
        <v>96</v>
      </c>
      <c r="J2336" t="s">
        <v>54</v>
      </c>
      <c r="K2336" s="2">
        <v>4.2</v>
      </c>
      <c r="L2336" t="s">
        <v>152</v>
      </c>
      <c r="M2336" t="s">
        <v>27</v>
      </c>
      <c r="N2336" t="s">
        <v>55</v>
      </c>
      <c r="O2336" t="s">
        <v>152</v>
      </c>
      <c r="P2336" t="s">
        <v>152</v>
      </c>
      <c r="Q2336" s="3">
        <v>7</v>
      </c>
      <c r="R2336" t="s">
        <v>27</v>
      </c>
      <c r="S2336" t="s">
        <v>88</v>
      </c>
    </row>
    <row r="2337" spans="1:19" x14ac:dyDescent="0.25">
      <c r="A2337">
        <v>2336</v>
      </c>
      <c r="B2337">
        <v>31</v>
      </c>
      <c r="C2337" t="s">
        <v>19</v>
      </c>
      <c r="D2337" t="s">
        <v>64</v>
      </c>
      <c r="E2337" t="s">
        <v>65</v>
      </c>
      <c r="F2337" s="1">
        <v>37</v>
      </c>
      <c r="G2337" t="s">
        <v>135</v>
      </c>
      <c r="H2337" t="s">
        <v>45</v>
      </c>
      <c r="I2337" t="s">
        <v>94</v>
      </c>
      <c r="J2337" t="s">
        <v>54</v>
      </c>
      <c r="K2337" s="2">
        <v>3.9</v>
      </c>
      <c r="L2337" t="s">
        <v>152</v>
      </c>
      <c r="M2337" t="s">
        <v>29</v>
      </c>
      <c r="N2337" t="s">
        <v>76</v>
      </c>
      <c r="O2337" t="s">
        <v>152</v>
      </c>
      <c r="P2337" t="s">
        <v>152</v>
      </c>
      <c r="Q2337" s="3">
        <v>10</v>
      </c>
      <c r="R2337" t="s">
        <v>29</v>
      </c>
      <c r="S2337" t="s">
        <v>30</v>
      </c>
    </row>
    <row r="2338" spans="1:19" x14ac:dyDescent="0.25">
      <c r="A2338">
        <v>2337</v>
      </c>
      <c r="B2338">
        <v>19</v>
      </c>
      <c r="C2338" t="s">
        <v>19</v>
      </c>
      <c r="D2338" t="s">
        <v>133</v>
      </c>
      <c r="E2338" t="s">
        <v>69</v>
      </c>
      <c r="F2338" s="1">
        <v>94</v>
      </c>
      <c r="G2338" t="s">
        <v>99</v>
      </c>
      <c r="H2338" t="s">
        <v>45</v>
      </c>
      <c r="I2338" t="s">
        <v>96</v>
      </c>
      <c r="J2338" t="s">
        <v>25</v>
      </c>
      <c r="K2338" s="2">
        <v>3.1</v>
      </c>
      <c r="L2338" t="s">
        <v>152</v>
      </c>
      <c r="M2338" t="s">
        <v>35</v>
      </c>
      <c r="N2338" t="s">
        <v>40</v>
      </c>
      <c r="O2338" t="s">
        <v>152</v>
      </c>
      <c r="P2338" t="s">
        <v>152</v>
      </c>
      <c r="Q2338" s="3">
        <v>11</v>
      </c>
      <c r="R2338" t="s">
        <v>27</v>
      </c>
      <c r="S2338" t="s">
        <v>41</v>
      </c>
    </row>
    <row r="2339" spans="1:19" x14ac:dyDescent="0.25">
      <c r="A2339">
        <v>2338</v>
      </c>
      <c r="B2339">
        <v>39</v>
      </c>
      <c r="C2339" t="s">
        <v>19</v>
      </c>
      <c r="D2339" t="s">
        <v>137</v>
      </c>
      <c r="E2339" t="s">
        <v>43</v>
      </c>
      <c r="F2339" s="1">
        <v>76</v>
      </c>
      <c r="G2339" t="s">
        <v>114</v>
      </c>
      <c r="H2339" t="s">
        <v>38</v>
      </c>
      <c r="I2339" t="s">
        <v>84</v>
      </c>
      <c r="J2339" t="s">
        <v>58</v>
      </c>
      <c r="K2339" s="2">
        <v>3.6</v>
      </c>
      <c r="L2339" t="s">
        <v>152</v>
      </c>
      <c r="M2339" t="s">
        <v>46</v>
      </c>
      <c r="N2339" t="s">
        <v>76</v>
      </c>
      <c r="O2339" t="s">
        <v>152</v>
      </c>
      <c r="P2339" t="s">
        <v>152</v>
      </c>
      <c r="Q2339" s="3">
        <v>5</v>
      </c>
      <c r="R2339" t="s">
        <v>35</v>
      </c>
      <c r="S2339" t="s">
        <v>50</v>
      </c>
    </row>
    <row r="2340" spans="1:19" x14ac:dyDescent="0.25">
      <c r="A2340">
        <v>2339</v>
      </c>
      <c r="B2340">
        <v>66</v>
      </c>
      <c r="C2340" t="s">
        <v>19</v>
      </c>
      <c r="D2340" t="s">
        <v>51</v>
      </c>
      <c r="E2340" t="s">
        <v>43</v>
      </c>
      <c r="F2340" s="1">
        <v>68</v>
      </c>
      <c r="G2340" t="s">
        <v>142</v>
      </c>
      <c r="H2340" t="s">
        <v>38</v>
      </c>
      <c r="I2340" t="s">
        <v>67</v>
      </c>
      <c r="J2340" t="s">
        <v>58</v>
      </c>
      <c r="K2340" s="2">
        <v>4</v>
      </c>
      <c r="L2340" t="s">
        <v>152</v>
      </c>
      <c r="M2340" t="s">
        <v>46</v>
      </c>
      <c r="N2340" t="s">
        <v>28</v>
      </c>
      <c r="O2340" t="s">
        <v>152</v>
      </c>
      <c r="P2340" t="s">
        <v>152</v>
      </c>
      <c r="Q2340" s="3">
        <v>21</v>
      </c>
      <c r="R2340" t="s">
        <v>46</v>
      </c>
      <c r="S2340" t="s">
        <v>60</v>
      </c>
    </row>
    <row r="2341" spans="1:19" x14ac:dyDescent="0.25">
      <c r="A2341">
        <v>2340</v>
      </c>
      <c r="B2341">
        <v>25</v>
      </c>
      <c r="C2341" t="s">
        <v>19</v>
      </c>
      <c r="D2341" t="s">
        <v>56</v>
      </c>
      <c r="E2341" t="s">
        <v>21</v>
      </c>
      <c r="F2341" s="1">
        <v>65</v>
      </c>
      <c r="G2341" t="s">
        <v>115</v>
      </c>
      <c r="H2341" t="s">
        <v>23</v>
      </c>
      <c r="I2341" t="s">
        <v>33</v>
      </c>
      <c r="J2341" t="s">
        <v>39</v>
      </c>
      <c r="K2341" s="2">
        <v>3.4</v>
      </c>
      <c r="L2341" t="s">
        <v>152</v>
      </c>
      <c r="M2341" t="s">
        <v>35</v>
      </c>
      <c r="N2341" t="s">
        <v>47</v>
      </c>
      <c r="O2341" t="s">
        <v>152</v>
      </c>
      <c r="P2341" t="s">
        <v>152</v>
      </c>
      <c r="Q2341" s="3">
        <v>24</v>
      </c>
      <c r="R2341" t="s">
        <v>34</v>
      </c>
      <c r="S2341" t="s">
        <v>60</v>
      </c>
    </row>
    <row r="2342" spans="1:19" x14ac:dyDescent="0.25">
      <c r="A2342">
        <v>2341</v>
      </c>
      <c r="B2342">
        <v>63</v>
      </c>
      <c r="C2342" t="s">
        <v>19</v>
      </c>
      <c r="D2342" t="s">
        <v>20</v>
      </c>
      <c r="E2342" t="s">
        <v>21</v>
      </c>
      <c r="F2342" s="1">
        <v>24</v>
      </c>
      <c r="G2342" t="s">
        <v>80</v>
      </c>
      <c r="H2342" t="s">
        <v>45</v>
      </c>
      <c r="I2342" t="s">
        <v>109</v>
      </c>
      <c r="J2342" t="s">
        <v>54</v>
      </c>
      <c r="K2342" s="2">
        <v>2.6</v>
      </c>
      <c r="L2342" t="s">
        <v>152</v>
      </c>
      <c r="M2342" t="s">
        <v>29</v>
      </c>
      <c r="N2342" t="s">
        <v>55</v>
      </c>
      <c r="O2342" t="s">
        <v>152</v>
      </c>
      <c r="P2342" t="s">
        <v>152</v>
      </c>
      <c r="Q2342" s="3">
        <v>37</v>
      </c>
      <c r="R2342" t="s">
        <v>27</v>
      </c>
      <c r="S2342" t="s">
        <v>30</v>
      </c>
    </row>
    <row r="2343" spans="1:19" x14ac:dyDescent="0.25">
      <c r="A2343">
        <v>2342</v>
      </c>
      <c r="B2343">
        <v>56</v>
      </c>
      <c r="C2343" t="s">
        <v>19</v>
      </c>
      <c r="D2343" t="s">
        <v>102</v>
      </c>
      <c r="E2343" t="s">
        <v>65</v>
      </c>
      <c r="F2343" s="1">
        <v>31</v>
      </c>
      <c r="G2343" t="s">
        <v>139</v>
      </c>
      <c r="H2343" t="s">
        <v>23</v>
      </c>
      <c r="I2343" t="s">
        <v>86</v>
      </c>
      <c r="J2343" t="s">
        <v>54</v>
      </c>
      <c r="K2343" s="2">
        <v>4.5</v>
      </c>
      <c r="L2343" t="s">
        <v>152</v>
      </c>
      <c r="M2343" t="s">
        <v>35</v>
      </c>
      <c r="N2343" t="s">
        <v>28</v>
      </c>
      <c r="O2343" t="s">
        <v>152</v>
      </c>
      <c r="P2343" t="s">
        <v>152</v>
      </c>
      <c r="Q2343" s="3">
        <v>22</v>
      </c>
      <c r="R2343" t="s">
        <v>29</v>
      </c>
      <c r="S2343" t="s">
        <v>97</v>
      </c>
    </row>
    <row r="2344" spans="1:19" x14ac:dyDescent="0.25">
      <c r="A2344">
        <v>2343</v>
      </c>
      <c r="B2344">
        <v>20</v>
      </c>
      <c r="C2344" t="s">
        <v>19</v>
      </c>
      <c r="D2344" t="s">
        <v>87</v>
      </c>
      <c r="E2344" t="s">
        <v>21</v>
      </c>
      <c r="F2344" s="1">
        <v>89</v>
      </c>
      <c r="G2344" t="s">
        <v>122</v>
      </c>
      <c r="H2344" t="s">
        <v>45</v>
      </c>
      <c r="I2344" t="s">
        <v>79</v>
      </c>
      <c r="J2344" t="s">
        <v>58</v>
      </c>
      <c r="K2344" s="2">
        <v>4.9000000000000004</v>
      </c>
      <c r="L2344" t="s">
        <v>152</v>
      </c>
      <c r="M2344" t="s">
        <v>27</v>
      </c>
      <c r="N2344" t="s">
        <v>55</v>
      </c>
      <c r="O2344" t="s">
        <v>152</v>
      </c>
      <c r="P2344" t="s">
        <v>152</v>
      </c>
      <c r="Q2344" s="3">
        <v>16</v>
      </c>
      <c r="R2344" t="s">
        <v>59</v>
      </c>
      <c r="S2344" t="s">
        <v>30</v>
      </c>
    </row>
    <row r="2345" spans="1:19" x14ac:dyDescent="0.25">
      <c r="A2345">
        <v>2344</v>
      </c>
      <c r="B2345">
        <v>58</v>
      </c>
      <c r="C2345" t="s">
        <v>19</v>
      </c>
      <c r="D2345" t="s">
        <v>125</v>
      </c>
      <c r="E2345" t="s">
        <v>21</v>
      </c>
      <c r="F2345" s="1">
        <v>49</v>
      </c>
      <c r="G2345" t="s">
        <v>128</v>
      </c>
      <c r="H2345" t="s">
        <v>45</v>
      </c>
      <c r="I2345" t="s">
        <v>108</v>
      </c>
      <c r="J2345" t="s">
        <v>54</v>
      </c>
      <c r="K2345" s="2">
        <v>4.4000000000000004</v>
      </c>
      <c r="L2345" t="s">
        <v>152</v>
      </c>
      <c r="M2345" t="s">
        <v>29</v>
      </c>
      <c r="N2345" t="s">
        <v>72</v>
      </c>
      <c r="O2345" t="s">
        <v>152</v>
      </c>
      <c r="P2345" t="s">
        <v>152</v>
      </c>
      <c r="Q2345" s="3">
        <v>44</v>
      </c>
      <c r="R2345" t="s">
        <v>46</v>
      </c>
      <c r="S2345" t="s">
        <v>88</v>
      </c>
    </row>
    <row r="2346" spans="1:19" x14ac:dyDescent="0.25">
      <c r="A2346">
        <v>2345</v>
      </c>
      <c r="B2346">
        <v>34</v>
      </c>
      <c r="C2346" t="s">
        <v>19</v>
      </c>
      <c r="D2346" t="s">
        <v>42</v>
      </c>
      <c r="E2346" t="s">
        <v>43</v>
      </c>
      <c r="F2346" s="1">
        <v>92</v>
      </c>
      <c r="G2346" t="s">
        <v>44</v>
      </c>
      <c r="H2346" t="s">
        <v>92</v>
      </c>
      <c r="I2346" t="s">
        <v>93</v>
      </c>
      <c r="J2346" t="s">
        <v>58</v>
      </c>
      <c r="K2346" s="2">
        <v>3.5</v>
      </c>
      <c r="L2346" t="s">
        <v>152</v>
      </c>
      <c r="M2346" t="s">
        <v>27</v>
      </c>
      <c r="N2346" t="s">
        <v>28</v>
      </c>
      <c r="O2346" t="s">
        <v>152</v>
      </c>
      <c r="P2346" t="s">
        <v>152</v>
      </c>
      <c r="Q2346" s="3">
        <v>14</v>
      </c>
      <c r="R2346" t="s">
        <v>29</v>
      </c>
      <c r="S2346" t="s">
        <v>77</v>
      </c>
    </row>
    <row r="2347" spans="1:19" x14ac:dyDescent="0.25">
      <c r="A2347">
        <v>2346</v>
      </c>
      <c r="B2347">
        <v>28</v>
      </c>
      <c r="C2347" t="s">
        <v>19</v>
      </c>
      <c r="D2347" t="s">
        <v>113</v>
      </c>
      <c r="E2347" t="s">
        <v>21</v>
      </c>
      <c r="F2347" s="1">
        <v>32</v>
      </c>
      <c r="G2347" t="s">
        <v>85</v>
      </c>
      <c r="H2347" t="s">
        <v>38</v>
      </c>
      <c r="I2347" t="s">
        <v>121</v>
      </c>
      <c r="J2347" t="s">
        <v>25</v>
      </c>
      <c r="K2347" s="2">
        <v>3.3</v>
      </c>
      <c r="L2347" t="s">
        <v>152</v>
      </c>
      <c r="M2347" t="s">
        <v>34</v>
      </c>
      <c r="N2347" t="s">
        <v>28</v>
      </c>
      <c r="O2347" t="s">
        <v>152</v>
      </c>
      <c r="P2347" t="s">
        <v>152</v>
      </c>
      <c r="Q2347" s="3">
        <v>23</v>
      </c>
      <c r="R2347" t="s">
        <v>34</v>
      </c>
      <c r="S2347" t="s">
        <v>97</v>
      </c>
    </row>
    <row r="2348" spans="1:19" x14ac:dyDescent="0.25">
      <c r="A2348">
        <v>2347</v>
      </c>
      <c r="B2348">
        <v>22</v>
      </c>
      <c r="C2348" t="s">
        <v>19</v>
      </c>
      <c r="D2348" t="s">
        <v>102</v>
      </c>
      <c r="E2348" t="s">
        <v>65</v>
      </c>
      <c r="F2348" s="1">
        <v>67</v>
      </c>
      <c r="G2348" t="s">
        <v>130</v>
      </c>
      <c r="H2348" t="s">
        <v>23</v>
      </c>
      <c r="I2348" t="s">
        <v>110</v>
      </c>
      <c r="J2348" t="s">
        <v>25</v>
      </c>
      <c r="K2348" s="2">
        <v>3.1</v>
      </c>
      <c r="L2348" t="s">
        <v>152</v>
      </c>
      <c r="M2348" t="s">
        <v>34</v>
      </c>
      <c r="N2348" t="s">
        <v>55</v>
      </c>
      <c r="O2348" t="s">
        <v>152</v>
      </c>
      <c r="P2348" t="s">
        <v>152</v>
      </c>
      <c r="Q2348" s="3">
        <v>46</v>
      </c>
      <c r="R2348" t="s">
        <v>59</v>
      </c>
      <c r="S2348" t="s">
        <v>30</v>
      </c>
    </row>
    <row r="2349" spans="1:19" x14ac:dyDescent="0.25">
      <c r="A2349">
        <v>2348</v>
      </c>
      <c r="B2349">
        <v>37</v>
      </c>
      <c r="C2349" t="s">
        <v>19</v>
      </c>
      <c r="D2349" t="s">
        <v>133</v>
      </c>
      <c r="E2349" t="s">
        <v>69</v>
      </c>
      <c r="F2349" s="1">
        <v>64</v>
      </c>
      <c r="G2349" t="s">
        <v>99</v>
      </c>
      <c r="H2349" t="s">
        <v>38</v>
      </c>
      <c r="I2349" t="s">
        <v>24</v>
      </c>
      <c r="J2349" t="s">
        <v>58</v>
      </c>
      <c r="K2349" s="2">
        <v>4.2</v>
      </c>
      <c r="L2349" t="s">
        <v>152</v>
      </c>
      <c r="M2349" t="s">
        <v>27</v>
      </c>
      <c r="N2349" t="s">
        <v>28</v>
      </c>
      <c r="O2349" t="s">
        <v>152</v>
      </c>
      <c r="P2349" t="s">
        <v>152</v>
      </c>
      <c r="Q2349" s="3">
        <v>46</v>
      </c>
      <c r="R2349" t="s">
        <v>35</v>
      </c>
      <c r="S2349" t="s">
        <v>97</v>
      </c>
    </row>
    <row r="2350" spans="1:19" x14ac:dyDescent="0.25">
      <c r="A2350">
        <v>2349</v>
      </c>
      <c r="B2350">
        <v>54</v>
      </c>
      <c r="C2350" t="s">
        <v>19</v>
      </c>
      <c r="D2350" t="s">
        <v>73</v>
      </c>
      <c r="E2350" t="s">
        <v>43</v>
      </c>
      <c r="F2350" s="1">
        <v>84</v>
      </c>
      <c r="G2350" t="s">
        <v>32</v>
      </c>
      <c r="H2350" t="s">
        <v>45</v>
      </c>
      <c r="I2350" t="s">
        <v>121</v>
      </c>
      <c r="J2350" t="s">
        <v>39</v>
      </c>
      <c r="K2350" s="2">
        <v>4.9000000000000004</v>
      </c>
      <c r="L2350" t="s">
        <v>152</v>
      </c>
      <c r="M2350" t="s">
        <v>46</v>
      </c>
      <c r="N2350" t="s">
        <v>47</v>
      </c>
      <c r="O2350" t="s">
        <v>152</v>
      </c>
      <c r="P2350" t="s">
        <v>152</v>
      </c>
      <c r="Q2350" s="3">
        <v>16</v>
      </c>
      <c r="R2350" t="s">
        <v>46</v>
      </c>
      <c r="S2350" t="s">
        <v>97</v>
      </c>
    </row>
    <row r="2351" spans="1:19" x14ac:dyDescent="0.25">
      <c r="A2351">
        <v>2350</v>
      </c>
      <c r="B2351">
        <v>65</v>
      </c>
      <c r="C2351" t="s">
        <v>19</v>
      </c>
      <c r="D2351" t="s">
        <v>20</v>
      </c>
      <c r="E2351" t="s">
        <v>21</v>
      </c>
      <c r="F2351" s="1">
        <v>34</v>
      </c>
      <c r="G2351" t="s">
        <v>85</v>
      </c>
      <c r="H2351" t="s">
        <v>45</v>
      </c>
      <c r="I2351" t="s">
        <v>121</v>
      </c>
      <c r="J2351" t="s">
        <v>58</v>
      </c>
      <c r="K2351" s="2">
        <v>3.9</v>
      </c>
      <c r="L2351" t="s">
        <v>152</v>
      </c>
      <c r="M2351" t="s">
        <v>29</v>
      </c>
      <c r="N2351" t="s">
        <v>55</v>
      </c>
      <c r="O2351" t="s">
        <v>152</v>
      </c>
      <c r="P2351" t="s">
        <v>152</v>
      </c>
      <c r="Q2351" s="3">
        <v>40</v>
      </c>
      <c r="R2351" t="s">
        <v>27</v>
      </c>
      <c r="S2351" t="s">
        <v>97</v>
      </c>
    </row>
    <row r="2352" spans="1:19" x14ac:dyDescent="0.25">
      <c r="A2352">
        <v>2351</v>
      </c>
      <c r="B2352">
        <v>57</v>
      </c>
      <c r="C2352" t="s">
        <v>19</v>
      </c>
      <c r="D2352" t="s">
        <v>73</v>
      </c>
      <c r="E2352" t="s">
        <v>43</v>
      </c>
      <c r="F2352" s="1">
        <v>26</v>
      </c>
      <c r="G2352" t="s">
        <v>78</v>
      </c>
      <c r="H2352" t="s">
        <v>45</v>
      </c>
      <c r="I2352" t="s">
        <v>49</v>
      </c>
      <c r="J2352" t="s">
        <v>25</v>
      </c>
      <c r="K2352" s="2">
        <v>4.2</v>
      </c>
      <c r="L2352" t="s">
        <v>152</v>
      </c>
      <c r="M2352" t="s">
        <v>34</v>
      </c>
      <c r="N2352" t="s">
        <v>40</v>
      </c>
      <c r="O2352" t="s">
        <v>152</v>
      </c>
      <c r="P2352" t="s">
        <v>152</v>
      </c>
      <c r="Q2352" s="3">
        <v>21</v>
      </c>
      <c r="R2352" t="s">
        <v>35</v>
      </c>
      <c r="S2352" t="s">
        <v>50</v>
      </c>
    </row>
    <row r="2353" spans="1:19" x14ac:dyDescent="0.25">
      <c r="A2353">
        <v>2352</v>
      </c>
      <c r="B2353">
        <v>38</v>
      </c>
      <c r="C2353" t="s">
        <v>19</v>
      </c>
      <c r="D2353" t="s">
        <v>31</v>
      </c>
      <c r="E2353" t="s">
        <v>21</v>
      </c>
      <c r="F2353" s="1">
        <v>50</v>
      </c>
      <c r="G2353" t="s">
        <v>83</v>
      </c>
      <c r="H2353" t="s">
        <v>38</v>
      </c>
      <c r="I2353" t="s">
        <v>109</v>
      </c>
      <c r="J2353" t="s">
        <v>58</v>
      </c>
      <c r="K2353" s="2">
        <v>4.9000000000000004</v>
      </c>
      <c r="L2353" t="s">
        <v>152</v>
      </c>
      <c r="M2353" t="s">
        <v>27</v>
      </c>
      <c r="N2353" t="s">
        <v>76</v>
      </c>
      <c r="O2353" t="s">
        <v>152</v>
      </c>
      <c r="P2353" t="s">
        <v>152</v>
      </c>
      <c r="Q2353" s="3">
        <v>25</v>
      </c>
      <c r="R2353" t="s">
        <v>46</v>
      </c>
      <c r="S2353" t="s">
        <v>77</v>
      </c>
    </row>
    <row r="2354" spans="1:19" x14ac:dyDescent="0.25">
      <c r="A2354">
        <v>2353</v>
      </c>
      <c r="B2354">
        <v>70</v>
      </c>
      <c r="C2354" t="s">
        <v>19</v>
      </c>
      <c r="D2354" t="s">
        <v>137</v>
      </c>
      <c r="E2354" t="s">
        <v>43</v>
      </c>
      <c r="F2354" s="1">
        <v>46</v>
      </c>
      <c r="G2354" t="s">
        <v>145</v>
      </c>
      <c r="H2354" t="s">
        <v>45</v>
      </c>
      <c r="I2354" t="s">
        <v>134</v>
      </c>
      <c r="J2354" t="s">
        <v>58</v>
      </c>
      <c r="K2354" s="2">
        <v>2.8</v>
      </c>
      <c r="L2354" t="s">
        <v>152</v>
      </c>
      <c r="M2354" t="s">
        <v>27</v>
      </c>
      <c r="N2354" t="s">
        <v>76</v>
      </c>
      <c r="O2354" t="s">
        <v>152</v>
      </c>
      <c r="P2354" t="s">
        <v>152</v>
      </c>
      <c r="Q2354" s="3">
        <v>25</v>
      </c>
      <c r="R2354" t="s">
        <v>34</v>
      </c>
      <c r="S2354" t="s">
        <v>60</v>
      </c>
    </row>
    <row r="2355" spans="1:19" x14ac:dyDescent="0.25">
      <c r="A2355">
        <v>2354</v>
      </c>
      <c r="B2355">
        <v>56</v>
      </c>
      <c r="C2355" t="s">
        <v>19</v>
      </c>
      <c r="D2355" t="s">
        <v>68</v>
      </c>
      <c r="E2355" t="s">
        <v>69</v>
      </c>
      <c r="F2355" s="1">
        <v>71</v>
      </c>
      <c r="G2355" t="s">
        <v>57</v>
      </c>
      <c r="H2355" t="s">
        <v>45</v>
      </c>
      <c r="I2355" t="s">
        <v>53</v>
      </c>
      <c r="J2355" t="s">
        <v>58</v>
      </c>
      <c r="K2355" s="2">
        <v>4.0999999999999996</v>
      </c>
      <c r="L2355" t="s">
        <v>152</v>
      </c>
      <c r="M2355" t="s">
        <v>27</v>
      </c>
      <c r="N2355" t="s">
        <v>55</v>
      </c>
      <c r="O2355" t="s">
        <v>152</v>
      </c>
      <c r="P2355" t="s">
        <v>152</v>
      </c>
      <c r="Q2355" s="3">
        <v>25</v>
      </c>
      <c r="R2355" t="s">
        <v>59</v>
      </c>
      <c r="S2355" t="s">
        <v>97</v>
      </c>
    </row>
    <row r="2356" spans="1:19" x14ac:dyDescent="0.25">
      <c r="A2356">
        <v>2355</v>
      </c>
      <c r="B2356">
        <v>56</v>
      </c>
      <c r="C2356" t="s">
        <v>19</v>
      </c>
      <c r="D2356" t="s">
        <v>20</v>
      </c>
      <c r="E2356" t="s">
        <v>21</v>
      </c>
      <c r="F2356" s="1">
        <v>78</v>
      </c>
      <c r="G2356" t="s">
        <v>150</v>
      </c>
      <c r="H2356" t="s">
        <v>45</v>
      </c>
      <c r="I2356" t="s">
        <v>144</v>
      </c>
      <c r="J2356" t="s">
        <v>54</v>
      </c>
      <c r="K2356" s="2">
        <v>4.8</v>
      </c>
      <c r="L2356" t="s">
        <v>152</v>
      </c>
      <c r="M2356" t="s">
        <v>35</v>
      </c>
      <c r="N2356" t="s">
        <v>47</v>
      </c>
      <c r="O2356" t="s">
        <v>152</v>
      </c>
      <c r="P2356" t="s">
        <v>152</v>
      </c>
      <c r="Q2356" s="3">
        <v>27</v>
      </c>
      <c r="R2356" t="s">
        <v>29</v>
      </c>
      <c r="S2356" t="s">
        <v>88</v>
      </c>
    </row>
    <row r="2357" spans="1:19" x14ac:dyDescent="0.25">
      <c r="A2357">
        <v>2356</v>
      </c>
      <c r="B2357">
        <v>22</v>
      </c>
      <c r="C2357" t="s">
        <v>19</v>
      </c>
      <c r="D2357" t="s">
        <v>87</v>
      </c>
      <c r="E2357" t="s">
        <v>21</v>
      </c>
      <c r="F2357" s="1">
        <v>35</v>
      </c>
      <c r="G2357" t="s">
        <v>122</v>
      </c>
      <c r="H2357" t="s">
        <v>38</v>
      </c>
      <c r="I2357" t="s">
        <v>75</v>
      </c>
      <c r="J2357" t="s">
        <v>25</v>
      </c>
      <c r="K2357" s="2">
        <v>4.0999999999999996</v>
      </c>
      <c r="L2357" t="s">
        <v>152</v>
      </c>
      <c r="M2357" t="s">
        <v>46</v>
      </c>
      <c r="N2357" t="s">
        <v>47</v>
      </c>
      <c r="O2357" t="s">
        <v>152</v>
      </c>
      <c r="P2357" t="s">
        <v>152</v>
      </c>
      <c r="Q2357" s="3">
        <v>12</v>
      </c>
      <c r="R2357" t="s">
        <v>35</v>
      </c>
      <c r="S2357" t="s">
        <v>88</v>
      </c>
    </row>
    <row r="2358" spans="1:19" x14ac:dyDescent="0.25">
      <c r="A2358">
        <v>2357</v>
      </c>
      <c r="B2358">
        <v>57</v>
      </c>
      <c r="C2358" t="s">
        <v>19</v>
      </c>
      <c r="D2358" t="s">
        <v>132</v>
      </c>
      <c r="E2358" t="s">
        <v>69</v>
      </c>
      <c r="F2358" s="1">
        <v>58</v>
      </c>
      <c r="G2358" t="s">
        <v>57</v>
      </c>
      <c r="H2358" t="s">
        <v>45</v>
      </c>
      <c r="I2358" t="s">
        <v>24</v>
      </c>
      <c r="J2358" t="s">
        <v>54</v>
      </c>
      <c r="K2358" s="2">
        <v>3</v>
      </c>
      <c r="L2358" t="s">
        <v>152</v>
      </c>
      <c r="M2358" t="s">
        <v>34</v>
      </c>
      <c r="N2358" t="s">
        <v>40</v>
      </c>
      <c r="O2358" t="s">
        <v>152</v>
      </c>
      <c r="P2358" t="s">
        <v>152</v>
      </c>
      <c r="Q2358" s="3">
        <v>27</v>
      </c>
      <c r="R2358" t="s">
        <v>59</v>
      </c>
      <c r="S2358" t="s">
        <v>60</v>
      </c>
    </row>
    <row r="2359" spans="1:19" x14ac:dyDescent="0.25">
      <c r="A2359">
        <v>2358</v>
      </c>
      <c r="B2359">
        <v>53</v>
      </c>
      <c r="C2359" t="s">
        <v>19</v>
      </c>
      <c r="D2359" t="s">
        <v>56</v>
      </c>
      <c r="E2359" t="s">
        <v>21</v>
      </c>
      <c r="F2359" s="1">
        <v>67</v>
      </c>
      <c r="G2359" t="s">
        <v>151</v>
      </c>
      <c r="H2359" t="s">
        <v>23</v>
      </c>
      <c r="I2359" t="s">
        <v>109</v>
      </c>
      <c r="J2359" t="s">
        <v>58</v>
      </c>
      <c r="K2359" s="2">
        <v>4.2</v>
      </c>
      <c r="L2359" t="s">
        <v>152</v>
      </c>
      <c r="M2359" t="s">
        <v>34</v>
      </c>
      <c r="N2359" t="s">
        <v>72</v>
      </c>
      <c r="O2359" t="s">
        <v>152</v>
      </c>
      <c r="P2359" t="s">
        <v>152</v>
      </c>
      <c r="Q2359" s="3">
        <v>40</v>
      </c>
      <c r="R2359" t="s">
        <v>27</v>
      </c>
      <c r="S2359" t="s">
        <v>77</v>
      </c>
    </row>
    <row r="2360" spans="1:19" x14ac:dyDescent="0.25">
      <c r="A2360">
        <v>2359</v>
      </c>
      <c r="B2360">
        <v>53</v>
      </c>
      <c r="C2360" t="s">
        <v>19</v>
      </c>
      <c r="D2360" t="s">
        <v>31</v>
      </c>
      <c r="E2360" t="s">
        <v>21</v>
      </c>
      <c r="F2360" s="1">
        <v>93</v>
      </c>
      <c r="G2360" t="s">
        <v>105</v>
      </c>
      <c r="H2360" t="s">
        <v>23</v>
      </c>
      <c r="I2360" t="s">
        <v>71</v>
      </c>
      <c r="J2360" t="s">
        <v>39</v>
      </c>
      <c r="K2360" s="2">
        <v>3.8</v>
      </c>
      <c r="L2360" t="s">
        <v>152</v>
      </c>
      <c r="M2360" t="s">
        <v>34</v>
      </c>
      <c r="N2360" t="s">
        <v>55</v>
      </c>
      <c r="O2360" t="s">
        <v>152</v>
      </c>
      <c r="P2360" t="s">
        <v>152</v>
      </c>
      <c r="Q2360" s="3">
        <v>38</v>
      </c>
      <c r="R2360" t="s">
        <v>27</v>
      </c>
      <c r="S2360" t="s">
        <v>60</v>
      </c>
    </row>
    <row r="2361" spans="1:19" x14ac:dyDescent="0.25">
      <c r="A2361">
        <v>2360</v>
      </c>
      <c r="B2361">
        <v>19</v>
      </c>
      <c r="C2361" t="s">
        <v>19</v>
      </c>
      <c r="D2361" t="s">
        <v>119</v>
      </c>
      <c r="E2361" t="s">
        <v>69</v>
      </c>
      <c r="F2361" s="1">
        <v>81</v>
      </c>
      <c r="G2361" t="s">
        <v>138</v>
      </c>
      <c r="H2361" t="s">
        <v>38</v>
      </c>
      <c r="I2361" t="s">
        <v>81</v>
      </c>
      <c r="J2361" t="s">
        <v>39</v>
      </c>
      <c r="K2361" s="2">
        <v>3.3</v>
      </c>
      <c r="L2361" t="s">
        <v>152</v>
      </c>
      <c r="M2361" t="s">
        <v>29</v>
      </c>
      <c r="N2361" t="s">
        <v>72</v>
      </c>
      <c r="O2361" t="s">
        <v>152</v>
      </c>
      <c r="P2361" t="s">
        <v>152</v>
      </c>
      <c r="Q2361" s="3">
        <v>44</v>
      </c>
      <c r="R2361" t="s">
        <v>34</v>
      </c>
      <c r="S2361" t="s">
        <v>97</v>
      </c>
    </row>
    <row r="2362" spans="1:19" x14ac:dyDescent="0.25">
      <c r="A2362">
        <v>2361</v>
      </c>
      <c r="B2362">
        <v>49</v>
      </c>
      <c r="C2362" t="s">
        <v>19</v>
      </c>
      <c r="D2362" t="s">
        <v>68</v>
      </c>
      <c r="E2362" t="s">
        <v>69</v>
      </c>
      <c r="F2362" s="1">
        <v>80</v>
      </c>
      <c r="G2362" t="s">
        <v>85</v>
      </c>
      <c r="H2362" t="s">
        <v>23</v>
      </c>
      <c r="I2362" t="s">
        <v>67</v>
      </c>
      <c r="J2362" t="s">
        <v>58</v>
      </c>
      <c r="K2362" s="2">
        <v>4.7</v>
      </c>
      <c r="L2362" t="s">
        <v>152</v>
      </c>
      <c r="M2362" t="s">
        <v>59</v>
      </c>
      <c r="N2362" t="s">
        <v>72</v>
      </c>
      <c r="O2362" t="s">
        <v>152</v>
      </c>
      <c r="P2362" t="s">
        <v>152</v>
      </c>
      <c r="Q2362" s="3">
        <v>27</v>
      </c>
      <c r="R2362" t="s">
        <v>29</v>
      </c>
      <c r="S2362" t="s">
        <v>97</v>
      </c>
    </row>
    <row r="2363" spans="1:19" x14ac:dyDescent="0.25">
      <c r="A2363">
        <v>2362</v>
      </c>
      <c r="B2363">
        <v>44</v>
      </c>
      <c r="C2363" t="s">
        <v>19</v>
      </c>
      <c r="D2363" t="s">
        <v>119</v>
      </c>
      <c r="E2363" t="s">
        <v>69</v>
      </c>
      <c r="F2363" s="1">
        <v>64</v>
      </c>
      <c r="G2363" t="s">
        <v>90</v>
      </c>
      <c r="H2363" t="s">
        <v>45</v>
      </c>
      <c r="I2363" t="s">
        <v>24</v>
      </c>
      <c r="J2363" t="s">
        <v>39</v>
      </c>
      <c r="K2363" s="2">
        <v>4.3</v>
      </c>
      <c r="L2363" t="s">
        <v>152</v>
      </c>
      <c r="M2363" t="s">
        <v>35</v>
      </c>
      <c r="N2363" t="s">
        <v>72</v>
      </c>
      <c r="O2363" t="s">
        <v>152</v>
      </c>
      <c r="P2363" t="s">
        <v>152</v>
      </c>
      <c r="Q2363" s="3">
        <v>30</v>
      </c>
      <c r="R2363" t="s">
        <v>27</v>
      </c>
      <c r="S2363" t="s">
        <v>97</v>
      </c>
    </row>
    <row r="2364" spans="1:19" x14ac:dyDescent="0.25">
      <c r="A2364">
        <v>2363</v>
      </c>
      <c r="B2364">
        <v>27</v>
      </c>
      <c r="C2364" t="s">
        <v>19</v>
      </c>
      <c r="D2364" t="s">
        <v>36</v>
      </c>
      <c r="E2364" t="s">
        <v>21</v>
      </c>
      <c r="F2364" s="1">
        <v>41</v>
      </c>
      <c r="G2364" t="s">
        <v>141</v>
      </c>
      <c r="H2364" t="s">
        <v>45</v>
      </c>
      <c r="I2364" t="s">
        <v>110</v>
      </c>
      <c r="J2364" t="s">
        <v>58</v>
      </c>
      <c r="K2364" s="2">
        <v>2.7</v>
      </c>
      <c r="L2364" t="s">
        <v>152</v>
      </c>
      <c r="M2364" t="s">
        <v>29</v>
      </c>
      <c r="N2364" t="s">
        <v>55</v>
      </c>
      <c r="O2364" t="s">
        <v>152</v>
      </c>
      <c r="P2364" t="s">
        <v>152</v>
      </c>
      <c r="Q2364" s="3">
        <v>24</v>
      </c>
      <c r="R2364" t="s">
        <v>27</v>
      </c>
      <c r="S2364" t="s">
        <v>88</v>
      </c>
    </row>
    <row r="2365" spans="1:19" x14ac:dyDescent="0.25">
      <c r="A2365">
        <v>2364</v>
      </c>
      <c r="B2365">
        <v>60</v>
      </c>
      <c r="C2365" t="s">
        <v>19</v>
      </c>
      <c r="D2365" t="s">
        <v>125</v>
      </c>
      <c r="E2365" t="s">
        <v>21</v>
      </c>
      <c r="F2365" s="1">
        <v>79</v>
      </c>
      <c r="G2365" t="s">
        <v>138</v>
      </c>
      <c r="H2365" t="s">
        <v>92</v>
      </c>
      <c r="I2365" t="s">
        <v>71</v>
      </c>
      <c r="J2365" t="s">
        <v>25</v>
      </c>
      <c r="K2365" s="2">
        <v>4.2</v>
      </c>
      <c r="L2365" t="s">
        <v>152</v>
      </c>
      <c r="M2365" t="s">
        <v>46</v>
      </c>
      <c r="N2365" t="s">
        <v>28</v>
      </c>
      <c r="O2365" t="s">
        <v>152</v>
      </c>
      <c r="P2365" t="s">
        <v>152</v>
      </c>
      <c r="Q2365" s="3">
        <v>38</v>
      </c>
      <c r="R2365" t="s">
        <v>35</v>
      </c>
      <c r="S2365" t="s">
        <v>77</v>
      </c>
    </row>
    <row r="2366" spans="1:19" x14ac:dyDescent="0.25">
      <c r="A2366">
        <v>2365</v>
      </c>
      <c r="B2366">
        <v>62</v>
      </c>
      <c r="C2366" t="s">
        <v>19</v>
      </c>
      <c r="D2366" t="s">
        <v>89</v>
      </c>
      <c r="E2366" t="s">
        <v>69</v>
      </c>
      <c r="F2366" s="1">
        <v>60</v>
      </c>
      <c r="G2366" t="s">
        <v>91</v>
      </c>
      <c r="H2366" t="s">
        <v>23</v>
      </c>
      <c r="I2366" t="s">
        <v>33</v>
      </c>
      <c r="J2366" t="s">
        <v>25</v>
      </c>
      <c r="K2366" s="2">
        <v>4.2</v>
      </c>
      <c r="L2366" t="s">
        <v>152</v>
      </c>
      <c r="M2366" t="s">
        <v>27</v>
      </c>
      <c r="N2366" t="s">
        <v>40</v>
      </c>
      <c r="O2366" t="s">
        <v>152</v>
      </c>
      <c r="P2366" t="s">
        <v>152</v>
      </c>
      <c r="Q2366" s="3">
        <v>4</v>
      </c>
      <c r="R2366" t="s">
        <v>46</v>
      </c>
      <c r="S2366" t="s">
        <v>60</v>
      </c>
    </row>
    <row r="2367" spans="1:19" x14ac:dyDescent="0.25">
      <c r="A2367">
        <v>2366</v>
      </c>
      <c r="B2367">
        <v>52</v>
      </c>
      <c r="C2367" t="s">
        <v>19</v>
      </c>
      <c r="D2367" t="s">
        <v>51</v>
      </c>
      <c r="E2367" t="s">
        <v>43</v>
      </c>
      <c r="F2367" s="1">
        <v>91</v>
      </c>
      <c r="G2367" t="s">
        <v>52</v>
      </c>
      <c r="H2367" t="s">
        <v>38</v>
      </c>
      <c r="I2367" t="s">
        <v>100</v>
      </c>
      <c r="J2367" t="s">
        <v>25</v>
      </c>
      <c r="K2367" s="2">
        <v>2.5</v>
      </c>
      <c r="L2367" t="s">
        <v>152</v>
      </c>
      <c r="M2367" t="s">
        <v>35</v>
      </c>
      <c r="N2367" t="s">
        <v>47</v>
      </c>
      <c r="O2367" t="s">
        <v>152</v>
      </c>
      <c r="P2367" t="s">
        <v>152</v>
      </c>
      <c r="Q2367" s="3">
        <v>32</v>
      </c>
      <c r="R2367" t="s">
        <v>29</v>
      </c>
      <c r="S2367" t="s">
        <v>88</v>
      </c>
    </row>
    <row r="2368" spans="1:19" x14ac:dyDescent="0.25">
      <c r="A2368">
        <v>2367</v>
      </c>
      <c r="B2368">
        <v>30</v>
      </c>
      <c r="C2368" t="s">
        <v>19</v>
      </c>
      <c r="D2368" t="s">
        <v>73</v>
      </c>
      <c r="E2368" t="s">
        <v>43</v>
      </c>
      <c r="F2368" s="1">
        <v>66</v>
      </c>
      <c r="G2368" t="s">
        <v>130</v>
      </c>
      <c r="H2368" t="s">
        <v>23</v>
      </c>
      <c r="I2368" t="s">
        <v>110</v>
      </c>
      <c r="J2368" t="s">
        <v>25</v>
      </c>
      <c r="K2368" s="2">
        <v>3.6</v>
      </c>
      <c r="L2368" t="s">
        <v>152</v>
      </c>
      <c r="M2368" t="s">
        <v>46</v>
      </c>
      <c r="N2368" t="s">
        <v>28</v>
      </c>
      <c r="O2368" t="s">
        <v>152</v>
      </c>
      <c r="P2368" t="s">
        <v>152</v>
      </c>
      <c r="Q2368" s="3">
        <v>32</v>
      </c>
      <c r="R2368" t="s">
        <v>27</v>
      </c>
      <c r="S2368" t="s">
        <v>30</v>
      </c>
    </row>
    <row r="2369" spans="1:19" x14ac:dyDescent="0.25">
      <c r="A2369">
        <v>2368</v>
      </c>
      <c r="B2369">
        <v>66</v>
      </c>
      <c r="C2369" t="s">
        <v>19</v>
      </c>
      <c r="D2369" t="s">
        <v>125</v>
      </c>
      <c r="E2369" t="s">
        <v>21</v>
      </c>
      <c r="F2369" s="1">
        <v>85</v>
      </c>
      <c r="G2369" t="s">
        <v>114</v>
      </c>
      <c r="H2369" t="s">
        <v>23</v>
      </c>
      <c r="I2369" t="s">
        <v>96</v>
      </c>
      <c r="J2369" t="s">
        <v>25</v>
      </c>
      <c r="K2369" s="2">
        <v>3.4</v>
      </c>
      <c r="L2369" t="s">
        <v>152</v>
      </c>
      <c r="M2369" t="s">
        <v>34</v>
      </c>
      <c r="N2369" t="s">
        <v>55</v>
      </c>
      <c r="O2369" t="s">
        <v>152</v>
      </c>
      <c r="P2369" t="s">
        <v>152</v>
      </c>
      <c r="Q2369" s="3">
        <v>28</v>
      </c>
      <c r="R2369" t="s">
        <v>34</v>
      </c>
      <c r="S2369" t="s">
        <v>77</v>
      </c>
    </row>
    <row r="2370" spans="1:19" x14ac:dyDescent="0.25">
      <c r="A2370">
        <v>2369</v>
      </c>
      <c r="B2370">
        <v>29</v>
      </c>
      <c r="C2370" t="s">
        <v>19</v>
      </c>
      <c r="D2370" t="s">
        <v>89</v>
      </c>
      <c r="E2370" t="s">
        <v>69</v>
      </c>
      <c r="F2370" s="1">
        <v>38</v>
      </c>
      <c r="G2370" t="s">
        <v>127</v>
      </c>
      <c r="H2370" t="s">
        <v>45</v>
      </c>
      <c r="I2370" t="s">
        <v>93</v>
      </c>
      <c r="J2370" t="s">
        <v>54</v>
      </c>
      <c r="K2370" s="2">
        <v>3.3</v>
      </c>
      <c r="L2370" t="s">
        <v>152</v>
      </c>
      <c r="M2370" t="s">
        <v>27</v>
      </c>
      <c r="N2370" t="s">
        <v>55</v>
      </c>
      <c r="O2370" t="s">
        <v>152</v>
      </c>
      <c r="P2370" t="s">
        <v>152</v>
      </c>
      <c r="Q2370" s="3">
        <v>6</v>
      </c>
      <c r="R2370" t="s">
        <v>59</v>
      </c>
      <c r="S2370" t="s">
        <v>97</v>
      </c>
    </row>
    <row r="2371" spans="1:19" x14ac:dyDescent="0.25">
      <c r="A2371">
        <v>2370</v>
      </c>
      <c r="B2371">
        <v>24</v>
      </c>
      <c r="C2371" t="s">
        <v>19</v>
      </c>
      <c r="D2371" t="s">
        <v>31</v>
      </c>
      <c r="E2371" t="s">
        <v>21</v>
      </c>
      <c r="F2371" s="1">
        <v>23</v>
      </c>
      <c r="G2371" t="s">
        <v>129</v>
      </c>
      <c r="H2371" t="s">
        <v>45</v>
      </c>
      <c r="I2371" t="s">
        <v>109</v>
      </c>
      <c r="J2371" t="s">
        <v>25</v>
      </c>
      <c r="K2371" s="2">
        <v>4.5999999999999996</v>
      </c>
      <c r="L2371" t="s">
        <v>152</v>
      </c>
      <c r="M2371" t="s">
        <v>59</v>
      </c>
      <c r="N2371" t="s">
        <v>55</v>
      </c>
      <c r="O2371" t="s">
        <v>152</v>
      </c>
      <c r="P2371" t="s">
        <v>152</v>
      </c>
      <c r="Q2371" s="3">
        <v>24</v>
      </c>
      <c r="R2371" t="s">
        <v>46</v>
      </c>
      <c r="S2371" t="s">
        <v>88</v>
      </c>
    </row>
    <row r="2372" spans="1:19" x14ac:dyDescent="0.25">
      <c r="A2372">
        <v>2371</v>
      </c>
      <c r="B2372">
        <v>51</v>
      </c>
      <c r="C2372" t="s">
        <v>19</v>
      </c>
      <c r="D2372" t="s">
        <v>73</v>
      </c>
      <c r="E2372" t="s">
        <v>43</v>
      </c>
      <c r="F2372" s="1">
        <v>71</v>
      </c>
      <c r="G2372" t="s">
        <v>120</v>
      </c>
      <c r="H2372" t="s">
        <v>45</v>
      </c>
      <c r="I2372" t="s">
        <v>94</v>
      </c>
      <c r="J2372" t="s">
        <v>39</v>
      </c>
      <c r="K2372" s="2">
        <v>3.9</v>
      </c>
      <c r="L2372" t="s">
        <v>152</v>
      </c>
      <c r="M2372" t="s">
        <v>59</v>
      </c>
      <c r="N2372" t="s">
        <v>76</v>
      </c>
      <c r="O2372" t="s">
        <v>152</v>
      </c>
      <c r="P2372" t="s">
        <v>152</v>
      </c>
      <c r="Q2372" s="3">
        <v>38</v>
      </c>
      <c r="R2372" t="s">
        <v>29</v>
      </c>
      <c r="S2372" t="s">
        <v>41</v>
      </c>
    </row>
    <row r="2373" spans="1:19" x14ac:dyDescent="0.25">
      <c r="A2373">
        <v>2372</v>
      </c>
      <c r="B2373">
        <v>67</v>
      </c>
      <c r="C2373" t="s">
        <v>19</v>
      </c>
      <c r="D2373" t="s">
        <v>125</v>
      </c>
      <c r="E2373" t="s">
        <v>21</v>
      </c>
      <c r="F2373" s="1">
        <v>25</v>
      </c>
      <c r="G2373" t="s">
        <v>116</v>
      </c>
      <c r="H2373" t="s">
        <v>45</v>
      </c>
      <c r="I2373" t="s">
        <v>63</v>
      </c>
      <c r="J2373" t="s">
        <v>25</v>
      </c>
      <c r="K2373" s="2">
        <v>3.7</v>
      </c>
      <c r="L2373" t="s">
        <v>152</v>
      </c>
      <c r="M2373" t="s">
        <v>46</v>
      </c>
      <c r="N2373" t="s">
        <v>47</v>
      </c>
      <c r="O2373" t="s">
        <v>152</v>
      </c>
      <c r="P2373" t="s">
        <v>152</v>
      </c>
      <c r="Q2373" s="3">
        <v>28</v>
      </c>
      <c r="R2373" t="s">
        <v>59</v>
      </c>
      <c r="S2373" t="s">
        <v>50</v>
      </c>
    </row>
    <row r="2374" spans="1:19" x14ac:dyDescent="0.25">
      <c r="A2374">
        <v>2373</v>
      </c>
      <c r="B2374">
        <v>50</v>
      </c>
      <c r="C2374" t="s">
        <v>19</v>
      </c>
      <c r="D2374" t="s">
        <v>137</v>
      </c>
      <c r="E2374" t="s">
        <v>43</v>
      </c>
      <c r="F2374" s="1">
        <v>39</v>
      </c>
      <c r="G2374" t="s">
        <v>90</v>
      </c>
      <c r="H2374" t="s">
        <v>92</v>
      </c>
      <c r="I2374" t="s">
        <v>67</v>
      </c>
      <c r="J2374" t="s">
        <v>39</v>
      </c>
      <c r="K2374" s="2">
        <v>3.1</v>
      </c>
      <c r="L2374" t="s">
        <v>152</v>
      </c>
      <c r="M2374" t="s">
        <v>59</v>
      </c>
      <c r="N2374" t="s">
        <v>28</v>
      </c>
      <c r="O2374" t="s">
        <v>152</v>
      </c>
      <c r="P2374" t="s">
        <v>152</v>
      </c>
      <c r="Q2374" s="3">
        <v>9</v>
      </c>
      <c r="R2374" t="s">
        <v>46</v>
      </c>
      <c r="S2374" t="s">
        <v>30</v>
      </c>
    </row>
    <row r="2375" spans="1:19" x14ac:dyDescent="0.25">
      <c r="A2375">
        <v>2374</v>
      </c>
      <c r="B2375">
        <v>37</v>
      </c>
      <c r="C2375" t="s">
        <v>19</v>
      </c>
      <c r="D2375" t="s">
        <v>104</v>
      </c>
      <c r="E2375" t="s">
        <v>21</v>
      </c>
      <c r="F2375" s="1">
        <v>20</v>
      </c>
      <c r="G2375" t="s">
        <v>151</v>
      </c>
      <c r="H2375" t="s">
        <v>45</v>
      </c>
      <c r="I2375" t="s">
        <v>24</v>
      </c>
      <c r="J2375" t="s">
        <v>39</v>
      </c>
      <c r="K2375" s="2">
        <v>4.9000000000000004</v>
      </c>
      <c r="L2375" t="s">
        <v>152</v>
      </c>
      <c r="M2375" t="s">
        <v>34</v>
      </c>
      <c r="N2375" t="s">
        <v>28</v>
      </c>
      <c r="O2375" t="s">
        <v>152</v>
      </c>
      <c r="P2375" t="s">
        <v>152</v>
      </c>
      <c r="Q2375" s="3">
        <v>21</v>
      </c>
      <c r="R2375" t="s">
        <v>59</v>
      </c>
      <c r="S2375" t="s">
        <v>97</v>
      </c>
    </row>
    <row r="2376" spans="1:19" x14ac:dyDescent="0.25">
      <c r="A2376">
        <v>2375</v>
      </c>
      <c r="B2376">
        <v>69</v>
      </c>
      <c r="C2376" t="s">
        <v>19</v>
      </c>
      <c r="D2376" t="s">
        <v>143</v>
      </c>
      <c r="E2376" t="s">
        <v>69</v>
      </c>
      <c r="F2376" s="1">
        <v>73</v>
      </c>
      <c r="G2376" t="s">
        <v>149</v>
      </c>
      <c r="H2376" t="s">
        <v>23</v>
      </c>
      <c r="I2376" t="s">
        <v>100</v>
      </c>
      <c r="J2376" t="s">
        <v>25</v>
      </c>
      <c r="K2376" s="2">
        <v>4.7</v>
      </c>
      <c r="L2376" t="s">
        <v>152</v>
      </c>
      <c r="M2376" t="s">
        <v>35</v>
      </c>
      <c r="N2376" t="s">
        <v>55</v>
      </c>
      <c r="O2376" t="s">
        <v>152</v>
      </c>
      <c r="P2376" t="s">
        <v>152</v>
      </c>
      <c r="Q2376" s="3">
        <v>31</v>
      </c>
      <c r="R2376" t="s">
        <v>59</v>
      </c>
      <c r="S2376" t="s">
        <v>88</v>
      </c>
    </row>
    <row r="2377" spans="1:19" x14ac:dyDescent="0.25">
      <c r="A2377">
        <v>2376</v>
      </c>
      <c r="B2377">
        <v>60</v>
      </c>
      <c r="C2377" t="s">
        <v>19</v>
      </c>
      <c r="D2377" t="s">
        <v>132</v>
      </c>
      <c r="E2377" t="s">
        <v>69</v>
      </c>
      <c r="F2377" s="1">
        <v>63</v>
      </c>
      <c r="G2377" t="s">
        <v>141</v>
      </c>
      <c r="H2377" t="s">
        <v>23</v>
      </c>
      <c r="I2377" t="s">
        <v>100</v>
      </c>
      <c r="J2377" t="s">
        <v>58</v>
      </c>
      <c r="K2377" s="2">
        <v>2.9</v>
      </c>
      <c r="L2377" t="s">
        <v>152</v>
      </c>
      <c r="M2377" t="s">
        <v>46</v>
      </c>
      <c r="N2377" t="s">
        <v>47</v>
      </c>
      <c r="O2377" t="s">
        <v>152</v>
      </c>
      <c r="P2377" t="s">
        <v>152</v>
      </c>
      <c r="Q2377" s="3">
        <v>18</v>
      </c>
      <c r="R2377" t="s">
        <v>27</v>
      </c>
      <c r="S2377" t="s">
        <v>60</v>
      </c>
    </row>
    <row r="2378" spans="1:19" x14ac:dyDescent="0.25">
      <c r="A2378">
        <v>2377</v>
      </c>
      <c r="B2378">
        <v>21</v>
      </c>
      <c r="C2378" t="s">
        <v>19</v>
      </c>
      <c r="D2378" t="s">
        <v>143</v>
      </c>
      <c r="E2378" t="s">
        <v>69</v>
      </c>
      <c r="F2378" s="1">
        <v>94</v>
      </c>
      <c r="G2378" t="s">
        <v>122</v>
      </c>
      <c r="H2378" t="s">
        <v>92</v>
      </c>
      <c r="I2378" t="s">
        <v>109</v>
      </c>
      <c r="J2378" t="s">
        <v>39</v>
      </c>
      <c r="K2378" s="2">
        <v>4.0999999999999996</v>
      </c>
      <c r="L2378" t="s">
        <v>152</v>
      </c>
      <c r="M2378" t="s">
        <v>29</v>
      </c>
      <c r="N2378" t="s">
        <v>28</v>
      </c>
      <c r="O2378" t="s">
        <v>152</v>
      </c>
      <c r="P2378" t="s">
        <v>152</v>
      </c>
      <c r="Q2378" s="3">
        <v>5</v>
      </c>
      <c r="R2378" t="s">
        <v>35</v>
      </c>
      <c r="S2378" t="s">
        <v>41</v>
      </c>
    </row>
    <row r="2379" spans="1:19" x14ac:dyDescent="0.25">
      <c r="A2379">
        <v>2378</v>
      </c>
      <c r="B2379">
        <v>44</v>
      </c>
      <c r="C2379" t="s">
        <v>19</v>
      </c>
      <c r="D2379" t="s">
        <v>20</v>
      </c>
      <c r="E2379" t="s">
        <v>21</v>
      </c>
      <c r="F2379" s="1">
        <v>94</v>
      </c>
      <c r="G2379" t="s">
        <v>147</v>
      </c>
      <c r="H2379" t="s">
        <v>23</v>
      </c>
      <c r="I2379" t="s">
        <v>136</v>
      </c>
      <c r="J2379" t="s">
        <v>58</v>
      </c>
      <c r="K2379" s="2">
        <v>4</v>
      </c>
      <c r="L2379" t="s">
        <v>152</v>
      </c>
      <c r="M2379" t="s">
        <v>29</v>
      </c>
      <c r="N2379" t="s">
        <v>47</v>
      </c>
      <c r="O2379" t="s">
        <v>152</v>
      </c>
      <c r="P2379" t="s">
        <v>152</v>
      </c>
      <c r="Q2379" s="3">
        <v>22</v>
      </c>
      <c r="R2379" t="s">
        <v>35</v>
      </c>
      <c r="S2379" t="s">
        <v>50</v>
      </c>
    </row>
    <row r="2380" spans="1:19" x14ac:dyDescent="0.25">
      <c r="A2380">
        <v>2379</v>
      </c>
      <c r="B2380">
        <v>26</v>
      </c>
      <c r="C2380" t="s">
        <v>19</v>
      </c>
      <c r="D2380" t="s">
        <v>119</v>
      </c>
      <c r="E2380" t="s">
        <v>69</v>
      </c>
      <c r="F2380" s="1">
        <v>71</v>
      </c>
      <c r="G2380" t="s">
        <v>83</v>
      </c>
      <c r="H2380" t="s">
        <v>23</v>
      </c>
      <c r="I2380" t="s">
        <v>86</v>
      </c>
      <c r="J2380" t="s">
        <v>54</v>
      </c>
      <c r="K2380" s="2">
        <v>2.7</v>
      </c>
      <c r="L2380" t="s">
        <v>152</v>
      </c>
      <c r="M2380" t="s">
        <v>59</v>
      </c>
      <c r="N2380" t="s">
        <v>76</v>
      </c>
      <c r="O2380" t="s">
        <v>152</v>
      </c>
      <c r="P2380" t="s">
        <v>152</v>
      </c>
      <c r="Q2380" s="3">
        <v>37</v>
      </c>
      <c r="R2380" t="s">
        <v>46</v>
      </c>
      <c r="S2380" t="s">
        <v>77</v>
      </c>
    </row>
    <row r="2381" spans="1:19" x14ac:dyDescent="0.25">
      <c r="A2381">
        <v>2380</v>
      </c>
      <c r="B2381">
        <v>40</v>
      </c>
      <c r="C2381" t="s">
        <v>19</v>
      </c>
      <c r="D2381" t="s">
        <v>124</v>
      </c>
      <c r="E2381" t="s">
        <v>69</v>
      </c>
      <c r="F2381" s="1">
        <v>77</v>
      </c>
      <c r="G2381" t="s">
        <v>147</v>
      </c>
      <c r="H2381" t="s">
        <v>45</v>
      </c>
      <c r="I2381" t="s">
        <v>100</v>
      </c>
      <c r="J2381" t="s">
        <v>39</v>
      </c>
      <c r="K2381" s="2">
        <v>4</v>
      </c>
      <c r="L2381" t="s">
        <v>152</v>
      </c>
      <c r="M2381" t="s">
        <v>27</v>
      </c>
      <c r="N2381" t="s">
        <v>72</v>
      </c>
      <c r="O2381" t="s">
        <v>152</v>
      </c>
      <c r="P2381" t="s">
        <v>152</v>
      </c>
      <c r="Q2381" s="3">
        <v>22</v>
      </c>
      <c r="R2381" t="s">
        <v>59</v>
      </c>
      <c r="S2381" t="s">
        <v>88</v>
      </c>
    </row>
    <row r="2382" spans="1:19" x14ac:dyDescent="0.25">
      <c r="A2382">
        <v>2381</v>
      </c>
      <c r="B2382">
        <v>41</v>
      </c>
      <c r="C2382" t="s">
        <v>19</v>
      </c>
      <c r="D2382" t="s">
        <v>119</v>
      </c>
      <c r="E2382" t="s">
        <v>69</v>
      </c>
      <c r="F2382" s="1">
        <v>66</v>
      </c>
      <c r="G2382" t="s">
        <v>138</v>
      </c>
      <c r="H2382" t="s">
        <v>45</v>
      </c>
      <c r="I2382" t="s">
        <v>94</v>
      </c>
      <c r="J2382" t="s">
        <v>58</v>
      </c>
      <c r="K2382" s="2">
        <v>2.5</v>
      </c>
      <c r="L2382" t="s">
        <v>152</v>
      </c>
      <c r="M2382" t="s">
        <v>27</v>
      </c>
      <c r="N2382" t="s">
        <v>47</v>
      </c>
      <c r="O2382" t="s">
        <v>152</v>
      </c>
      <c r="P2382" t="s">
        <v>152</v>
      </c>
      <c r="Q2382" s="3">
        <v>36</v>
      </c>
      <c r="R2382" t="s">
        <v>46</v>
      </c>
      <c r="S2382" t="s">
        <v>30</v>
      </c>
    </row>
    <row r="2383" spans="1:19" x14ac:dyDescent="0.25">
      <c r="A2383">
        <v>2382</v>
      </c>
      <c r="B2383">
        <v>62</v>
      </c>
      <c r="C2383" t="s">
        <v>19</v>
      </c>
      <c r="D2383" t="s">
        <v>42</v>
      </c>
      <c r="E2383" t="s">
        <v>43</v>
      </c>
      <c r="F2383" s="1">
        <v>23</v>
      </c>
      <c r="G2383" t="s">
        <v>150</v>
      </c>
      <c r="H2383" t="s">
        <v>45</v>
      </c>
      <c r="I2383" t="s">
        <v>86</v>
      </c>
      <c r="J2383" t="s">
        <v>54</v>
      </c>
      <c r="K2383" s="2">
        <v>4.5</v>
      </c>
      <c r="L2383" t="s">
        <v>152</v>
      </c>
      <c r="M2383" t="s">
        <v>34</v>
      </c>
      <c r="N2383" t="s">
        <v>40</v>
      </c>
      <c r="O2383" t="s">
        <v>152</v>
      </c>
      <c r="P2383" t="s">
        <v>152</v>
      </c>
      <c r="Q2383" s="3">
        <v>23</v>
      </c>
      <c r="R2383" t="s">
        <v>46</v>
      </c>
      <c r="S2383" t="s">
        <v>50</v>
      </c>
    </row>
    <row r="2384" spans="1:19" x14ac:dyDescent="0.25">
      <c r="A2384">
        <v>2383</v>
      </c>
      <c r="B2384">
        <v>39</v>
      </c>
      <c r="C2384" t="s">
        <v>19</v>
      </c>
      <c r="D2384" t="s">
        <v>31</v>
      </c>
      <c r="E2384" t="s">
        <v>21</v>
      </c>
      <c r="F2384" s="1">
        <v>60</v>
      </c>
      <c r="G2384" t="s">
        <v>99</v>
      </c>
      <c r="H2384" t="s">
        <v>45</v>
      </c>
      <c r="I2384" t="s">
        <v>49</v>
      </c>
      <c r="J2384" t="s">
        <v>39</v>
      </c>
      <c r="K2384" s="2">
        <v>3.9</v>
      </c>
      <c r="L2384" t="s">
        <v>152</v>
      </c>
      <c r="M2384" t="s">
        <v>59</v>
      </c>
      <c r="N2384" t="s">
        <v>28</v>
      </c>
      <c r="O2384" t="s">
        <v>152</v>
      </c>
      <c r="P2384" t="s">
        <v>152</v>
      </c>
      <c r="Q2384" s="3">
        <v>44</v>
      </c>
      <c r="R2384" t="s">
        <v>59</v>
      </c>
      <c r="S2384" t="s">
        <v>41</v>
      </c>
    </row>
    <row r="2385" spans="1:19" x14ac:dyDescent="0.25">
      <c r="A2385">
        <v>2384</v>
      </c>
      <c r="B2385">
        <v>53</v>
      </c>
      <c r="C2385" t="s">
        <v>19</v>
      </c>
      <c r="D2385" t="s">
        <v>132</v>
      </c>
      <c r="E2385" t="s">
        <v>69</v>
      </c>
      <c r="F2385" s="1">
        <v>72</v>
      </c>
      <c r="G2385" t="s">
        <v>44</v>
      </c>
      <c r="H2385" t="s">
        <v>23</v>
      </c>
      <c r="I2385" t="s">
        <v>81</v>
      </c>
      <c r="J2385" t="s">
        <v>39</v>
      </c>
      <c r="K2385" s="2">
        <v>4.9000000000000004</v>
      </c>
      <c r="L2385" t="s">
        <v>152</v>
      </c>
      <c r="M2385" t="s">
        <v>35</v>
      </c>
      <c r="N2385" t="s">
        <v>72</v>
      </c>
      <c r="O2385" t="s">
        <v>152</v>
      </c>
      <c r="P2385" t="s">
        <v>152</v>
      </c>
      <c r="Q2385" s="3">
        <v>25</v>
      </c>
      <c r="R2385" t="s">
        <v>34</v>
      </c>
      <c r="S2385" t="s">
        <v>50</v>
      </c>
    </row>
    <row r="2386" spans="1:19" x14ac:dyDescent="0.25">
      <c r="A2386">
        <v>2385</v>
      </c>
      <c r="B2386">
        <v>24</v>
      </c>
      <c r="C2386" t="s">
        <v>19</v>
      </c>
      <c r="D2386" t="s">
        <v>20</v>
      </c>
      <c r="E2386" t="s">
        <v>21</v>
      </c>
      <c r="F2386" s="1">
        <v>35</v>
      </c>
      <c r="G2386" t="s">
        <v>90</v>
      </c>
      <c r="H2386" t="s">
        <v>23</v>
      </c>
      <c r="I2386" t="s">
        <v>96</v>
      </c>
      <c r="J2386" t="s">
        <v>25</v>
      </c>
      <c r="K2386" s="2">
        <v>3.3</v>
      </c>
      <c r="L2386" t="s">
        <v>152</v>
      </c>
      <c r="M2386" t="s">
        <v>59</v>
      </c>
      <c r="N2386" t="s">
        <v>72</v>
      </c>
      <c r="O2386" t="s">
        <v>152</v>
      </c>
      <c r="P2386" t="s">
        <v>152</v>
      </c>
      <c r="Q2386" s="3">
        <v>40</v>
      </c>
      <c r="R2386" t="s">
        <v>46</v>
      </c>
      <c r="S2386" t="s">
        <v>60</v>
      </c>
    </row>
    <row r="2387" spans="1:19" x14ac:dyDescent="0.25">
      <c r="A2387">
        <v>2386</v>
      </c>
      <c r="B2387">
        <v>41</v>
      </c>
      <c r="C2387" t="s">
        <v>19</v>
      </c>
      <c r="D2387" t="s">
        <v>119</v>
      </c>
      <c r="E2387" t="s">
        <v>69</v>
      </c>
      <c r="F2387" s="1">
        <v>31</v>
      </c>
      <c r="G2387" t="s">
        <v>101</v>
      </c>
      <c r="H2387" t="s">
        <v>45</v>
      </c>
      <c r="I2387" t="s">
        <v>110</v>
      </c>
      <c r="J2387" t="s">
        <v>58</v>
      </c>
      <c r="K2387" s="2">
        <v>3.8</v>
      </c>
      <c r="L2387" t="s">
        <v>152</v>
      </c>
      <c r="M2387" t="s">
        <v>29</v>
      </c>
      <c r="N2387" t="s">
        <v>28</v>
      </c>
      <c r="O2387" t="s">
        <v>152</v>
      </c>
      <c r="P2387" t="s">
        <v>152</v>
      </c>
      <c r="Q2387" s="3">
        <v>12</v>
      </c>
      <c r="R2387" t="s">
        <v>46</v>
      </c>
      <c r="S2387" t="s">
        <v>41</v>
      </c>
    </row>
    <row r="2388" spans="1:19" x14ac:dyDescent="0.25">
      <c r="A2388">
        <v>2387</v>
      </c>
      <c r="B2388">
        <v>19</v>
      </c>
      <c r="C2388" t="s">
        <v>19</v>
      </c>
      <c r="D2388" t="s">
        <v>125</v>
      </c>
      <c r="E2388" t="s">
        <v>21</v>
      </c>
      <c r="F2388" s="1">
        <v>33</v>
      </c>
      <c r="G2388" t="s">
        <v>115</v>
      </c>
      <c r="H2388" t="s">
        <v>23</v>
      </c>
      <c r="I2388" t="s">
        <v>144</v>
      </c>
      <c r="J2388" t="s">
        <v>54</v>
      </c>
      <c r="K2388" s="2">
        <v>2.9</v>
      </c>
      <c r="L2388" t="s">
        <v>152</v>
      </c>
      <c r="M2388" t="s">
        <v>27</v>
      </c>
      <c r="N2388" t="s">
        <v>55</v>
      </c>
      <c r="O2388" t="s">
        <v>152</v>
      </c>
      <c r="P2388" t="s">
        <v>152</v>
      </c>
      <c r="Q2388" s="3">
        <v>14</v>
      </c>
      <c r="R2388" t="s">
        <v>29</v>
      </c>
      <c r="S2388" t="s">
        <v>88</v>
      </c>
    </row>
    <row r="2389" spans="1:19" x14ac:dyDescent="0.25">
      <c r="A2389">
        <v>2388</v>
      </c>
      <c r="B2389">
        <v>36</v>
      </c>
      <c r="C2389" t="s">
        <v>19</v>
      </c>
      <c r="D2389" t="s">
        <v>124</v>
      </c>
      <c r="E2389" t="s">
        <v>69</v>
      </c>
      <c r="F2389" s="1">
        <v>95</v>
      </c>
      <c r="G2389" t="s">
        <v>122</v>
      </c>
      <c r="H2389" t="s">
        <v>45</v>
      </c>
      <c r="I2389" t="s">
        <v>81</v>
      </c>
      <c r="J2389" t="s">
        <v>54</v>
      </c>
      <c r="K2389" s="2">
        <v>4</v>
      </c>
      <c r="L2389" t="s">
        <v>152</v>
      </c>
      <c r="M2389" t="s">
        <v>27</v>
      </c>
      <c r="N2389" t="s">
        <v>72</v>
      </c>
      <c r="O2389" t="s">
        <v>152</v>
      </c>
      <c r="P2389" t="s">
        <v>152</v>
      </c>
      <c r="Q2389" s="3">
        <v>14</v>
      </c>
      <c r="R2389" t="s">
        <v>59</v>
      </c>
      <c r="S2389" t="s">
        <v>88</v>
      </c>
    </row>
    <row r="2390" spans="1:19" x14ac:dyDescent="0.25">
      <c r="A2390">
        <v>2389</v>
      </c>
      <c r="B2390">
        <v>21</v>
      </c>
      <c r="C2390" t="s">
        <v>19</v>
      </c>
      <c r="D2390" t="s">
        <v>82</v>
      </c>
      <c r="E2390" t="s">
        <v>21</v>
      </c>
      <c r="F2390" s="1">
        <v>68</v>
      </c>
      <c r="G2390" t="s">
        <v>90</v>
      </c>
      <c r="H2390" t="s">
        <v>45</v>
      </c>
      <c r="I2390" t="s">
        <v>100</v>
      </c>
      <c r="J2390" t="s">
        <v>58</v>
      </c>
      <c r="K2390" s="2">
        <v>4.0999999999999996</v>
      </c>
      <c r="L2390" t="s">
        <v>152</v>
      </c>
      <c r="M2390" t="s">
        <v>27</v>
      </c>
      <c r="N2390" t="s">
        <v>76</v>
      </c>
      <c r="O2390" t="s">
        <v>152</v>
      </c>
      <c r="P2390" t="s">
        <v>152</v>
      </c>
      <c r="Q2390" s="3">
        <v>10</v>
      </c>
      <c r="R2390" t="s">
        <v>59</v>
      </c>
      <c r="S2390" t="s">
        <v>50</v>
      </c>
    </row>
    <row r="2391" spans="1:19" x14ac:dyDescent="0.25">
      <c r="A2391">
        <v>2390</v>
      </c>
      <c r="B2391">
        <v>25</v>
      </c>
      <c r="C2391" t="s">
        <v>19</v>
      </c>
      <c r="D2391" t="s">
        <v>64</v>
      </c>
      <c r="E2391" t="s">
        <v>65</v>
      </c>
      <c r="F2391" s="1">
        <v>87</v>
      </c>
      <c r="G2391" t="s">
        <v>111</v>
      </c>
      <c r="H2391" t="s">
        <v>45</v>
      </c>
      <c r="I2391" t="s">
        <v>84</v>
      </c>
      <c r="J2391" t="s">
        <v>39</v>
      </c>
      <c r="K2391" s="2">
        <v>3.1</v>
      </c>
      <c r="L2391" t="s">
        <v>152</v>
      </c>
      <c r="M2391" t="s">
        <v>35</v>
      </c>
      <c r="N2391" t="s">
        <v>76</v>
      </c>
      <c r="O2391" t="s">
        <v>152</v>
      </c>
      <c r="P2391" t="s">
        <v>152</v>
      </c>
      <c r="Q2391" s="3">
        <v>17</v>
      </c>
      <c r="R2391" t="s">
        <v>34</v>
      </c>
      <c r="S2391" t="s">
        <v>97</v>
      </c>
    </row>
    <row r="2392" spans="1:19" x14ac:dyDescent="0.25">
      <c r="A2392">
        <v>2391</v>
      </c>
      <c r="B2392">
        <v>65</v>
      </c>
      <c r="C2392" t="s">
        <v>19</v>
      </c>
      <c r="D2392" t="s">
        <v>56</v>
      </c>
      <c r="E2392" t="s">
        <v>21</v>
      </c>
      <c r="F2392" s="1">
        <v>64</v>
      </c>
      <c r="G2392" t="s">
        <v>117</v>
      </c>
      <c r="H2392" t="s">
        <v>92</v>
      </c>
      <c r="I2392" t="s">
        <v>134</v>
      </c>
      <c r="J2392" t="s">
        <v>25</v>
      </c>
      <c r="K2392" s="2">
        <v>4.5999999999999996</v>
      </c>
      <c r="L2392" t="s">
        <v>152</v>
      </c>
      <c r="M2392" t="s">
        <v>59</v>
      </c>
      <c r="N2392" t="s">
        <v>28</v>
      </c>
      <c r="O2392" t="s">
        <v>152</v>
      </c>
      <c r="P2392" t="s">
        <v>152</v>
      </c>
      <c r="Q2392" s="3">
        <v>24</v>
      </c>
      <c r="R2392" t="s">
        <v>59</v>
      </c>
      <c r="S2392" t="s">
        <v>30</v>
      </c>
    </row>
    <row r="2393" spans="1:19" x14ac:dyDescent="0.25">
      <c r="A2393">
        <v>2392</v>
      </c>
      <c r="B2393">
        <v>42</v>
      </c>
      <c r="C2393" t="s">
        <v>19</v>
      </c>
      <c r="D2393" t="s">
        <v>56</v>
      </c>
      <c r="E2393" t="s">
        <v>21</v>
      </c>
      <c r="F2393" s="1">
        <v>74</v>
      </c>
      <c r="G2393" t="s">
        <v>151</v>
      </c>
      <c r="H2393" t="s">
        <v>45</v>
      </c>
      <c r="I2393" t="s">
        <v>94</v>
      </c>
      <c r="J2393" t="s">
        <v>25</v>
      </c>
      <c r="K2393" s="2">
        <v>4.5999999999999996</v>
      </c>
      <c r="L2393" t="s">
        <v>152</v>
      </c>
      <c r="M2393" t="s">
        <v>46</v>
      </c>
      <c r="N2393" t="s">
        <v>47</v>
      </c>
      <c r="O2393" t="s">
        <v>152</v>
      </c>
      <c r="P2393" t="s">
        <v>152</v>
      </c>
      <c r="Q2393" s="3">
        <v>31</v>
      </c>
      <c r="R2393" t="s">
        <v>34</v>
      </c>
      <c r="S2393" t="s">
        <v>60</v>
      </c>
    </row>
    <row r="2394" spans="1:19" x14ac:dyDescent="0.25">
      <c r="A2394">
        <v>2393</v>
      </c>
      <c r="B2394">
        <v>40</v>
      </c>
      <c r="C2394" t="s">
        <v>19</v>
      </c>
      <c r="D2394" t="s">
        <v>36</v>
      </c>
      <c r="E2394" t="s">
        <v>21</v>
      </c>
      <c r="F2394" s="1">
        <v>62</v>
      </c>
      <c r="G2394" t="s">
        <v>70</v>
      </c>
      <c r="H2394" t="s">
        <v>23</v>
      </c>
      <c r="I2394" t="s">
        <v>67</v>
      </c>
      <c r="J2394" t="s">
        <v>39</v>
      </c>
      <c r="K2394" s="2">
        <v>2.6</v>
      </c>
      <c r="L2394" t="s">
        <v>152</v>
      </c>
      <c r="M2394" t="s">
        <v>35</v>
      </c>
      <c r="N2394" t="s">
        <v>72</v>
      </c>
      <c r="O2394" t="s">
        <v>152</v>
      </c>
      <c r="P2394" t="s">
        <v>152</v>
      </c>
      <c r="Q2394" s="3">
        <v>36</v>
      </c>
      <c r="R2394" t="s">
        <v>35</v>
      </c>
      <c r="S2394" t="s">
        <v>50</v>
      </c>
    </row>
    <row r="2395" spans="1:19" x14ac:dyDescent="0.25">
      <c r="A2395">
        <v>2394</v>
      </c>
      <c r="B2395">
        <v>58</v>
      </c>
      <c r="C2395" t="s">
        <v>19</v>
      </c>
      <c r="D2395" t="s">
        <v>125</v>
      </c>
      <c r="E2395" t="s">
        <v>21</v>
      </c>
      <c r="F2395" s="1">
        <v>97</v>
      </c>
      <c r="G2395" t="s">
        <v>62</v>
      </c>
      <c r="H2395" t="s">
        <v>45</v>
      </c>
      <c r="I2395" t="s">
        <v>110</v>
      </c>
      <c r="J2395" t="s">
        <v>25</v>
      </c>
      <c r="K2395" s="2">
        <v>5</v>
      </c>
      <c r="L2395" t="s">
        <v>152</v>
      </c>
      <c r="M2395" t="s">
        <v>59</v>
      </c>
      <c r="N2395" t="s">
        <v>72</v>
      </c>
      <c r="O2395" t="s">
        <v>152</v>
      </c>
      <c r="P2395" t="s">
        <v>152</v>
      </c>
      <c r="Q2395" s="3">
        <v>38</v>
      </c>
      <c r="R2395" t="s">
        <v>46</v>
      </c>
      <c r="S2395" t="s">
        <v>97</v>
      </c>
    </row>
    <row r="2396" spans="1:19" x14ac:dyDescent="0.25">
      <c r="A2396">
        <v>2395</v>
      </c>
      <c r="B2396">
        <v>40</v>
      </c>
      <c r="C2396" t="s">
        <v>19</v>
      </c>
      <c r="D2396" t="s">
        <v>42</v>
      </c>
      <c r="E2396" t="s">
        <v>43</v>
      </c>
      <c r="F2396" s="1">
        <v>47</v>
      </c>
      <c r="G2396" t="s">
        <v>139</v>
      </c>
      <c r="H2396" t="s">
        <v>23</v>
      </c>
      <c r="I2396" t="s">
        <v>100</v>
      </c>
      <c r="J2396" t="s">
        <v>58</v>
      </c>
      <c r="K2396" s="2">
        <v>2.9</v>
      </c>
      <c r="L2396" t="s">
        <v>152</v>
      </c>
      <c r="M2396" t="s">
        <v>35</v>
      </c>
      <c r="N2396" t="s">
        <v>72</v>
      </c>
      <c r="O2396" t="s">
        <v>152</v>
      </c>
      <c r="P2396" t="s">
        <v>152</v>
      </c>
      <c r="Q2396" s="3">
        <v>23</v>
      </c>
      <c r="R2396" t="s">
        <v>59</v>
      </c>
      <c r="S2396" t="s">
        <v>30</v>
      </c>
    </row>
    <row r="2397" spans="1:19" x14ac:dyDescent="0.25">
      <c r="A2397">
        <v>2396</v>
      </c>
      <c r="B2397">
        <v>62</v>
      </c>
      <c r="C2397" t="s">
        <v>19</v>
      </c>
      <c r="D2397" t="s">
        <v>20</v>
      </c>
      <c r="E2397" t="s">
        <v>21</v>
      </c>
      <c r="F2397" s="1">
        <v>83</v>
      </c>
      <c r="G2397" t="s">
        <v>139</v>
      </c>
      <c r="H2397" t="s">
        <v>45</v>
      </c>
      <c r="I2397" t="s">
        <v>109</v>
      </c>
      <c r="J2397" t="s">
        <v>25</v>
      </c>
      <c r="K2397" s="2">
        <v>3.5</v>
      </c>
      <c r="L2397" t="s">
        <v>152</v>
      </c>
      <c r="M2397" t="s">
        <v>59</v>
      </c>
      <c r="N2397" t="s">
        <v>72</v>
      </c>
      <c r="O2397" t="s">
        <v>152</v>
      </c>
      <c r="P2397" t="s">
        <v>152</v>
      </c>
      <c r="Q2397" s="3">
        <v>47</v>
      </c>
      <c r="R2397" t="s">
        <v>46</v>
      </c>
      <c r="S2397" t="s">
        <v>77</v>
      </c>
    </row>
    <row r="2398" spans="1:19" x14ac:dyDescent="0.25">
      <c r="A2398">
        <v>2397</v>
      </c>
      <c r="B2398">
        <v>38</v>
      </c>
      <c r="C2398" t="s">
        <v>19</v>
      </c>
      <c r="D2398" t="s">
        <v>56</v>
      </c>
      <c r="E2398" t="s">
        <v>21</v>
      </c>
      <c r="F2398" s="1">
        <v>82</v>
      </c>
      <c r="G2398" t="s">
        <v>48</v>
      </c>
      <c r="H2398" t="s">
        <v>45</v>
      </c>
      <c r="I2398" t="s">
        <v>79</v>
      </c>
      <c r="J2398" t="s">
        <v>39</v>
      </c>
      <c r="K2398" s="2">
        <v>3.7</v>
      </c>
      <c r="L2398" t="s">
        <v>152</v>
      </c>
      <c r="M2398" t="s">
        <v>27</v>
      </c>
      <c r="N2398" t="s">
        <v>72</v>
      </c>
      <c r="O2398" t="s">
        <v>152</v>
      </c>
      <c r="P2398" t="s">
        <v>152</v>
      </c>
      <c r="Q2398" s="3">
        <v>20</v>
      </c>
      <c r="R2398" t="s">
        <v>29</v>
      </c>
      <c r="S2398" t="s">
        <v>41</v>
      </c>
    </row>
    <row r="2399" spans="1:19" x14ac:dyDescent="0.25">
      <c r="A2399">
        <v>2398</v>
      </c>
      <c r="B2399">
        <v>37</v>
      </c>
      <c r="C2399" t="s">
        <v>19</v>
      </c>
      <c r="D2399" t="s">
        <v>89</v>
      </c>
      <c r="E2399" t="s">
        <v>69</v>
      </c>
      <c r="F2399" s="1">
        <v>26</v>
      </c>
      <c r="G2399" t="s">
        <v>66</v>
      </c>
      <c r="H2399" t="s">
        <v>23</v>
      </c>
      <c r="I2399" t="s">
        <v>94</v>
      </c>
      <c r="J2399" t="s">
        <v>58</v>
      </c>
      <c r="K2399" s="2">
        <v>2.9</v>
      </c>
      <c r="L2399" t="s">
        <v>152</v>
      </c>
      <c r="M2399" t="s">
        <v>34</v>
      </c>
      <c r="N2399" t="s">
        <v>76</v>
      </c>
      <c r="O2399" t="s">
        <v>152</v>
      </c>
      <c r="P2399" t="s">
        <v>152</v>
      </c>
      <c r="Q2399" s="3">
        <v>41</v>
      </c>
      <c r="R2399" t="s">
        <v>29</v>
      </c>
      <c r="S2399" t="s">
        <v>88</v>
      </c>
    </row>
    <row r="2400" spans="1:19" x14ac:dyDescent="0.25">
      <c r="A2400">
        <v>2399</v>
      </c>
      <c r="B2400">
        <v>65</v>
      </c>
      <c r="C2400" t="s">
        <v>19</v>
      </c>
      <c r="D2400" t="s">
        <v>102</v>
      </c>
      <c r="E2400" t="s">
        <v>65</v>
      </c>
      <c r="F2400" s="1">
        <v>81</v>
      </c>
      <c r="G2400" t="s">
        <v>103</v>
      </c>
      <c r="H2400" t="s">
        <v>45</v>
      </c>
      <c r="I2400" t="s">
        <v>121</v>
      </c>
      <c r="J2400" t="s">
        <v>25</v>
      </c>
      <c r="K2400" s="2">
        <v>4.3</v>
      </c>
      <c r="L2400" t="s">
        <v>152</v>
      </c>
      <c r="M2400" t="s">
        <v>46</v>
      </c>
      <c r="N2400" t="s">
        <v>40</v>
      </c>
      <c r="O2400" t="s">
        <v>152</v>
      </c>
      <c r="P2400" t="s">
        <v>152</v>
      </c>
      <c r="Q2400" s="3">
        <v>44</v>
      </c>
      <c r="R2400" t="s">
        <v>34</v>
      </c>
      <c r="S2400" t="s">
        <v>30</v>
      </c>
    </row>
    <row r="2401" spans="1:19" x14ac:dyDescent="0.25">
      <c r="A2401">
        <v>2400</v>
      </c>
      <c r="B2401">
        <v>55</v>
      </c>
      <c r="C2401" t="s">
        <v>19</v>
      </c>
      <c r="D2401" t="s">
        <v>82</v>
      </c>
      <c r="E2401" t="s">
        <v>21</v>
      </c>
      <c r="F2401" s="1">
        <v>44</v>
      </c>
      <c r="G2401" t="s">
        <v>83</v>
      </c>
      <c r="H2401" t="s">
        <v>23</v>
      </c>
      <c r="I2401" t="s">
        <v>118</v>
      </c>
      <c r="J2401" t="s">
        <v>39</v>
      </c>
      <c r="K2401" s="2">
        <v>3.2</v>
      </c>
      <c r="L2401" t="s">
        <v>152</v>
      </c>
      <c r="M2401" t="s">
        <v>59</v>
      </c>
      <c r="N2401" t="s">
        <v>76</v>
      </c>
      <c r="O2401" t="s">
        <v>152</v>
      </c>
      <c r="P2401" t="s">
        <v>152</v>
      </c>
      <c r="Q2401" s="3">
        <v>31</v>
      </c>
      <c r="R2401" t="s">
        <v>35</v>
      </c>
      <c r="S2401" t="s">
        <v>88</v>
      </c>
    </row>
    <row r="2402" spans="1:19" x14ac:dyDescent="0.25">
      <c r="A2402">
        <v>2401</v>
      </c>
      <c r="B2402">
        <v>43</v>
      </c>
      <c r="C2402" t="s">
        <v>19</v>
      </c>
      <c r="D2402" t="s">
        <v>89</v>
      </c>
      <c r="E2402" t="s">
        <v>69</v>
      </c>
      <c r="F2402" s="1">
        <v>88</v>
      </c>
      <c r="G2402" t="s">
        <v>48</v>
      </c>
      <c r="H2402" t="s">
        <v>45</v>
      </c>
      <c r="I2402" t="s">
        <v>100</v>
      </c>
      <c r="J2402" t="s">
        <v>25</v>
      </c>
      <c r="K2402" s="2">
        <v>4.2</v>
      </c>
      <c r="L2402" t="s">
        <v>152</v>
      </c>
      <c r="M2402" t="s">
        <v>46</v>
      </c>
      <c r="N2402" t="s">
        <v>47</v>
      </c>
      <c r="O2402" t="s">
        <v>152</v>
      </c>
      <c r="P2402" t="s">
        <v>152</v>
      </c>
      <c r="Q2402" s="3">
        <v>11</v>
      </c>
      <c r="R2402" t="s">
        <v>27</v>
      </c>
      <c r="S2402" t="s">
        <v>77</v>
      </c>
    </row>
    <row r="2403" spans="1:19" x14ac:dyDescent="0.25">
      <c r="A2403">
        <v>2402</v>
      </c>
      <c r="B2403">
        <v>43</v>
      </c>
      <c r="C2403" t="s">
        <v>19</v>
      </c>
      <c r="D2403" t="s">
        <v>137</v>
      </c>
      <c r="E2403" t="s">
        <v>43</v>
      </c>
      <c r="F2403" s="1">
        <v>76</v>
      </c>
      <c r="G2403" t="s">
        <v>48</v>
      </c>
      <c r="H2403" t="s">
        <v>45</v>
      </c>
      <c r="I2403" t="s">
        <v>71</v>
      </c>
      <c r="J2403" t="s">
        <v>25</v>
      </c>
      <c r="K2403" s="2">
        <v>4.2</v>
      </c>
      <c r="L2403" t="s">
        <v>152</v>
      </c>
      <c r="M2403" t="s">
        <v>35</v>
      </c>
      <c r="N2403" t="s">
        <v>55</v>
      </c>
      <c r="O2403" t="s">
        <v>152</v>
      </c>
      <c r="P2403" t="s">
        <v>152</v>
      </c>
      <c r="Q2403" s="3">
        <v>25</v>
      </c>
      <c r="R2403" t="s">
        <v>46</v>
      </c>
      <c r="S2403" t="s">
        <v>77</v>
      </c>
    </row>
    <row r="2404" spans="1:19" x14ac:dyDescent="0.25">
      <c r="A2404">
        <v>2403</v>
      </c>
      <c r="B2404">
        <v>45</v>
      </c>
      <c r="C2404" t="s">
        <v>19</v>
      </c>
      <c r="D2404" t="s">
        <v>119</v>
      </c>
      <c r="E2404" t="s">
        <v>69</v>
      </c>
      <c r="F2404" s="1">
        <v>89</v>
      </c>
      <c r="G2404" t="s">
        <v>140</v>
      </c>
      <c r="H2404" t="s">
        <v>45</v>
      </c>
      <c r="I2404" t="s">
        <v>110</v>
      </c>
      <c r="J2404" t="s">
        <v>25</v>
      </c>
      <c r="K2404" s="2">
        <v>3.8</v>
      </c>
      <c r="L2404" t="s">
        <v>152</v>
      </c>
      <c r="M2404" t="s">
        <v>46</v>
      </c>
      <c r="N2404" t="s">
        <v>40</v>
      </c>
      <c r="O2404" t="s">
        <v>152</v>
      </c>
      <c r="P2404" t="s">
        <v>152</v>
      </c>
      <c r="Q2404" s="3">
        <v>31</v>
      </c>
      <c r="R2404" t="s">
        <v>35</v>
      </c>
      <c r="S2404" t="s">
        <v>41</v>
      </c>
    </row>
    <row r="2405" spans="1:19" x14ac:dyDescent="0.25">
      <c r="A2405">
        <v>2404</v>
      </c>
      <c r="B2405">
        <v>64</v>
      </c>
      <c r="C2405" t="s">
        <v>19</v>
      </c>
      <c r="D2405" t="s">
        <v>61</v>
      </c>
      <c r="E2405" t="s">
        <v>21</v>
      </c>
      <c r="F2405" s="1">
        <v>22</v>
      </c>
      <c r="G2405" t="s">
        <v>70</v>
      </c>
      <c r="H2405" t="s">
        <v>45</v>
      </c>
      <c r="I2405" t="s">
        <v>136</v>
      </c>
      <c r="J2405" t="s">
        <v>58</v>
      </c>
      <c r="K2405" s="2">
        <v>4.4000000000000004</v>
      </c>
      <c r="L2405" t="s">
        <v>152</v>
      </c>
      <c r="M2405" t="s">
        <v>34</v>
      </c>
      <c r="N2405" t="s">
        <v>55</v>
      </c>
      <c r="O2405" t="s">
        <v>152</v>
      </c>
      <c r="P2405" t="s">
        <v>152</v>
      </c>
      <c r="Q2405" s="3">
        <v>40</v>
      </c>
      <c r="R2405" t="s">
        <v>59</v>
      </c>
      <c r="S2405" t="s">
        <v>41</v>
      </c>
    </row>
    <row r="2406" spans="1:19" x14ac:dyDescent="0.25">
      <c r="A2406">
        <v>2405</v>
      </c>
      <c r="B2406">
        <v>28</v>
      </c>
      <c r="C2406" t="s">
        <v>19</v>
      </c>
      <c r="D2406" t="s">
        <v>61</v>
      </c>
      <c r="E2406" t="s">
        <v>21</v>
      </c>
      <c r="F2406" s="1">
        <v>33</v>
      </c>
      <c r="G2406" t="s">
        <v>66</v>
      </c>
      <c r="H2406" t="s">
        <v>23</v>
      </c>
      <c r="I2406" t="s">
        <v>109</v>
      </c>
      <c r="J2406" t="s">
        <v>25</v>
      </c>
      <c r="K2406" s="2">
        <v>3.1</v>
      </c>
      <c r="L2406" t="s">
        <v>152</v>
      </c>
      <c r="M2406" t="s">
        <v>29</v>
      </c>
      <c r="N2406" t="s">
        <v>72</v>
      </c>
      <c r="O2406" t="s">
        <v>152</v>
      </c>
      <c r="P2406" t="s">
        <v>152</v>
      </c>
      <c r="Q2406" s="3">
        <v>23</v>
      </c>
      <c r="R2406" t="s">
        <v>27</v>
      </c>
      <c r="S2406" t="s">
        <v>77</v>
      </c>
    </row>
    <row r="2407" spans="1:19" x14ac:dyDescent="0.25">
      <c r="A2407">
        <v>2406</v>
      </c>
      <c r="B2407">
        <v>69</v>
      </c>
      <c r="C2407" t="s">
        <v>19</v>
      </c>
      <c r="D2407" t="s">
        <v>36</v>
      </c>
      <c r="E2407" t="s">
        <v>21</v>
      </c>
      <c r="F2407" s="1">
        <v>97</v>
      </c>
      <c r="G2407" t="s">
        <v>99</v>
      </c>
      <c r="H2407" t="s">
        <v>92</v>
      </c>
      <c r="I2407" t="s">
        <v>67</v>
      </c>
      <c r="J2407" t="s">
        <v>58</v>
      </c>
      <c r="K2407" s="2">
        <v>5</v>
      </c>
      <c r="L2407" t="s">
        <v>152</v>
      </c>
      <c r="M2407" t="s">
        <v>29</v>
      </c>
      <c r="N2407" t="s">
        <v>55</v>
      </c>
      <c r="O2407" t="s">
        <v>152</v>
      </c>
      <c r="P2407" t="s">
        <v>152</v>
      </c>
      <c r="Q2407" s="3">
        <v>5</v>
      </c>
      <c r="R2407" t="s">
        <v>59</v>
      </c>
      <c r="S2407" t="s">
        <v>60</v>
      </c>
    </row>
    <row r="2408" spans="1:19" x14ac:dyDescent="0.25">
      <c r="A2408">
        <v>2407</v>
      </c>
      <c r="B2408">
        <v>54</v>
      </c>
      <c r="C2408" t="s">
        <v>19</v>
      </c>
      <c r="D2408" t="s">
        <v>119</v>
      </c>
      <c r="E2408" t="s">
        <v>69</v>
      </c>
      <c r="F2408" s="1">
        <v>57</v>
      </c>
      <c r="G2408" t="s">
        <v>99</v>
      </c>
      <c r="H2408" t="s">
        <v>45</v>
      </c>
      <c r="I2408" t="s">
        <v>126</v>
      </c>
      <c r="J2408" t="s">
        <v>25</v>
      </c>
      <c r="K2408" s="2">
        <v>4.7</v>
      </c>
      <c r="L2408" t="s">
        <v>152</v>
      </c>
      <c r="M2408" t="s">
        <v>29</v>
      </c>
      <c r="N2408" t="s">
        <v>55</v>
      </c>
      <c r="O2408" t="s">
        <v>152</v>
      </c>
      <c r="P2408" t="s">
        <v>152</v>
      </c>
      <c r="Q2408" s="3">
        <v>26</v>
      </c>
      <c r="R2408" t="s">
        <v>46</v>
      </c>
      <c r="S2408" t="s">
        <v>41</v>
      </c>
    </row>
    <row r="2409" spans="1:19" x14ac:dyDescent="0.25">
      <c r="A2409">
        <v>2408</v>
      </c>
      <c r="B2409">
        <v>52</v>
      </c>
      <c r="C2409" t="s">
        <v>19</v>
      </c>
      <c r="D2409" t="s">
        <v>61</v>
      </c>
      <c r="E2409" t="s">
        <v>21</v>
      </c>
      <c r="F2409" s="1">
        <v>38</v>
      </c>
      <c r="G2409" t="s">
        <v>115</v>
      </c>
      <c r="H2409" t="s">
        <v>45</v>
      </c>
      <c r="I2409" t="s">
        <v>118</v>
      </c>
      <c r="J2409" t="s">
        <v>54</v>
      </c>
      <c r="K2409" s="2">
        <v>3</v>
      </c>
      <c r="L2409" t="s">
        <v>152</v>
      </c>
      <c r="M2409" t="s">
        <v>27</v>
      </c>
      <c r="N2409" t="s">
        <v>28</v>
      </c>
      <c r="O2409" t="s">
        <v>152</v>
      </c>
      <c r="P2409" t="s">
        <v>152</v>
      </c>
      <c r="Q2409" s="3">
        <v>11</v>
      </c>
      <c r="R2409" t="s">
        <v>27</v>
      </c>
      <c r="S2409" t="s">
        <v>77</v>
      </c>
    </row>
    <row r="2410" spans="1:19" x14ac:dyDescent="0.25">
      <c r="A2410">
        <v>2409</v>
      </c>
      <c r="B2410">
        <v>23</v>
      </c>
      <c r="C2410" t="s">
        <v>19</v>
      </c>
      <c r="D2410" t="s">
        <v>51</v>
      </c>
      <c r="E2410" t="s">
        <v>43</v>
      </c>
      <c r="F2410" s="1">
        <v>55</v>
      </c>
      <c r="G2410" t="s">
        <v>78</v>
      </c>
      <c r="H2410" t="s">
        <v>92</v>
      </c>
      <c r="I2410" t="s">
        <v>94</v>
      </c>
      <c r="J2410" t="s">
        <v>58</v>
      </c>
      <c r="K2410" s="2">
        <v>4.2</v>
      </c>
      <c r="L2410" t="s">
        <v>152</v>
      </c>
      <c r="M2410" t="s">
        <v>46</v>
      </c>
      <c r="N2410" t="s">
        <v>47</v>
      </c>
      <c r="O2410" t="s">
        <v>152</v>
      </c>
      <c r="P2410" t="s">
        <v>152</v>
      </c>
      <c r="Q2410" s="3">
        <v>44</v>
      </c>
      <c r="R2410" t="s">
        <v>59</v>
      </c>
      <c r="S2410" t="s">
        <v>97</v>
      </c>
    </row>
    <row r="2411" spans="1:19" x14ac:dyDescent="0.25">
      <c r="A2411">
        <v>2410</v>
      </c>
      <c r="B2411">
        <v>26</v>
      </c>
      <c r="C2411" t="s">
        <v>19</v>
      </c>
      <c r="D2411" t="s">
        <v>106</v>
      </c>
      <c r="E2411" t="s">
        <v>69</v>
      </c>
      <c r="F2411" s="1">
        <v>37</v>
      </c>
      <c r="G2411" t="s">
        <v>149</v>
      </c>
      <c r="H2411" t="s">
        <v>23</v>
      </c>
      <c r="I2411" t="s">
        <v>134</v>
      </c>
      <c r="J2411" t="s">
        <v>39</v>
      </c>
      <c r="K2411" s="2">
        <v>3</v>
      </c>
      <c r="L2411" t="s">
        <v>152</v>
      </c>
      <c r="M2411" t="s">
        <v>27</v>
      </c>
      <c r="N2411" t="s">
        <v>76</v>
      </c>
      <c r="O2411" t="s">
        <v>152</v>
      </c>
      <c r="P2411" t="s">
        <v>152</v>
      </c>
      <c r="Q2411" s="3">
        <v>47</v>
      </c>
      <c r="R2411" t="s">
        <v>35</v>
      </c>
      <c r="S2411" t="s">
        <v>97</v>
      </c>
    </row>
    <row r="2412" spans="1:19" x14ac:dyDescent="0.25">
      <c r="A2412">
        <v>2411</v>
      </c>
      <c r="B2412">
        <v>48</v>
      </c>
      <c r="C2412" t="s">
        <v>19</v>
      </c>
      <c r="D2412" t="s">
        <v>73</v>
      </c>
      <c r="E2412" t="s">
        <v>43</v>
      </c>
      <c r="F2412" s="1">
        <v>43</v>
      </c>
      <c r="G2412" t="s">
        <v>150</v>
      </c>
      <c r="H2412" t="s">
        <v>45</v>
      </c>
      <c r="I2412" t="s">
        <v>33</v>
      </c>
      <c r="J2412" t="s">
        <v>54</v>
      </c>
      <c r="K2412" s="2">
        <v>3.7</v>
      </c>
      <c r="L2412" t="s">
        <v>152</v>
      </c>
      <c r="M2412" t="s">
        <v>29</v>
      </c>
      <c r="N2412" t="s">
        <v>40</v>
      </c>
      <c r="O2412" t="s">
        <v>152</v>
      </c>
      <c r="P2412" t="s">
        <v>152</v>
      </c>
      <c r="Q2412" s="3">
        <v>46</v>
      </c>
      <c r="R2412" t="s">
        <v>46</v>
      </c>
      <c r="S2412" t="s">
        <v>88</v>
      </c>
    </row>
    <row r="2413" spans="1:19" x14ac:dyDescent="0.25">
      <c r="A2413">
        <v>2412</v>
      </c>
      <c r="B2413">
        <v>49</v>
      </c>
      <c r="C2413" t="s">
        <v>19</v>
      </c>
      <c r="D2413" t="s">
        <v>104</v>
      </c>
      <c r="E2413" t="s">
        <v>21</v>
      </c>
      <c r="F2413" s="1">
        <v>96</v>
      </c>
      <c r="G2413" t="s">
        <v>141</v>
      </c>
      <c r="H2413" t="s">
        <v>45</v>
      </c>
      <c r="I2413" t="s">
        <v>109</v>
      </c>
      <c r="J2413" t="s">
        <v>54</v>
      </c>
      <c r="K2413" s="2">
        <v>2.7</v>
      </c>
      <c r="L2413" t="s">
        <v>152</v>
      </c>
      <c r="M2413" t="s">
        <v>59</v>
      </c>
      <c r="N2413" t="s">
        <v>40</v>
      </c>
      <c r="O2413" t="s">
        <v>152</v>
      </c>
      <c r="P2413" t="s">
        <v>152</v>
      </c>
      <c r="Q2413" s="3">
        <v>35</v>
      </c>
      <c r="R2413" t="s">
        <v>35</v>
      </c>
      <c r="S2413" t="s">
        <v>97</v>
      </c>
    </row>
    <row r="2414" spans="1:19" x14ac:dyDescent="0.25">
      <c r="A2414">
        <v>2413</v>
      </c>
      <c r="B2414">
        <v>53</v>
      </c>
      <c r="C2414" t="s">
        <v>19</v>
      </c>
      <c r="D2414" t="s">
        <v>102</v>
      </c>
      <c r="E2414" t="s">
        <v>65</v>
      </c>
      <c r="F2414" s="1">
        <v>51</v>
      </c>
      <c r="G2414" t="s">
        <v>48</v>
      </c>
      <c r="H2414" t="s">
        <v>45</v>
      </c>
      <c r="I2414" t="s">
        <v>71</v>
      </c>
      <c r="J2414" t="s">
        <v>25</v>
      </c>
      <c r="K2414" s="2">
        <v>4.3</v>
      </c>
      <c r="L2414" t="s">
        <v>152</v>
      </c>
      <c r="M2414" t="s">
        <v>59</v>
      </c>
      <c r="N2414" t="s">
        <v>72</v>
      </c>
      <c r="O2414" t="s">
        <v>152</v>
      </c>
      <c r="P2414" t="s">
        <v>152</v>
      </c>
      <c r="Q2414" s="3">
        <v>8</v>
      </c>
      <c r="R2414" t="s">
        <v>34</v>
      </c>
      <c r="S2414" t="s">
        <v>77</v>
      </c>
    </row>
    <row r="2415" spans="1:19" x14ac:dyDescent="0.25">
      <c r="A2415">
        <v>2414</v>
      </c>
      <c r="B2415">
        <v>69</v>
      </c>
      <c r="C2415" t="s">
        <v>19</v>
      </c>
      <c r="D2415" t="s">
        <v>61</v>
      </c>
      <c r="E2415" t="s">
        <v>21</v>
      </c>
      <c r="F2415" s="1">
        <v>95</v>
      </c>
      <c r="G2415" t="s">
        <v>138</v>
      </c>
      <c r="H2415" t="s">
        <v>92</v>
      </c>
      <c r="I2415" t="s">
        <v>84</v>
      </c>
      <c r="J2415" t="s">
        <v>58</v>
      </c>
      <c r="K2415" s="2">
        <v>2.7</v>
      </c>
      <c r="L2415" t="s">
        <v>152</v>
      </c>
      <c r="M2415" t="s">
        <v>34</v>
      </c>
      <c r="N2415" t="s">
        <v>72</v>
      </c>
      <c r="O2415" t="s">
        <v>152</v>
      </c>
      <c r="P2415" t="s">
        <v>152</v>
      </c>
      <c r="Q2415" s="3">
        <v>30</v>
      </c>
      <c r="R2415" t="s">
        <v>34</v>
      </c>
      <c r="S2415" t="s">
        <v>41</v>
      </c>
    </row>
    <row r="2416" spans="1:19" x14ac:dyDescent="0.25">
      <c r="A2416">
        <v>2415</v>
      </c>
      <c r="B2416">
        <v>26</v>
      </c>
      <c r="C2416" t="s">
        <v>19</v>
      </c>
      <c r="D2416" t="s">
        <v>125</v>
      </c>
      <c r="E2416" t="s">
        <v>21</v>
      </c>
      <c r="F2416" s="1">
        <v>26</v>
      </c>
      <c r="G2416" t="s">
        <v>141</v>
      </c>
      <c r="H2416" t="s">
        <v>45</v>
      </c>
      <c r="I2416" t="s">
        <v>93</v>
      </c>
      <c r="J2416" t="s">
        <v>54</v>
      </c>
      <c r="K2416" s="2">
        <v>3.7</v>
      </c>
      <c r="L2416" t="s">
        <v>152</v>
      </c>
      <c r="M2416" t="s">
        <v>46</v>
      </c>
      <c r="N2416" t="s">
        <v>47</v>
      </c>
      <c r="O2416" t="s">
        <v>152</v>
      </c>
      <c r="P2416" t="s">
        <v>152</v>
      </c>
      <c r="Q2416" s="3">
        <v>14</v>
      </c>
      <c r="R2416" t="s">
        <v>27</v>
      </c>
      <c r="S2416" t="s">
        <v>77</v>
      </c>
    </row>
    <row r="2417" spans="1:19" x14ac:dyDescent="0.25">
      <c r="A2417">
        <v>2416</v>
      </c>
      <c r="B2417">
        <v>21</v>
      </c>
      <c r="C2417" t="s">
        <v>19</v>
      </c>
      <c r="D2417" t="s">
        <v>64</v>
      </c>
      <c r="E2417" t="s">
        <v>65</v>
      </c>
      <c r="F2417" s="1">
        <v>34</v>
      </c>
      <c r="G2417" t="s">
        <v>78</v>
      </c>
      <c r="H2417" t="s">
        <v>92</v>
      </c>
      <c r="I2417" t="s">
        <v>93</v>
      </c>
      <c r="J2417" t="s">
        <v>58</v>
      </c>
      <c r="K2417" s="2">
        <v>4.3</v>
      </c>
      <c r="L2417" t="s">
        <v>152</v>
      </c>
      <c r="M2417" t="s">
        <v>35</v>
      </c>
      <c r="N2417" t="s">
        <v>55</v>
      </c>
      <c r="O2417" t="s">
        <v>152</v>
      </c>
      <c r="P2417" t="s">
        <v>152</v>
      </c>
      <c r="Q2417" s="3">
        <v>30</v>
      </c>
      <c r="R2417" t="s">
        <v>34</v>
      </c>
      <c r="S2417" t="s">
        <v>41</v>
      </c>
    </row>
    <row r="2418" spans="1:19" x14ac:dyDescent="0.25">
      <c r="A2418">
        <v>2417</v>
      </c>
      <c r="B2418">
        <v>59</v>
      </c>
      <c r="C2418" t="s">
        <v>19</v>
      </c>
      <c r="D2418" t="s">
        <v>42</v>
      </c>
      <c r="E2418" t="s">
        <v>43</v>
      </c>
      <c r="F2418" s="1">
        <v>83</v>
      </c>
      <c r="G2418" t="s">
        <v>145</v>
      </c>
      <c r="H2418" t="s">
        <v>38</v>
      </c>
      <c r="I2418" t="s">
        <v>94</v>
      </c>
      <c r="J2418" t="s">
        <v>54</v>
      </c>
      <c r="K2418" s="2">
        <v>4</v>
      </c>
      <c r="L2418" t="s">
        <v>152</v>
      </c>
      <c r="M2418" t="s">
        <v>35</v>
      </c>
      <c r="N2418" t="s">
        <v>47</v>
      </c>
      <c r="O2418" t="s">
        <v>152</v>
      </c>
      <c r="P2418" t="s">
        <v>152</v>
      </c>
      <c r="Q2418" s="3">
        <v>26</v>
      </c>
      <c r="R2418" t="s">
        <v>27</v>
      </c>
      <c r="S2418" t="s">
        <v>97</v>
      </c>
    </row>
    <row r="2419" spans="1:19" x14ac:dyDescent="0.25">
      <c r="A2419">
        <v>2418</v>
      </c>
      <c r="B2419">
        <v>21</v>
      </c>
      <c r="C2419" t="s">
        <v>19</v>
      </c>
      <c r="D2419" t="s">
        <v>132</v>
      </c>
      <c r="E2419" t="s">
        <v>69</v>
      </c>
      <c r="F2419" s="1">
        <v>24</v>
      </c>
      <c r="G2419" t="s">
        <v>120</v>
      </c>
      <c r="H2419" t="s">
        <v>45</v>
      </c>
      <c r="I2419" t="s">
        <v>79</v>
      </c>
      <c r="J2419" t="s">
        <v>58</v>
      </c>
      <c r="K2419" s="2">
        <v>3.3</v>
      </c>
      <c r="L2419" t="s">
        <v>152</v>
      </c>
      <c r="M2419" t="s">
        <v>34</v>
      </c>
      <c r="N2419" t="s">
        <v>55</v>
      </c>
      <c r="O2419" t="s">
        <v>152</v>
      </c>
      <c r="P2419" t="s">
        <v>152</v>
      </c>
      <c r="Q2419" s="3">
        <v>32</v>
      </c>
      <c r="R2419" t="s">
        <v>29</v>
      </c>
      <c r="S2419" t="s">
        <v>30</v>
      </c>
    </row>
    <row r="2420" spans="1:19" x14ac:dyDescent="0.25">
      <c r="A2420">
        <v>2419</v>
      </c>
      <c r="B2420">
        <v>22</v>
      </c>
      <c r="C2420" t="s">
        <v>19</v>
      </c>
      <c r="D2420" t="s">
        <v>95</v>
      </c>
      <c r="E2420" t="s">
        <v>21</v>
      </c>
      <c r="F2420" s="1">
        <v>69</v>
      </c>
      <c r="G2420" t="s">
        <v>151</v>
      </c>
      <c r="H2420" t="s">
        <v>38</v>
      </c>
      <c r="I2420" t="s">
        <v>126</v>
      </c>
      <c r="J2420" t="s">
        <v>58</v>
      </c>
      <c r="K2420" s="2">
        <v>4</v>
      </c>
      <c r="L2420" t="s">
        <v>152</v>
      </c>
      <c r="M2420" t="s">
        <v>34</v>
      </c>
      <c r="N2420" t="s">
        <v>47</v>
      </c>
      <c r="O2420" t="s">
        <v>152</v>
      </c>
      <c r="P2420" t="s">
        <v>152</v>
      </c>
      <c r="Q2420" s="3">
        <v>47</v>
      </c>
      <c r="R2420" t="s">
        <v>35</v>
      </c>
      <c r="S2420" t="s">
        <v>97</v>
      </c>
    </row>
    <row r="2421" spans="1:19" x14ac:dyDescent="0.25">
      <c r="A2421">
        <v>2420</v>
      </c>
      <c r="B2421">
        <v>26</v>
      </c>
      <c r="C2421" t="s">
        <v>19</v>
      </c>
      <c r="D2421" t="s">
        <v>31</v>
      </c>
      <c r="E2421" t="s">
        <v>21</v>
      </c>
      <c r="F2421" s="1">
        <v>40</v>
      </c>
      <c r="G2421" t="s">
        <v>98</v>
      </c>
      <c r="H2421" t="s">
        <v>45</v>
      </c>
      <c r="I2421" t="s">
        <v>144</v>
      </c>
      <c r="J2421" t="s">
        <v>58</v>
      </c>
      <c r="K2421" s="2">
        <v>2.7</v>
      </c>
      <c r="L2421" t="s">
        <v>152</v>
      </c>
      <c r="M2421" t="s">
        <v>29</v>
      </c>
      <c r="N2421" t="s">
        <v>47</v>
      </c>
      <c r="O2421" t="s">
        <v>152</v>
      </c>
      <c r="P2421" t="s">
        <v>152</v>
      </c>
      <c r="Q2421" s="3">
        <v>11</v>
      </c>
      <c r="R2421" t="s">
        <v>27</v>
      </c>
      <c r="S2421" t="s">
        <v>97</v>
      </c>
    </row>
    <row r="2422" spans="1:19" x14ac:dyDescent="0.25">
      <c r="A2422">
        <v>2421</v>
      </c>
      <c r="B2422">
        <v>41</v>
      </c>
      <c r="C2422" t="s">
        <v>19</v>
      </c>
      <c r="D2422" t="s">
        <v>102</v>
      </c>
      <c r="E2422" t="s">
        <v>65</v>
      </c>
      <c r="F2422" s="1">
        <v>87</v>
      </c>
      <c r="G2422" t="s">
        <v>98</v>
      </c>
      <c r="H2422" t="s">
        <v>38</v>
      </c>
      <c r="I2422" t="s">
        <v>96</v>
      </c>
      <c r="J2422" t="s">
        <v>25</v>
      </c>
      <c r="K2422" s="2">
        <v>4.2</v>
      </c>
      <c r="L2422" t="s">
        <v>152</v>
      </c>
      <c r="M2422" t="s">
        <v>46</v>
      </c>
      <c r="N2422" t="s">
        <v>40</v>
      </c>
      <c r="O2422" t="s">
        <v>152</v>
      </c>
      <c r="P2422" t="s">
        <v>152</v>
      </c>
      <c r="Q2422" s="3">
        <v>28</v>
      </c>
      <c r="R2422" t="s">
        <v>46</v>
      </c>
      <c r="S2422" t="s">
        <v>50</v>
      </c>
    </row>
    <row r="2423" spans="1:19" x14ac:dyDescent="0.25">
      <c r="A2423">
        <v>2422</v>
      </c>
      <c r="B2423">
        <v>37</v>
      </c>
      <c r="C2423" t="s">
        <v>19</v>
      </c>
      <c r="D2423" t="s">
        <v>51</v>
      </c>
      <c r="E2423" t="s">
        <v>43</v>
      </c>
      <c r="F2423" s="1">
        <v>46</v>
      </c>
      <c r="G2423" t="s">
        <v>148</v>
      </c>
      <c r="H2423" t="s">
        <v>23</v>
      </c>
      <c r="I2423" t="s">
        <v>71</v>
      </c>
      <c r="J2423" t="s">
        <v>39</v>
      </c>
      <c r="K2423" s="2">
        <v>4.5999999999999996</v>
      </c>
      <c r="L2423" t="s">
        <v>152</v>
      </c>
      <c r="M2423" t="s">
        <v>46</v>
      </c>
      <c r="N2423" t="s">
        <v>55</v>
      </c>
      <c r="O2423" t="s">
        <v>152</v>
      </c>
      <c r="P2423" t="s">
        <v>152</v>
      </c>
      <c r="Q2423" s="3">
        <v>2</v>
      </c>
      <c r="R2423" t="s">
        <v>59</v>
      </c>
      <c r="S2423" t="s">
        <v>97</v>
      </c>
    </row>
    <row r="2424" spans="1:19" x14ac:dyDescent="0.25">
      <c r="A2424">
        <v>2423</v>
      </c>
      <c r="B2424">
        <v>30</v>
      </c>
      <c r="C2424" t="s">
        <v>19</v>
      </c>
      <c r="D2424" t="s">
        <v>106</v>
      </c>
      <c r="E2424" t="s">
        <v>69</v>
      </c>
      <c r="F2424" s="1">
        <v>82</v>
      </c>
      <c r="G2424" t="s">
        <v>142</v>
      </c>
      <c r="H2424" t="s">
        <v>45</v>
      </c>
      <c r="I2424" t="s">
        <v>100</v>
      </c>
      <c r="J2424" t="s">
        <v>25</v>
      </c>
      <c r="K2424" s="2">
        <v>4.8</v>
      </c>
      <c r="L2424" t="s">
        <v>152</v>
      </c>
      <c r="M2424" t="s">
        <v>27</v>
      </c>
      <c r="N2424" t="s">
        <v>76</v>
      </c>
      <c r="O2424" t="s">
        <v>152</v>
      </c>
      <c r="P2424" t="s">
        <v>152</v>
      </c>
      <c r="Q2424" s="3">
        <v>45</v>
      </c>
      <c r="R2424" t="s">
        <v>27</v>
      </c>
      <c r="S2424" t="s">
        <v>41</v>
      </c>
    </row>
    <row r="2425" spans="1:19" x14ac:dyDescent="0.25">
      <c r="A2425">
        <v>2424</v>
      </c>
      <c r="B2425">
        <v>49</v>
      </c>
      <c r="C2425" t="s">
        <v>19</v>
      </c>
      <c r="D2425" t="s">
        <v>132</v>
      </c>
      <c r="E2425" t="s">
        <v>69</v>
      </c>
      <c r="F2425" s="1">
        <v>81</v>
      </c>
      <c r="G2425" t="s">
        <v>66</v>
      </c>
      <c r="H2425" t="s">
        <v>45</v>
      </c>
      <c r="I2425" t="s">
        <v>75</v>
      </c>
      <c r="J2425" t="s">
        <v>54</v>
      </c>
      <c r="K2425" s="2">
        <v>2.8</v>
      </c>
      <c r="L2425" t="s">
        <v>152</v>
      </c>
      <c r="M2425" t="s">
        <v>46</v>
      </c>
      <c r="N2425" t="s">
        <v>40</v>
      </c>
      <c r="O2425" t="s">
        <v>152</v>
      </c>
      <c r="P2425" t="s">
        <v>152</v>
      </c>
      <c r="Q2425" s="3">
        <v>7</v>
      </c>
      <c r="R2425" t="s">
        <v>27</v>
      </c>
      <c r="S2425" t="s">
        <v>97</v>
      </c>
    </row>
    <row r="2426" spans="1:19" x14ac:dyDescent="0.25">
      <c r="A2426">
        <v>2425</v>
      </c>
      <c r="B2426">
        <v>49</v>
      </c>
      <c r="C2426" t="s">
        <v>19</v>
      </c>
      <c r="D2426" t="s">
        <v>106</v>
      </c>
      <c r="E2426" t="s">
        <v>69</v>
      </c>
      <c r="F2426" s="1">
        <v>57</v>
      </c>
      <c r="G2426" t="s">
        <v>80</v>
      </c>
      <c r="H2426" t="s">
        <v>45</v>
      </c>
      <c r="I2426" t="s">
        <v>100</v>
      </c>
      <c r="J2426" t="s">
        <v>25</v>
      </c>
      <c r="K2426" s="2">
        <v>4.5</v>
      </c>
      <c r="L2426" t="s">
        <v>152</v>
      </c>
      <c r="M2426" t="s">
        <v>59</v>
      </c>
      <c r="N2426" t="s">
        <v>47</v>
      </c>
      <c r="O2426" t="s">
        <v>152</v>
      </c>
      <c r="P2426" t="s">
        <v>152</v>
      </c>
      <c r="Q2426" s="3">
        <v>28</v>
      </c>
      <c r="R2426" t="s">
        <v>34</v>
      </c>
      <c r="S2426" t="s">
        <v>77</v>
      </c>
    </row>
    <row r="2427" spans="1:19" x14ac:dyDescent="0.25">
      <c r="A2427">
        <v>2426</v>
      </c>
      <c r="B2427">
        <v>58</v>
      </c>
      <c r="C2427" t="s">
        <v>19</v>
      </c>
      <c r="D2427" t="s">
        <v>73</v>
      </c>
      <c r="E2427" t="s">
        <v>43</v>
      </c>
      <c r="F2427" s="1">
        <v>49</v>
      </c>
      <c r="G2427" t="s">
        <v>114</v>
      </c>
      <c r="H2427" t="s">
        <v>38</v>
      </c>
      <c r="I2427" t="s">
        <v>79</v>
      </c>
      <c r="J2427" t="s">
        <v>54</v>
      </c>
      <c r="K2427" s="2">
        <v>3</v>
      </c>
      <c r="L2427" t="s">
        <v>152</v>
      </c>
      <c r="M2427" t="s">
        <v>29</v>
      </c>
      <c r="N2427" t="s">
        <v>72</v>
      </c>
      <c r="O2427" t="s">
        <v>152</v>
      </c>
      <c r="P2427" t="s">
        <v>152</v>
      </c>
      <c r="Q2427" s="3">
        <v>34</v>
      </c>
      <c r="R2427" t="s">
        <v>34</v>
      </c>
      <c r="S2427" t="s">
        <v>60</v>
      </c>
    </row>
    <row r="2428" spans="1:19" x14ac:dyDescent="0.25">
      <c r="A2428">
        <v>2427</v>
      </c>
      <c r="B2428">
        <v>70</v>
      </c>
      <c r="C2428" t="s">
        <v>19</v>
      </c>
      <c r="D2428" t="s">
        <v>102</v>
      </c>
      <c r="E2428" t="s">
        <v>65</v>
      </c>
      <c r="F2428" s="1">
        <v>42</v>
      </c>
      <c r="G2428" t="s">
        <v>103</v>
      </c>
      <c r="H2428" t="s">
        <v>45</v>
      </c>
      <c r="I2428" t="s">
        <v>79</v>
      </c>
      <c r="J2428" t="s">
        <v>58</v>
      </c>
      <c r="K2428" s="2">
        <v>4.5999999999999996</v>
      </c>
      <c r="L2428" t="s">
        <v>152</v>
      </c>
      <c r="M2428" t="s">
        <v>29</v>
      </c>
      <c r="N2428" t="s">
        <v>40</v>
      </c>
      <c r="O2428" t="s">
        <v>152</v>
      </c>
      <c r="P2428" t="s">
        <v>152</v>
      </c>
      <c r="Q2428" s="3">
        <v>26</v>
      </c>
      <c r="R2428" t="s">
        <v>59</v>
      </c>
      <c r="S2428" t="s">
        <v>97</v>
      </c>
    </row>
    <row r="2429" spans="1:19" x14ac:dyDescent="0.25">
      <c r="A2429">
        <v>2428</v>
      </c>
      <c r="B2429">
        <v>27</v>
      </c>
      <c r="C2429" t="s">
        <v>19</v>
      </c>
      <c r="D2429" t="s">
        <v>102</v>
      </c>
      <c r="E2429" t="s">
        <v>65</v>
      </c>
      <c r="F2429" s="1">
        <v>26</v>
      </c>
      <c r="G2429" t="s">
        <v>48</v>
      </c>
      <c r="H2429" t="s">
        <v>45</v>
      </c>
      <c r="I2429" t="s">
        <v>75</v>
      </c>
      <c r="J2429" t="s">
        <v>39</v>
      </c>
      <c r="K2429" s="2">
        <v>3.3</v>
      </c>
      <c r="L2429" t="s">
        <v>152</v>
      </c>
      <c r="M2429" t="s">
        <v>59</v>
      </c>
      <c r="N2429" t="s">
        <v>55</v>
      </c>
      <c r="O2429" t="s">
        <v>152</v>
      </c>
      <c r="P2429" t="s">
        <v>152</v>
      </c>
      <c r="Q2429" s="3">
        <v>45</v>
      </c>
      <c r="R2429" t="s">
        <v>35</v>
      </c>
      <c r="S2429" t="s">
        <v>60</v>
      </c>
    </row>
    <row r="2430" spans="1:19" x14ac:dyDescent="0.25">
      <c r="A2430">
        <v>2429</v>
      </c>
      <c r="B2430">
        <v>65</v>
      </c>
      <c r="C2430" t="s">
        <v>19</v>
      </c>
      <c r="D2430" t="s">
        <v>113</v>
      </c>
      <c r="E2430" t="s">
        <v>21</v>
      </c>
      <c r="F2430" s="1">
        <v>38</v>
      </c>
      <c r="G2430" t="s">
        <v>135</v>
      </c>
      <c r="H2430" t="s">
        <v>45</v>
      </c>
      <c r="I2430" t="s">
        <v>84</v>
      </c>
      <c r="J2430" t="s">
        <v>39</v>
      </c>
      <c r="K2430" s="2">
        <v>4.4000000000000004</v>
      </c>
      <c r="L2430" t="s">
        <v>152</v>
      </c>
      <c r="M2430" t="s">
        <v>46</v>
      </c>
      <c r="N2430" t="s">
        <v>47</v>
      </c>
      <c r="O2430" t="s">
        <v>152</v>
      </c>
      <c r="P2430" t="s">
        <v>152</v>
      </c>
      <c r="Q2430" s="3">
        <v>34</v>
      </c>
      <c r="R2430" t="s">
        <v>59</v>
      </c>
      <c r="S2430" t="s">
        <v>50</v>
      </c>
    </row>
    <row r="2431" spans="1:19" x14ac:dyDescent="0.25">
      <c r="A2431">
        <v>2430</v>
      </c>
      <c r="B2431">
        <v>57</v>
      </c>
      <c r="C2431" t="s">
        <v>19</v>
      </c>
      <c r="D2431" t="s">
        <v>51</v>
      </c>
      <c r="E2431" t="s">
        <v>43</v>
      </c>
      <c r="F2431" s="1">
        <v>57</v>
      </c>
      <c r="G2431" t="s">
        <v>141</v>
      </c>
      <c r="H2431" t="s">
        <v>92</v>
      </c>
      <c r="I2431" t="s">
        <v>33</v>
      </c>
      <c r="J2431" t="s">
        <v>54</v>
      </c>
      <c r="K2431" s="2">
        <v>4.4000000000000004</v>
      </c>
      <c r="L2431" t="s">
        <v>152</v>
      </c>
      <c r="M2431" t="s">
        <v>46</v>
      </c>
      <c r="N2431" t="s">
        <v>55</v>
      </c>
      <c r="O2431" t="s">
        <v>152</v>
      </c>
      <c r="P2431" t="s">
        <v>152</v>
      </c>
      <c r="Q2431" s="3">
        <v>47</v>
      </c>
      <c r="R2431" t="s">
        <v>27</v>
      </c>
      <c r="S2431" t="s">
        <v>30</v>
      </c>
    </row>
    <row r="2432" spans="1:19" x14ac:dyDescent="0.25">
      <c r="A2432">
        <v>2431</v>
      </c>
      <c r="B2432">
        <v>20</v>
      </c>
      <c r="C2432" t="s">
        <v>19</v>
      </c>
      <c r="D2432" t="s">
        <v>102</v>
      </c>
      <c r="E2432" t="s">
        <v>65</v>
      </c>
      <c r="F2432" s="1">
        <v>100</v>
      </c>
      <c r="G2432" t="s">
        <v>114</v>
      </c>
      <c r="H2432" t="s">
        <v>92</v>
      </c>
      <c r="I2432" t="s">
        <v>53</v>
      </c>
      <c r="J2432" t="s">
        <v>54</v>
      </c>
      <c r="K2432" s="2">
        <v>4.3</v>
      </c>
      <c r="L2432" t="s">
        <v>152</v>
      </c>
      <c r="M2432" t="s">
        <v>35</v>
      </c>
      <c r="N2432" t="s">
        <v>28</v>
      </c>
      <c r="O2432" t="s">
        <v>152</v>
      </c>
      <c r="P2432" t="s">
        <v>152</v>
      </c>
      <c r="Q2432" s="3">
        <v>42</v>
      </c>
      <c r="R2432" t="s">
        <v>35</v>
      </c>
      <c r="S2432" t="s">
        <v>60</v>
      </c>
    </row>
    <row r="2433" spans="1:19" x14ac:dyDescent="0.25">
      <c r="A2433">
        <v>2432</v>
      </c>
      <c r="B2433">
        <v>34</v>
      </c>
      <c r="C2433" t="s">
        <v>19</v>
      </c>
      <c r="D2433" t="s">
        <v>104</v>
      </c>
      <c r="E2433" t="s">
        <v>21</v>
      </c>
      <c r="F2433" s="1">
        <v>73</v>
      </c>
      <c r="G2433" t="s">
        <v>90</v>
      </c>
      <c r="H2433" t="s">
        <v>38</v>
      </c>
      <c r="I2433" t="s">
        <v>79</v>
      </c>
      <c r="J2433" t="s">
        <v>58</v>
      </c>
      <c r="K2433" s="2">
        <v>3.4</v>
      </c>
      <c r="L2433" t="s">
        <v>152</v>
      </c>
      <c r="M2433" t="s">
        <v>35</v>
      </c>
      <c r="N2433" t="s">
        <v>28</v>
      </c>
      <c r="O2433" t="s">
        <v>152</v>
      </c>
      <c r="P2433" t="s">
        <v>152</v>
      </c>
      <c r="Q2433" s="3">
        <v>27</v>
      </c>
      <c r="R2433" t="s">
        <v>34</v>
      </c>
      <c r="S2433" t="s">
        <v>97</v>
      </c>
    </row>
    <row r="2434" spans="1:19" x14ac:dyDescent="0.25">
      <c r="A2434">
        <v>2433</v>
      </c>
      <c r="B2434">
        <v>59</v>
      </c>
      <c r="C2434" t="s">
        <v>19</v>
      </c>
      <c r="D2434" t="s">
        <v>102</v>
      </c>
      <c r="E2434" t="s">
        <v>65</v>
      </c>
      <c r="F2434" s="1">
        <v>66</v>
      </c>
      <c r="G2434" t="s">
        <v>78</v>
      </c>
      <c r="H2434" t="s">
        <v>45</v>
      </c>
      <c r="I2434" t="s">
        <v>100</v>
      </c>
      <c r="J2434" t="s">
        <v>25</v>
      </c>
      <c r="K2434" s="2">
        <v>2.8</v>
      </c>
      <c r="L2434" t="s">
        <v>152</v>
      </c>
      <c r="M2434" t="s">
        <v>46</v>
      </c>
      <c r="N2434" t="s">
        <v>76</v>
      </c>
      <c r="O2434" t="s">
        <v>152</v>
      </c>
      <c r="P2434" t="s">
        <v>152</v>
      </c>
      <c r="Q2434" s="3">
        <v>43</v>
      </c>
      <c r="R2434" t="s">
        <v>29</v>
      </c>
      <c r="S2434" t="s">
        <v>88</v>
      </c>
    </row>
    <row r="2435" spans="1:19" x14ac:dyDescent="0.25">
      <c r="A2435">
        <v>2434</v>
      </c>
      <c r="B2435">
        <v>54</v>
      </c>
      <c r="C2435" t="s">
        <v>19</v>
      </c>
      <c r="D2435" t="s">
        <v>113</v>
      </c>
      <c r="E2435" t="s">
        <v>21</v>
      </c>
      <c r="F2435" s="1">
        <v>73</v>
      </c>
      <c r="G2435" t="s">
        <v>48</v>
      </c>
      <c r="H2435" t="s">
        <v>45</v>
      </c>
      <c r="I2435" t="s">
        <v>144</v>
      </c>
      <c r="J2435" t="s">
        <v>39</v>
      </c>
      <c r="K2435" s="2">
        <v>3.4</v>
      </c>
      <c r="L2435" t="s">
        <v>152</v>
      </c>
      <c r="M2435" t="s">
        <v>35</v>
      </c>
      <c r="N2435" t="s">
        <v>55</v>
      </c>
      <c r="O2435" t="s">
        <v>152</v>
      </c>
      <c r="P2435" t="s">
        <v>152</v>
      </c>
      <c r="Q2435" s="3">
        <v>16</v>
      </c>
      <c r="R2435" t="s">
        <v>35</v>
      </c>
      <c r="S2435" t="s">
        <v>77</v>
      </c>
    </row>
    <row r="2436" spans="1:19" x14ac:dyDescent="0.25">
      <c r="A2436">
        <v>2435</v>
      </c>
      <c r="B2436">
        <v>36</v>
      </c>
      <c r="C2436" t="s">
        <v>19</v>
      </c>
      <c r="D2436" t="s">
        <v>143</v>
      </c>
      <c r="E2436" t="s">
        <v>69</v>
      </c>
      <c r="F2436" s="1">
        <v>45</v>
      </c>
      <c r="G2436" t="s">
        <v>140</v>
      </c>
      <c r="H2436" t="s">
        <v>45</v>
      </c>
      <c r="I2436" t="s">
        <v>110</v>
      </c>
      <c r="J2436" t="s">
        <v>39</v>
      </c>
      <c r="K2436" s="2">
        <v>5</v>
      </c>
      <c r="L2436" t="s">
        <v>152</v>
      </c>
      <c r="M2436" t="s">
        <v>35</v>
      </c>
      <c r="N2436" t="s">
        <v>76</v>
      </c>
      <c r="O2436" t="s">
        <v>152</v>
      </c>
      <c r="P2436" t="s">
        <v>152</v>
      </c>
      <c r="Q2436" s="3">
        <v>40</v>
      </c>
      <c r="R2436" t="s">
        <v>27</v>
      </c>
      <c r="S2436" t="s">
        <v>88</v>
      </c>
    </row>
    <row r="2437" spans="1:19" x14ac:dyDescent="0.25">
      <c r="A2437">
        <v>2436</v>
      </c>
      <c r="B2437">
        <v>21</v>
      </c>
      <c r="C2437" t="s">
        <v>19</v>
      </c>
      <c r="D2437" t="s">
        <v>51</v>
      </c>
      <c r="E2437" t="s">
        <v>43</v>
      </c>
      <c r="F2437" s="1">
        <v>27</v>
      </c>
      <c r="G2437" t="s">
        <v>78</v>
      </c>
      <c r="H2437" t="s">
        <v>38</v>
      </c>
      <c r="I2437" t="s">
        <v>94</v>
      </c>
      <c r="J2437" t="s">
        <v>58</v>
      </c>
      <c r="K2437" s="2">
        <v>4.5</v>
      </c>
      <c r="L2437" t="s">
        <v>152</v>
      </c>
      <c r="M2437" t="s">
        <v>35</v>
      </c>
      <c r="N2437" t="s">
        <v>40</v>
      </c>
      <c r="O2437" t="s">
        <v>152</v>
      </c>
      <c r="P2437" t="s">
        <v>152</v>
      </c>
      <c r="Q2437" s="3">
        <v>29</v>
      </c>
      <c r="R2437" t="s">
        <v>35</v>
      </c>
      <c r="S2437" t="s">
        <v>77</v>
      </c>
    </row>
    <row r="2438" spans="1:19" x14ac:dyDescent="0.25">
      <c r="A2438">
        <v>2437</v>
      </c>
      <c r="B2438">
        <v>52</v>
      </c>
      <c r="C2438" t="s">
        <v>19</v>
      </c>
      <c r="D2438" t="s">
        <v>113</v>
      </c>
      <c r="E2438" t="s">
        <v>21</v>
      </c>
      <c r="F2438" s="1">
        <v>24</v>
      </c>
      <c r="G2438" t="s">
        <v>139</v>
      </c>
      <c r="H2438" t="s">
        <v>45</v>
      </c>
      <c r="I2438" t="s">
        <v>134</v>
      </c>
      <c r="J2438" t="s">
        <v>58</v>
      </c>
      <c r="K2438" s="2">
        <v>2.7</v>
      </c>
      <c r="L2438" t="s">
        <v>152</v>
      </c>
      <c r="M2438" t="s">
        <v>27</v>
      </c>
      <c r="N2438" t="s">
        <v>76</v>
      </c>
      <c r="O2438" t="s">
        <v>152</v>
      </c>
      <c r="P2438" t="s">
        <v>152</v>
      </c>
      <c r="Q2438" s="3">
        <v>38</v>
      </c>
      <c r="R2438" t="s">
        <v>27</v>
      </c>
      <c r="S2438" t="s">
        <v>60</v>
      </c>
    </row>
    <row r="2439" spans="1:19" x14ac:dyDescent="0.25">
      <c r="A2439">
        <v>2438</v>
      </c>
      <c r="B2439">
        <v>43</v>
      </c>
      <c r="C2439" t="s">
        <v>19</v>
      </c>
      <c r="D2439" t="s">
        <v>51</v>
      </c>
      <c r="E2439" t="s">
        <v>43</v>
      </c>
      <c r="F2439" s="1">
        <v>59</v>
      </c>
      <c r="G2439" t="s">
        <v>52</v>
      </c>
      <c r="H2439" t="s">
        <v>92</v>
      </c>
      <c r="I2439" t="s">
        <v>136</v>
      </c>
      <c r="J2439" t="s">
        <v>25</v>
      </c>
      <c r="K2439" s="2">
        <v>3.4</v>
      </c>
      <c r="L2439" t="s">
        <v>152</v>
      </c>
      <c r="M2439" t="s">
        <v>27</v>
      </c>
      <c r="N2439" t="s">
        <v>76</v>
      </c>
      <c r="O2439" t="s">
        <v>152</v>
      </c>
      <c r="P2439" t="s">
        <v>152</v>
      </c>
      <c r="Q2439" s="3">
        <v>34</v>
      </c>
      <c r="R2439" t="s">
        <v>27</v>
      </c>
      <c r="S2439" t="s">
        <v>41</v>
      </c>
    </row>
    <row r="2440" spans="1:19" x14ac:dyDescent="0.25">
      <c r="A2440">
        <v>2439</v>
      </c>
      <c r="B2440">
        <v>32</v>
      </c>
      <c r="C2440" t="s">
        <v>19</v>
      </c>
      <c r="D2440" t="s">
        <v>36</v>
      </c>
      <c r="E2440" t="s">
        <v>21</v>
      </c>
      <c r="F2440" s="1">
        <v>20</v>
      </c>
      <c r="G2440" t="s">
        <v>80</v>
      </c>
      <c r="H2440" t="s">
        <v>38</v>
      </c>
      <c r="I2440" t="s">
        <v>109</v>
      </c>
      <c r="J2440" t="s">
        <v>25</v>
      </c>
      <c r="K2440" s="2">
        <v>3.4</v>
      </c>
      <c r="L2440" t="s">
        <v>152</v>
      </c>
      <c r="M2440" t="s">
        <v>35</v>
      </c>
      <c r="N2440" t="s">
        <v>28</v>
      </c>
      <c r="O2440" t="s">
        <v>152</v>
      </c>
      <c r="P2440" t="s">
        <v>152</v>
      </c>
      <c r="Q2440" s="3">
        <v>30</v>
      </c>
      <c r="R2440" t="s">
        <v>29</v>
      </c>
      <c r="S2440" t="s">
        <v>41</v>
      </c>
    </row>
    <row r="2441" spans="1:19" x14ac:dyDescent="0.25">
      <c r="A2441">
        <v>2440</v>
      </c>
      <c r="B2441">
        <v>55</v>
      </c>
      <c r="C2441" t="s">
        <v>19</v>
      </c>
      <c r="D2441" t="s">
        <v>68</v>
      </c>
      <c r="E2441" t="s">
        <v>69</v>
      </c>
      <c r="F2441" s="1">
        <v>44</v>
      </c>
      <c r="G2441" t="s">
        <v>74</v>
      </c>
      <c r="H2441" t="s">
        <v>45</v>
      </c>
      <c r="I2441" t="s">
        <v>33</v>
      </c>
      <c r="J2441" t="s">
        <v>54</v>
      </c>
      <c r="K2441" s="2">
        <v>2.8</v>
      </c>
      <c r="L2441" t="s">
        <v>152</v>
      </c>
      <c r="M2441" t="s">
        <v>35</v>
      </c>
      <c r="N2441" t="s">
        <v>55</v>
      </c>
      <c r="O2441" t="s">
        <v>152</v>
      </c>
      <c r="P2441" t="s">
        <v>152</v>
      </c>
      <c r="Q2441" s="3">
        <v>45</v>
      </c>
      <c r="R2441" t="s">
        <v>34</v>
      </c>
      <c r="S2441" t="s">
        <v>50</v>
      </c>
    </row>
    <row r="2442" spans="1:19" x14ac:dyDescent="0.25">
      <c r="A2442">
        <v>2441</v>
      </c>
      <c r="B2442">
        <v>31</v>
      </c>
      <c r="C2442" t="s">
        <v>19</v>
      </c>
      <c r="D2442" t="s">
        <v>125</v>
      </c>
      <c r="E2442" t="s">
        <v>21</v>
      </c>
      <c r="F2442" s="1">
        <v>90</v>
      </c>
      <c r="G2442" t="s">
        <v>116</v>
      </c>
      <c r="H2442" t="s">
        <v>45</v>
      </c>
      <c r="I2442" t="s">
        <v>108</v>
      </c>
      <c r="J2442" t="s">
        <v>39</v>
      </c>
      <c r="K2442" s="2">
        <v>4.7</v>
      </c>
      <c r="L2442" t="s">
        <v>152</v>
      </c>
      <c r="M2442" t="s">
        <v>34</v>
      </c>
      <c r="N2442" t="s">
        <v>55</v>
      </c>
      <c r="O2442" t="s">
        <v>152</v>
      </c>
      <c r="P2442" t="s">
        <v>152</v>
      </c>
      <c r="Q2442" s="3">
        <v>47</v>
      </c>
      <c r="R2442" t="s">
        <v>34</v>
      </c>
      <c r="S2442" t="s">
        <v>50</v>
      </c>
    </row>
    <row r="2443" spans="1:19" x14ac:dyDescent="0.25">
      <c r="A2443">
        <v>2442</v>
      </c>
      <c r="B2443">
        <v>45</v>
      </c>
      <c r="C2443" t="s">
        <v>19</v>
      </c>
      <c r="D2443" t="s">
        <v>106</v>
      </c>
      <c r="E2443" t="s">
        <v>69</v>
      </c>
      <c r="F2443" s="1">
        <v>36</v>
      </c>
      <c r="G2443" t="s">
        <v>99</v>
      </c>
      <c r="H2443" t="s">
        <v>45</v>
      </c>
      <c r="I2443" t="s">
        <v>94</v>
      </c>
      <c r="J2443" t="s">
        <v>58</v>
      </c>
      <c r="K2443" s="2">
        <v>4.7</v>
      </c>
      <c r="L2443" t="s">
        <v>152</v>
      </c>
      <c r="M2443" t="s">
        <v>27</v>
      </c>
      <c r="N2443" t="s">
        <v>40</v>
      </c>
      <c r="O2443" t="s">
        <v>152</v>
      </c>
      <c r="P2443" t="s">
        <v>152</v>
      </c>
      <c r="Q2443" s="3">
        <v>5</v>
      </c>
      <c r="R2443" t="s">
        <v>27</v>
      </c>
      <c r="S2443" t="s">
        <v>88</v>
      </c>
    </row>
    <row r="2444" spans="1:19" x14ac:dyDescent="0.25">
      <c r="A2444">
        <v>2443</v>
      </c>
      <c r="B2444">
        <v>53</v>
      </c>
      <c r="C2444" t="s">
        <v>19</v>
      </c>
      <c r="D2444" t="s">
        <v>20</v>
      </c>
      <c r="E2444" t="s">
        <v>21</v>
      </c>
      <c r="F2444" s="1">
        <v>95</v>
      </c>
      <c r="G2444" t="s">
        <v>52</v>
      </c>
      <c r="H2444" t="s">
        <v>23</v>
      </c>
      <c r="I2444" t="s">
        <v>84</v>
      </c>
      <c r="J2444" t="s">
        <v>25</v>
      </c>
      <c r="K2444" s="2">
        <v>4.7</v>
      </c>
      <c r="L2444" t="s">
        <v>152</v>
      </c>
      <c r="M2444" t="s">
        <v>46</v>
      </c>
      <c r="N2444" t="s">
        <v>40</v>
      </c>
      <c r="O2444" t="s">
        <v>152</v>
      </c>
      <c r="P2444" t="s">
        <v>152</v>
      </c>
      <c r="Q2444" s="3">
        <v>50</v>
      </c>
      <c r="R2444" t="s">
        <v>59</v>
      </c>
      <c r="S2444" t="s">
        <v>77</v>
      </c>
    </row>
    <row r="2445" spans="1:19" x14ac:dyDescent="0.25">
      <c r="A2445">
        <v>2444</v>
      </c>
      <c r="B2445">
        <v>24</v>
      </c>
      <c r="C2445" t="s">
        <v>19</v>
      </c>
      <c r="D2445" t="s">
        <v>132</v>
      </c>
      <c r="E2445" t="s">
        <v>69</v>
      </c>
      <c r="F2445" s="1">
        <v>30</v>
      </c>
      <c r="G2445" t="s">
        <v>147</v>
      </c>
      <c r="H2445" t="s">
        <v>45</v>
      </c>
      <c r="I2445" t="s">
        <v>96</v>
      </c>
      <c r="J2445" t="s">
        <v>39</v>
      </c>
      <c r="K2445" s="2">
        <v>3.4</v>
      </c>
      <c r="L2445" t="s">
        <v>152</v>
      </c>
      <c r="M2445" t="s">
        <v>29</v>
      </c>
      <c r="N2445" t="s">
        <v>72</v>
      </c>
      <c r="O2445" t="s">
        <v>152</v>
      </c>
      <c r="P2445" t="s">
        <v>152</v>
      </c>
      <c r="Q2445" s="3">
        <v>24</v>
      </c>
      <c r="R2445" t="s">
        <v>34</v>
      </c>
      <c r="S2445" t="s">
        <v>77</v>
      </c>
    </row>
    <row r="2446" spans="1:19" x14ac:dyDescent="0.25">
      <c r="A2446">
        <v>2445</v>
      </c>
      <c r="B2446">
        <v>47</v>
      </c>
      <c r="C2446" t="s">
        <v>19</v>
      </c>
      <c r="D2446" t="s">
        <v>119</v>
      </c>
      <c r="E2446" t="s">
        <v>69</v>
      </c>
      <c r="F2446" s="1">
        <v>65</v>
      </c>
      <c r="G2446" t="s">
        <v>66</v>
      </c>
      <c r="H2446" t="s">
        <v>38</v>
      </c>
      <c r="I2446" t="s">
        <v>81</v>
      </c>
      <c r="J2446" t="s">
        <v>58</v>
      </c>
      <c r="K2446" s="2">
        <v>3.7</v>
      </c>
      <c r="L2446" t="s">
        <v>152</v>
      </c>
      <c r="M2446" t="s">
        <v>35</v>
      </c>
      <c r="N2446" t="s">
        <v>28</v>
      </c>
      <c r="O2446" t="s">
        <v>152</v>
      </c>
      <c r="P2446" t="s">
        <v>152</v>
      </c>
      <c r="Q2446" s="3">
        <v>15</v>
      </c>
      <c r="R2446" t="s">
        <v>59</v>
      </c>
      <c r="S2446" t="s">
        <v>77</v>
      </c>
    </row>
    <row r="2447" spans="1:19" x14ac:dyDescent="0.25">
      <c r="A2447">
        <v>2446</v>
      </c>
      <c r="B2447">
        <v>63</v>
      </c>
      <c r="C2447" t="s">
        <v>19</v>
      </c>
      <c r="D2447" t="s">
        <v>119</v>
      </c>
      <c r="E2447" t="s">
        <v>69</v>
      </c>
      <c r="F2447" s="1">
        <v>96</v>
      </c>
      <c r="G2447" t="s">
        <v>122</v>
      </c>
      <c r="H2447" t="s">
        <v>45</v>
      </c>
      <c r="I2447" t="s">
        <v>110</v>
      </c>
      <c r="J2447" t="s">
        <v>54</v>
      </c>
      <c r="K2447" s="2">
        <v>4.0999999999999996</v>
      </c>
      <c r="L2447" t="s">
        <v>152</v>
      </c>
      <c r="M2447" t="s">
        <v>46</v>
      </c>
      <c r="N2447" t="s">
        <v>76</v>
      </c>
      <c r="O2447" t="s">
        <v>152</v>
      </c>
      <c r="P2447" t="s">
        <v>152</v>
      </c>
      <c r="Q2447" s="3">
        <v>50</v>
      </c>
      <c r="R2447" t="s">
        <v>35</v>
      </c>
      <c r="S2447" t="s">
        <v>41</v>
      </c>
    </row>
    <row r="2448" spans="1:19" x14ac:dyDescent="0.25">
      <c r="A2448">
        <v>2447</v>
      </c>
      <c r="B2448">
        <v>38</v>
      </c>
      <c r="C2448" t="s">
        <v>19</v>
      </c>
      <c r="D2448" t="s">
        <v>56</v>
      </c>
      <c r="E2448" t="s">
        <v>21</v>
      </c>
      <c r="F2448" s="1">
        <v>65</v>
      </c>
      <c r="G2448" t="s">
        <v>120</v>
      </c>
      <c r="H2448" t="s">
        <v>23</v>
      </c>
      <c r="I2448" t="s">
        <v>100</v>
      </c>
      <c r="J2448" t="s">
        <v>39</v>
      </c>
      <c r="K2448" s="2">
        <v>2.9</v>
      </c>
      <c r="L2448" t="s">
        <v>152</v>
      </c>
      <c r="M2448" t="s">
        <v>35</v>
      </c>
      <c r="N2448" t="s">
        <v>72</v>
      </c>
      <c r="O2448" t="s">
        <v>152</v>
      </c>
      <c r="P2448" t="s">
        <v>152</v>
      </c>
      <c r="Q2448" s="3">
        <v>7</v>
      </c>
      <c r="R2448" t="s">
        <v>27</v>
      </c>
      <c r="S2448" t="s">
        <v>88</v>
      </c>
    </row>
    <row r="2449" spans="1:19" x14ac:dyDescent="0.25">
      <c r="A2449">
        <v>2448</v>
      </c>
      <c r="B2449">
        <v>59</v>
      </c>
      <c r="C2449" t="s">
        <v>19</v>
      </c>
      <c r="D2449" t="s">
        <v>95</v>
      </c>
      <c r="E2449" t="s">
        <v>21</v>
      </c>
      <c r="F2449" s="1">
        <v>47</v>
      </c>
      <c r="G2449" t="s">
        <v>147</v>
      </c>
      <c r="H2449" t="s">
        <v>23</v>
      </c>
      <c r="I2449" t="s">
        <v>100</v>
      </c>
      <c r="J2449" t="s">
        <v>58</v>
      </c>
      <c r="K2449" s="2">
        <v>3.2</v>
      </c>
      <c r="L2449" t="s">
        <v>152</v>
      </c>
      <c r="M2449" t="s">
        <v>29</v>
      </c>
      <c r="N2449" t="s">
        <v>76</v>
      </c>
      <c r="O2449" t="s">
        <v>152</v>
      </c>
      <c r="P2449" t="s">
        <v>152</v>
      </c>
      <c r="Q2449" s="3">
        <v>10</v>
      </c>
      <c r="R2449" t="s">
        <v>29</v>
      </c>
      <c r="S2449" t="s">
        <v>30</v>
      </c>
    </row>
    <row r="2450" spans="1:19" x14ac:dyDescent="0.25">
      <c r="A2450">
        <v>2449</v>
      </c>
      <c r="B2450">
        <v>54</v>
      </c>
      <c r="C2450" t="s">
        <v>19</v>
      </c>
      <c r="D2450" t="s">
        <v>124</v>
      </c>
      <c r="E2450" t="s">
        <v>69</v>
      </c>
      <c r="F2450" s="1">
        <v>25</v>
      </c>
      <c r="G2450" t="s">
        <v>122</v>
      </c>
      <c r="H2450" t="s">
        <v>38</v>
      </c>
      <c r="I2450" t="s">
        <v>84</v>
      </c>
      <c r="J2450" t="s">
        <v>58</v>
      </c>
      <c r="K2450" s="2">
        <v>3</v>
      </c>
      <c r="L2450" t="s">
        <v>152</v>
      </c>
      <c r="M2450" t="s">
        <v>34</v>
      </c>
      <c r="N2450" t="s">
        <v>40</v>
      </c>
      <c r="O2450" t="s">
        <v>152</v>
      </c>
      <c r="P2450" t="s">
        <v>152</v>
      </c>
      <c r="Q2450" s="3">
        <v>38</v>
      </c>
      <c r="R2450" t="s">
        <v>46</v>
      </c>
      <c r="S2450" t="s">
        <v>77</v>
      </c>
    </row>
    <row r="2451" spans="1:19" x14ac:dyDescent="0.25">
      <c r="A2451">
        <v>2450</v>
      </c>
      <c r="B2451">
        <v>26</v>
      </c>
      <c r="C2451" t="s">
        <v>19</v>
      </c>
      <c r="D2451" t="s">
        <v>64</v>
      </c>
      <c r="E2451" t="s">
        <v>65</v>
      </c>
      <c r="F2451" s="1">
        <v>56</v>
      </c>
      <c r="G2451" t="s">
        <v>90</v>
      </c>
      <c r="H2451" t="s">
        <v>38</v>
      </c>
      <c r="I2451" t="s">
        <v>84</v>
      </c>
      <c r="J2451" t="s">
        <v>58</v>
      </c>
      <c r="K2451" s="2">
        <v>4.0999999999999996</v>
      </c>
      <c r="L2451" t="s">
        <v>152</v>
      </c>
      <c r="M2451" t="s">
        <v>59</v>
      </c>
      <c r="N2451" t="s">
        <v>28</v>
      </c>
      <c r="O2451" t="s">
        <v>152</v>
      </c>
      <c r="P2451" t="s">
        <v>152</v>
      </c>
      <c r="Q2451" s="3">
        <v>31</v>
      </c>
      <c r="R2451" t="s">
        <v>29</v>
      </c>
      <c r="S2451" t="s">
        <v>30</v>
      </c>
    </row>
    <row r="2452" spans="1:19" x14ac:dyDescent="0.25">
      <c r="A2452">
        <v>2451</v>
      </c>
      <c r="B2452">
        <v>68</v>
      </c>
      <c r="C2452" t="s">
        <v>19</v>
      </c>
      <c r="D2452" t="s">
        <v>113</v>
      </c>
      <c r="E2452" t="s">
        <v>21</v>
      </c>
      <c r="F2452" s="1">
        <v>76</v>
      </c>
      <c r="G2452" t="s">
        <v>98</v>
      </c>
      <c r="H2452" t="s">
        <v>45</v>
      </c>
      <c r="I2452" t="s">
        <v>136</v>
      </c>
      <c r="J2452" t="s">
        <v>58</v>
      </c>
      <c r="K2452" s="2">
        <v>4.5</v>
      </c>
      <c r="L2452" t="s">
        <v>152</v>
      </c>
      <c r="M2452" t="s">
        <v>29</v>
      </c>
      <c r="N2452" t="s">
        <v>55</v>
      </c>
      <c r="O2452" t="s">
        <v>152</v>
      </c>
      <c r="P2452" t="s">
        <v>152</v>
      </c>
      <c r="Q2452" s="3">
        <v>7</v>
      </c>
      <c r="R2452" t="s">
        <v>29</v>
      </c>
      <c r="S2452" t="s">
        <v>60</v>
      </c>
    </row>
    <row r="2453" spans="1:19" x14ac:dyDescent="0.25">
      <c r="A2453">
        <v>2452</v>
      </c>
      <c r="B2453">
        <v>41</v>
      </c>
      <c r="C2453" t="s">
        <v>19</v>
      </c>
      <c r="D2453" t="s">
        <v>125</v>
      </c>
      <c r="E2453" t="s">
        <v>21</v>
      </c>
      <c r="F2453" s="1">
        <v>60</v>
      </c>
      <c r="G2453" t="s">
        <v>101</v>
      </c>
      <c r="H2453" t="s">
        <v>45</v>
      </c>
      <c r="I2453" t="s">
        <v>75</v>
      </c>
      <c r="J2453" t="s">
        <v>58</v>
      </c>
      <c r="K2453" s="2">
        <v>3.4</v>
      </c>
      <c r="L2453" t="s">
        <v>152</v>
      </c>
      <c r="M2453" t="s">
        <v>59</v>
      </c>
      <c r="N2453" t="s">
        <v>76</v>
      </c>
      <c r="O2453" t="s">
        <v>152</v>
      </c>
      <c r="P2453" t="s">
        <v>152</v>
      </c>
      <c r="Q2453" s="3">
        <v>27</v>
      </c>
      <c r="R2453" t="s">
        <v>29</v>
      </c>
      <c r="S2453" t="s">
        <v>88</v>
      </c>
    </row>
    <row r="2454" spans="1:19" x14ac:dyDescent="0.25">
      <c r="A2454">
        <v>2453</v>
      </c>
      <c r="B2454">
        <v>68</v>
      </c>
      <c r="C2454" t="s">
        <v>19</v>
      </c>
      <c r="D2454" t="s">
        <v>56</v>
      </c>
      <c r="E2454" t="s">
        <v>21</v>
      </c>
      <c r="F2454" s="1">
        <v>67</v>
      </c>
      <c r="G2454" t="s">
        <v>85</v>
      </c>
      <c r="H2454" t="s">
        <v>23</v>
      </c>
      <c r="I2454" t="s">
        <v>75</v>
      </c>
      <c r="J2454" t="s">
        <v>25</v>
      </c>
      <c r="K2454" s="2">
        <v>4.0999999999999996</v>
      </c>
      <c r="L2454" t="s">
        <v>152</v>
      </c>
      <c r="M2454" t="s">
        <v>29</v>
      </c>
      <c r="N2454" t="s">
        <v>28</v>
      </c>
      <c r="O2454" t="s">
        <v>152</v>
      </c>
      <c r="P2454" t="s">
        <v>152</v>
      </c>
      <c r="Q2454" s="3">
        <v>45</v>
      </c>
      <c r="R2454" t="s">
        <v>34</v>
      </c>
      <c r="S2454" t="s">
        <v>97</v>
      </c>
    </row>
    <row r="2455" spans="1:19" x14ac:dyDescent="0.25">
      <c r="A2455">
        <v>2454</v>
      </c>
      <c r="B2455">
        <v>21</v>
      </c>
      <c r="C2455" t="s">
        <v>19</v>
      </c>
      <c r="D2455" t="s">
        <v>31</v>
      </c>
      <c r="E2455" t="s">
        <v>21</v>
      </c>
      <c r="F2455" s="1">
        <v>95</v>
      </c>
      <c r="G2455" t="s">
        <v>146</v>
      </c>
      <c r="H2455" t="s">
        <v>92</v>
      </c>
      <c r="I2455" t="s">
        <v>109</v>
      </c>
      <c r="J2455" t="s">
        <v>39</v>
      </c>
      <c r="K2455" s="2">
        <v>4.5999999999999996</v>
      </c>
      <c r="L2455" t="s">
        <v>152</v>
      </c>
      <c r="M2455" t="s">
        <v>46</v>
      </c>
      <c r="N2455" t="s">
        <v>76</v>
      </c>
      <c r="O2455" t="s">
        <v>152</v>
      </c>
      <c r="P2455" t="s">
        <v>152</v>
      </c>
      <c r="Q2455" s="3">
        <v>13</v>
      </c>
      <c r="R2455" t="s">
        <v>35</v>
      </c>
      <c r="S2455" t="s">
        <v>50</v>
      </c>
    </row>
    <row r="2456" spans="1:19" x14ac:dyDescent="0.25">
      <c r="A2456">
        <v>2455</v>
      </c>
      <c r="B2456">
        <v>32</v>
      </c>
      <c r="C2456" t="s">
        <v>19</v>
      </c>
      <c r="D2456" t="s">
        <v>143</v>
      </c>
      <c r="E2456" t="s">
        <v>69</v>
      </c>
      <c r="F2456" s="1">
        <v>72</v>
      </c>
      <c r="G2456" t="s">
        <v>120</v>
      </c>
      <c r="H2456" t="s">
        <v>45</v>
      </c>
      <c r="I2456" t="s">
        <v>136</v>
      </c>
      <c r="J2456" t="s">
        <v>25</v>
      </c>
      <c r="K2456" s="2">
        <v>4.5999999999999996</v>
      </c>
      <c r="L2456" t="s">
        <v>152</v>
      </c>
      <c r="M2456" t="s">
        <v>34</v>
      </c>
      <c r="N2456" t="s">
        <v>28</v>
      </c>
      <c r="O2456" t="s">
        <v>152</v>
      </c>
      <c r="P2456" t="s">
        <v>152</v>
      </c>
      <c r="Q2456" s="3">
        <v>33</v>
      </c>
      <c r="R2456" t="s">
        <v>29</v>
      </c>
      <c r="S2456" t="s">
        <v>50</v>
      </c>
    </row>
    <row r="2457" spans="1:19" x14ac:dyDescent="0.25">
      <c r="A2457">
        <v>2456</v>
      </c>
      <c r="B2457">
        <v>20</v>
      </c>
      <c r="C2457" t="s">
        <v>19</v>
      </c>
      <c r="D2457" t="s">
        <v>133</v>
      </c>
      <c r="E2457" t="s">
        <v>69</v>
      </c>
      <c r="F2457" s="1">
        <v>98</v>
      </c>
      <c r="G2457" t="s">
        <v>120</v>
      </c>
      <c r="H2457" t="s">
        <v>23</v>
      </c>
      <c r="I2457" t="s">
        <v>93</v>
      </c>
      <c r="J2457" t="s">
        <v>39</v>
      </c>
      <c r="K2457" s="2">
        <v>3.4</v>
      </c>
      <c r="L2457" t="s">
        <v>152</v>
      </c>
      <c r="M2457" t="s">
        <v>46</v>
      </c>
      <c r="N2457" t="s">
        <v>28</v>
      </c>
      <c r="O2457" t="s">
        <v>152</v>
      </c>
      <c r="P2457" t="s">
        <v>152</v>
      </c>
      <c r="Q2457" s="3">
        <v>25</v>
      </c>
      <c r="R2457" t="s">
        <v>35</v>
      </c>
      <c r="S2457" t="s">
        <v>97</v>
      </c>
    </row>
    <row r="2458" spans="1:19" x14ac:dyDescent="0.25">
      <c r="A2458">
        <v>2457</v>
      </c>
      <c r="B2458">
        <v>59</v>
      </c>
      <c r="C2458" t="s">
        <v>19</v>
      </c>
      <c r="D2458" t="s">
        <v>36</v>
      </c>
      <c r="E2458" t="s">
        <v>21</v>
      </c>
      <c r="F2458" s="1">
        <v>83</v>
      </c>
      <c r="G2458" t="s">
        <v>145</v>
      </c>
      <c r="H2458" t="s">
        <v>45</v>
      </c>
      <c r="I2458" t="s">
        <v>96</v>
      </c>
      <c r="J2458" t="s">
        <v>25</v>
      </c>
      <c r="K2458" s="2">
        <v>3.3</v>
      </c>
      <c r="L2458" t="s">
        <v>152</v>
      </c>
      <c r="M2458" t="s">
        <v>27</v>
      </c>
      <c r="N2458" t="s">
        <v>72</v>
      </c>
      <c r="O2458" t="s">
        <v>152</v>
      </c>
      <c r="P2458" t="s">
        <v>152</v>
      </c>
      <c r="Q2458" s="3">
        <v>5</v>
      </c>
      <c r="R2458" t="s">
        <v>46</v>
      </c>
      <c r="S2458" t="s">
        <v>88</v>
      </c>
    </row>
    <row r="2459" spans="1:19" x14ac:dyDescent="0.25">
      <c r="A2459">
        <v>2458</v>
      </c>
      <c r="B2459">
        <v>53</v>
      </c>
      <c r="C2459" t="s">
        <v>19</v>
      </c>
      <c r="D2459" t="s">
        <v>68</v>
      </c>
      <c r="E2459" t="s">
        <v>69</v>
      </c>
      <c r="F2459" s="1">
        <v>37</v>
      </c>
      <c r="G2459" t="s">
        <v>80</v>
      </c>
      <c r="H2459" t="s">
        <v>45</v>
      </c>
      <c r="I2459" t="s">
        <v>33</v>
      </c>
      <c r="J2459" t="s">
        <v>58</v>
      </c>
      <c r="K2459" s="2">
        <v>3.6</v>
      </c>
      <c r="L2459" t="s">
        <v>152</v>
      </c>
      <c r="M2459" t="s">
        <v>46</v>
      </c>
      <c r="N2459" t="s">
        <v>72</v>
      </c>
      <c r="O2459" t="s">
        <v>152</v>
      </c>
      <c r="P2459" t="s">
        <v>152</v>
      </c>
      <c r="Q2459" s="3">
        <v>23</v>
      </c>
      <c r="R2459" t="s">
        <v>35</v>
      </c>
      <c r="S2459" t="s">
        <v>60</v>
      </c>
    </row>
    <row r="2460" spans="1:19" x14ac:dyDescent="0.25">
      <c r="A2460">
        <v>2459</v>
      </c>
      <c r="B2460">
        <v>66</v>
      </c>
      <c r="C2460" t="s">
        <v>19</v>
      </c>
      <c r="D2460" t="s">
        <v>113</v>
      </c>
      <c r="E2460" t="s">
        <v>21</v>
      </c>
      <c r="F2460" s="1">
        <v>85</v>
      </c>
      <c r="G2460" t="s">
        <v>105</v>
      </c>
      <c r="H2460" t="s">
        <v>23</v>
      </c>
      <c r="I2460" t="s">
        <v>49</v>
      </c>
      <c r="J2460" t="s">
        <v>58</v>
      </c>
      <c r="K2460" s="2">
        <v>4.5999999999999996</v>
      </c>
      <c r="L2460" t="s">
        <v>152</v>
      </c>
      <c r="M2460" t="s">
        <v>34</v>
      </c>
      <c r="N2460" t="s">
        <v>40</v>
      </c>
      <c r="O2460" t="s">
        <v>152</v>
      </c>
      <c r="P2460" t="s">
        <v>152</v>
      </c>
      <c r="Q2460" s="3">
        <v>17</v>
      </c>
      <c r="R2460" t="s">
        <v>34</v>
      </c>
      <c r="S2460" t="s">
        <v>41</v>
      </c>
    </row>
    <row r="2461" spans="1:19" x14ac:dyDescent="0.25">
      <c r="A2461">
        <v>2460</v>
      </c>
      <c r="B2461">
        <v>47</v>
      </c>
      <c r="C2461" t="s">
        <v>19</v>
      </c>
      <c r="D2461" t="s">
        <v>125</v>
      </c>
      <c r="E2461" t="s">
        <v>21</v>
      </c>
      <c r="F2461" s="1">
        <v>36</v>
      </c>
      <c r="G2461" t="s">
        <v>70</v>
      </c>
      <c r="H2461" t="s">
        <v>23</v>
      </c>
      <c r="I2461" t="s">
        <v>84</v>
      </c>
      <c r="J2461" t="s">
        <v>58</v>
      </c>
      <c r="K2461" s="2">
        <v>4.3</v>
      </c>
      <c r="L2461" t="s">
        <v>152</v>
      </c>
      <c r="M2461" t="s">
        <v>46</v>
      </c>
      <c r="N2461" t="s">
        <v>72</v>
      </c>
      <c r="O2461" t="s">
        <v>152</v>
      </c>
      <c r="P2461" t="s">
        <v>152</v>
      </c>
      <c r="Q2461" s="3">
        <v>14</v>
      </c>
      <c r="R2461" t="s">
        <v>35</v>
      </c>
      <c r="S2461" t="s">
        <v>41</v>
      </c>
    </row>
    <row r="2462" spans="1:19" x14ac:dyDescent="0.25">
      <c r="A2462">
        <v>2461</v>
      </c>
      <c r="B2462">
        <v>58</v>
      </c>
      <c r="C2462" t="s">
        <v>19</v>
      </c>
      <c r="D2462" t="s">
        <v>36</v>
      </c>
      <c r="E2462" t="s">
        <v>21</v>
      </c>
      <c r="F2462" s="1">
        <v>36</v>
      </c>
      <c r="G2462" t="s">
        <v>32</v>
      </c>
      <c r="H2462" t="s">
        <v>38</v>
      </c>
      <c r="I2462" t="s">
        <v>93</v>
      </c>
      <c r="J2462" t="s">
        <v>25</v>
      </c>
      <c r="K2462" s="2">
        <v>4</v>
      </c>
      <c r="L2462" t="s">
        <v>152</v>
      </c>
      <c r="M2462" t="s">
        <v>29</v>
      </c>
      <c r="N2462" t="s">
        <v>76</v>
      </c>
      <c r="O2462" t="s">
        <v>152</v>
      </c>
      <c r="P2462" t="s">
        <v>152</v>
      </c>
      <c r="Q2462" s="3">
        <v>28</v>
      </c>
      <c r="R2462" t="s">
        <v>27</v>
      </c>
      <c r="S2462" t="s">
        <v>50</v>
      </c>
    </row>
    <row r="2463" spans="1:19" x14ac:dyDescent="0.25">
      <c r="A2463">
        <v>2462</v>
      </c>
      <c r="B2463">
        <v>28</v>
      </c>
      <c r="C2463" t="s">
        <v>19</v>
      </c>
      <c r="D2463" t="s">
        <v>119</v>
      </c>
      <c r="E2463" t="s">
        <v>69</v>
      </c>
      <c r="F2463" s="1">
        <v>86</v>
      </c>
      <c r="G2463" t="s">
        <v>138</v>
      </c>
      <c r="H2463" t="s">
        <v>23</v>
      </c>
      <c r="I2463" t="s">
        <v>108</v>
      </c>
      <c r="J2463" t="s">
        <v>54</v>
      </c>
      <c r="K2463" s="2">
        <v>4.8</v>
      </c>
      <c r="L2463" t="s">
        <v>152</v>
      </c>
      <c r="M2463" t="s">
        <v>46</v>
      </c>
      <c r="N2463" t="s">
        <v>47</v>
      </c>
      <c r="O2463" t="s">
        <v>152</v>
      </c>
      <c r="P2463" t="s">
        <v>152</v>
      </c>
      <c r="Q2463" s="3">
        <v>19</v>
      </c>
      <c r="R2463" t="s">
        <v>27</v>
      </c>
      <c r="S2463" t="s">
        <v>41</v>
      </c>
    </row>
    <row r="2464" spans="1:19" x14ac:dyDescent="0.25">
      <c r="A2464">
        <v>2463</v>
      </c>
      <c r="B2464">
        <v>68</v>
      </c>
      <c r="C2464" t="s">
        <v>19</v>
      </c>
      <c r="D2464" t="s">
        <v>95</v>
      </c>
      <c r="E2464" t="s">
        <v>21</v>
      </c>
      <c r="F2464" s="1">
        <v>99</v>
      </c>
      <c r="G2464" t="s">
        <v>70</v>
      </c>
      <c r="H2464" t="s">
        <v>92</v>
      </c>
      <c r="I2464" t="s">
        <v>121</v>
      </c>
      <c r="J2464" t="s">
        <v>39</v>
      </c>
      <c r="K2464" s="2">
        <v>4.3</v>
      </c>
      <c r="L2464" t="s">
        <v>152</v>
      </c>
      <c r="M2464" t="s">
        <v>29</v>
      </c>
      <c r="N2464" t="s">
        <v>55</v>
      </c>
      <c r="O2464" t="s">
        <v>152</v>
      </c>
      <c r="P2464" t="s">
        <v>152</v>
      </c>
      <c r="Q2464" s="3">
        <v>31</v>
      </c>
      <c r="R2464" t="s">
        <v>34</v>
      </c>
      <c r="S2464" t="s">
        <v>77</v>
      </c>
    </row>
    <row r="2465" spans="1:19" x14ac:dyDescent="0.25">
      <c r="A2465">
        <v>2464</v>
      </c>
      <c r="B2465">
        <v>60</v>
      </c>
      <c r="C2465" t="s">
        <v>19</v>
      </c>
      <c r="D2465" t="s">
        <v>20</v>
      </c>
      <c r="E2465" t="s">
        <v>21</v>
      </c>
      <c r="F2465" s="1">
        <v>21</v>
      </c>
      <c r="G2465" t="s">
        <v>91</v>
      </c>
      <c r="H2465" t="s">
        <v>92</v>
      </c>
      <c r="I2465" t="s">
        <v>126</v>
      </c>
      <c r="J2465" t="s">
        <v>54</v>
      </c>
      <c r="K2465" s="2">
        <v>3.3</v>
      </c>
      <c r="L2465" t="s">
        <v>152</v>
      </c>
      <c r="M2465" t="s">
        <v>34</v>
      </c>
      <c r="N2465" t="s">
        <v>55</v>
      </c>
      <c r="O2465" t="s">
        <v>152</v>
      </c>
      <c r="P2465" t="s">
        <v>152</v>
      </c>
      <c r="Q2465" s="3">
        <v>25</v>
      </c>
      <c r="R2465" t="s">
        <v>35</v>
      </c>
      <c r="S2465" t="s">
        <v>77</v>
      </c>
    </row>
    <row r="2466" spans="1:19" x14ac:dyDescent="0.25">
      <c r="A2466">
        <v>2465</v>
      </c>
      <c r="B2466">
        <v>47</v>
      </c>
      <c r="C2466" t="s">
        <v>19</v>
      </c>
      <c r="D2466" t="s">
        <v>102</v>
      </c>
      <c r="E2466" t="s">
        <v>65</v>
      </c>
      <c r="F2466" s="1">
        <v>84</v>
      </c>
      <c r="G2466" t="s">
        <v>78</v>
      </c>
      <c r="H2466" t="s">
        <v>23</v>
      </c>
      <c r="I2466" t="s">
        <v>86</v>
      </c>
      <c r="J2466" t="s">
        <v>25</v>
      </c>
      <c r="K2466" s="2">
        <v>2.8</v>
      </c>
      <c r="L2466" t="s">
        <v>152</v>
      </c>
      <c r="M2466" t="s">
        <v>59</v>
      </c>
      <c r="N2466" t="s">
        <v>28</v>
      </c>
      <c r="O2466" t="s">
        <v>152</v>
      </c>
      <c r="P2466" t="s">
        <v>152</v>
      </c>
      <c r="Q2466" s="3">
        <v>4</v>
      </c>
      <c r="R2466" t="s">
        <v>35</v>
      </c>
      <c r="S2466" t="s">
        <v>77</v>
      </c>
    </row>
    <row r="2467" spans="1:19" x14ac:dyDescent="0.25">
      <c r="A2467">
        <v>2466</v>
      </c>
      <c r="B2467">
        <v>18</v>
      </c>
      <c r="C2467" t="s">
        <v>19</v>
      </c>
      <c r="D2467" t="s">
        <v>42</v>
      </c>
      <c r="E2467" t="s">
        <v>43</v>
      </c>
      <c r="F2467" s="1">
        <v>63</v>
      </c>
      <c r="G2467" t="s">
        <v>105</v>
      </c>
      <c r="H2467" t="s">
        <v>45</v>
      </c>
      <c r="I2467" t="s">
        <v>110</v>
      </c>
      <c r="J2467" t="s">
        <v>39</v>
      </c>
      <c r="K2467" s="2">
        <v>4.4000000000000004</v>
      </c>
      <c r="L2467" t="s">
        <v>152</v>
      </c>
      <c r="M2467" t="s">
        <v>35</v>
      </c>
      <c r="N2467" t="s">
        <v>40</v>
      </c>
      <c r="O2467" t="s">
        <v>152</v>
      </c>
      <c r="P2467" t="s">
        <v>152</v>
      </c>
      <c r="Q2467" s="3">
        <v>20</v>
      </c>
      <c r="R2467" t="s">
        <v>34</v>
      </c>
      <c r="S2467" t="s">
        <v>41</v>
      </c>
    </row>
    <row r="2468" spans="1:19" x14ac:dyDescent="0.25">
      <c r="A2468">
        <v>2467</v>
      </c>
      <c r="B2468">
        <v>32</v>
      </c>
      <c r="C2468" t="s">
        <v>19</v>
      </c>
      <c r="D2468" t="s">
        <v>61</v>
      </c>
      <c r="E2468" t="s">
        <v>21</v>
      </c>
      <c r="F2468" s="1">
        <v>84</v>
      </c>
      <c r="G2468" t="s">
        <v>147</v>
      </c>
      <c r="H2468" t="s">
        <v>38</v>
      </c>
      <c r="I2468" t="s">
        <v>71</v>
      </c>
      <c r="J2468" t="s">
        <v>54</v>
      </c>
      <c r="K2468" s="2">
        <v>3.7</v>
      </c>
      <c r="L2468" t="s">
        <v>152</v>
      </c>
      <c r="M2468" t="s">
        <v>35</v>
      </c>
      <c r="N2468" t="s">
        <v>28</v>
      </c>
      <c r="O2468" t="s">
        <v>152</v>
      </c>
      <c r="P2468" t="s">
        <v>152</v>
      </c>
      <c r="Q2468" s="3">
        <v>37</v>
      </c>
      <c r="R2468" t="s">
        <v>35</v>
      </c>
      <c r="S2468" t="s">
        <v>50</v>
      </c>
    </row>
    <row r="2469" spans="1:19" x14ac:dyDescent="0.25">
      <c r="A2469">
        <v>2468</v>
      </c>
      <c r="B2469">
        <v>27</v>
      </c>
      <c r="C2469" t="s">
        <v>19</v>
      </c>
      <c r="D2469" t="s">
        <v>61</v>
      </c>
      <c r="E2469" t="s">
        <v>21</v>
      </c>
      <c r="F2469" s="1">
        <v>72</v>
      </c>
      <c r="G2469" t="s">
        <v>127</v>
      </c>
      <c r="H2469" t="s">
        <v>45</v>
      </c>
      <c r="I2469" t="s">
        <v>93</v>
      </c>
      <c r="J2469" t="s">
        <v>39</v>
      </c>
      <c r="K2469" s="2">
        <v>3.6</v>
      </c>
      <c r="L2469" t="s">
        <v>152</v>
      </c>
      <c r="M2469" t="s">
        <v>59</v>
      </c>
      <c r="N2469" t="s">
        <v>28</v>
      </c>
      <c r="O2469" t="s">
        <v>152</v>
      </c>
      <c r="P2469" t="s">
        <v>152</v>
      </c>
      <c r="Q2469" s="3">
        <v>28</v>
      </c>
      <c r="R2469" t="s">
        <v>27</v>
      </c>
      <c r="S2469" t="s">
        <v>50</v>
      </c>
    </row>
    <row r="2470" spans="1:19" x14ac:dyDescent="0.25">
      <c r="A2470">
        <v>2469</v>
      </c>
      <c r="B2470">
        <v>65</v>
      </c>
      <c r="C2470" t="s">
        <v>19</v>
      </c>
      <c r="D2470" t="s">
        <v>87</v>
      </c>
      <c r="E2470" t="s">
        <v>21</v>
      </c>
      <c r="F2470" s="1">
        <v>21</v>
      </c>
      <c r="G2470" t="s">
        <v>139</v>
      </c>
      <c r="H2470" t="s">
        <v>23</v>
      </c>
      <c r="I2470" t="s">
        <v>109</v>
      </c>
      <c r="J2470" t="s">
        <v>25</v>
      </c>
      <c r="K2470" s="2">
        <v>3.7</v>
      </c>
      <c r="L2470" t="s">
        <v>152</v>
      </c>
      <c r="M2470" t="s">
        <v>27</v>
      </c>
      <c r="N2470" t="s">
        <v>72</v>
      </c>
      <c r="O2470" t="s">
        <v>152</v>
      </c>
      <c r="P2470" t="s">
        <v>152</v>
      </c>
      <c r="Q2470" s="3">
        <v>6</v>
      </c>
      <c r="R2470" t="s">
        <v>29</v>
      </c>
      <c r="S2470" t="s">
        <v>41</v>
      </c>
    </row>
    <row r="2471" spans="1:19" x14ac:dyDescent="0.25">
      <c r="A2471">
        <v>2470</v>
      </c>
      <c r="B2471">
        <v>68</v>
      </c>
      <c r="C2471" t="s">
        <v>19</v>
      </c>
      <c r="D2471" t="s">
        <v>42</v>
      </c>
      <c r="E2471" t="s">
        <v>43</v>
      </c>
      <c r="F2471" s="1">
        <v>92</v>
      </c>
      <c r="G2471" t="s">
        <v>128</v>
      </c>
      <c r="H2471" t="s">
        <v>45</v>
      </c>
      <c r="I2471" t="s">
        <v>134</v>
      </c>
      <c r="J2471" t="s">
        <v>58</v>
      </c>
      <c r="K2471" s="2">
        <v>5</v>
      </c>
      <c r="L2471" t="s">
        <v>152</v>
      </c>
      <c r="M2471" t="s">
        <v>35</v>
      </c>
      <c r="N2471" t="s">
        <v>55</v>
      </c>
      <c r="O2471" t="s">
        <v>152</v>
      </c>
      <c r="P2471" t="s">
        <v>152</v>
      </c>
      <c r="Q2471" s="3">
        <v>27</v>
      </c>
      <c r="R2471" t="s">
        <v>46</v>
      </c>
      <c r="S2471" t="s">
        <v>50</v>
      </c>
    </row>
    <row r="2472" spans="1:19" x14ac:dyDescent="0.25">
      <c r="A2472">
        <v>2471</v>
      </c>
      <c r="B2472">
        <v>55</v>
      </c>
      <c r="C2472" t="s">
        <v>19</v>
      </c>
      <c r="D2472" t="s">
        <v>20</v>
      </c>
      <c r="E2472" t="s">
        <v>21</v>
      </c>
      <c r="F2472" s="1">
        <v>72</v>
      </c>
      <c r="G2472" t="s">
        <v>117</v>
      </c>
      <c r="H2472" t="s">
        <v>92</v>
      </c>
      <c r="I2472" t="s">
        <v>71</v>
      </c>
      <c r="J2472" t="s">
        <v>58</v>
      </c>
      <c r="K2472" s="2">
        <v>2.7</v>
      </c>
      <c r="L2472" t="s">
        <v>152</v>
      </c>
      <c r="M2472" t="s">
        <v>35</v>
      </c>
      <c r="N2472" t="s">
        <v>47</v>
      </c>
      <c r="O2472" t="s">
        <v>152</v>
      </c>
      <c r="P2472" t="s">
        <v>152</v>
      </c>
      <c r="Q2472" s="3">
        <v>29</v>
      </c>
      <c r="R2472" t="s">
        <v>27</v>
      </c>
      <c r="S2472" t="s">
        <v>30</v>
      </c>
    </row>
    <row r="2473" spans="1:19" x14ac:dyDescent="0.25">
      <c r="A2473">
        <v>2472</v>
      </c>
      <c r="B2473">
        <v>30</v>
      </c>
      <c r="C2473" t="s">
        <v>19</v>
      </c>
      <c r="D2473" t="s">
        <v>42</v>
      </c>
      <c r="E2473" t="s">
        <v>43</v>
      </c>
      <c r="F2473" s="1">
        <v>83</v>
      </c>
      <c r="G2473" t="s">
        <v>101</v>
      </c>
      <c r="H2473" t="s">
        <v>45</v>
      </c>
      <c r="I2473" t="s">
        <v>24</v>
      </c>
      <c r="J2473" t="s">
        <v>39</v>
      </c>
      <c r="K2473" s="2">
        <v>4.3</v>
      </c>
      <c r="L2473" t="s">
        <v>152</v>
      </c>
      <c r="M2473" t="s">
        <v>35</v>
      </c>
      <c r="N2473" t="s">
        <v>76</v>
      </c>
      <c r="O2473" t="s">
        <v>152</v>
      </c>
      <c r="P2473" t="s">
        <v>152</v>
      </c>
      <c r="Q2473" s="3">
        <v>1</v>
      </c>
      <c r="R2473" t="s">
        <v>35</v>
      </c>
      <c r="S2473" t="s">
        <v>50</v>
      </c>
    </row>
    <row r="2474" spans="1:19" x14ac:dyDescent="0.25">
      <c r="A2474">
        <v>2473</v>
      </c>
      <c r="B2474">
        <v>24</v>
      </c>
      <c r="C2474" t="s">
        <v>19</v>
      </c>
      <c r="D2474" t="s">
        <v>56</v>
      </c>
      <c r="E2474" t="s">
        <v>21</v>
      </c>
      <c r="F2474" s="1">
        <v>73</v>
      </c>
      <c r="G2474" t="s">
        <v>140</v>
      </c>
      <c r="H2474" t="s">
        <v>45</v>
      </c>
      <c r="I2474" t="s">
        <v>100</v>
      </c>
      <c r="J2474" t="s">
        <v>54</v>
      </c>
      <c r="K2474" s="2">
        <v>4.0999999999999996</v>
      </c>
      <c r="L2474" t="s">
        <v>152</v>
      </c>
      <c r="M2474" t="s">
        <v>34</v>
      </c>
      <c r="N2474" t="s">
        <v>55</v>
      </c>
      <c r="O2474" t="s">
        <v>152</v>
      </c>
      <c r="P2474" t="s">
        <v>152</v>
      </c>
      <c r="Q2474" s="3">
        <v>31</v>
      </c>
      <c r="R2474" t="s">
        <v>27</v>
      </c>
      <c r="S2474" t="s">
        <v>50</v>
      </c>
    </row>
    <row r="2475" spans="1:19" x14ac:dyDescent="0.25">
      <c r="A2475">
        <v>2474</v>
      </c>
      <c r="B2475">
        <v>57</v>
      </c>
      <c r="C2475" t="s">
        <v>19</v>
      </c>
      <c r="D2475" t="s">
        <v>125</v>
      </c>
      <c r="E2475" t="s">
        <v>21</v>
      </c>
      <c r="F2475" s="1">
        <v>98</v>
      </c>
      <c r="G2475" t="s">
        <v>74</v>
      </c>
      <c r="H2475" t="s">
        <v>45</v>
      </c>
      <c r="I2475" t="s">
        <v>108</v>
      </c>
      <c r="J2475" t="s">
        <v>25</v>
      </c>
      <c r="K2475" s="2">
        <v>2.6</v>
      </c>
      <c r="L2475" t="s">
        <v>152</v>
      </c>
      <c r="M2475" t="s">
        <v>35</v>
      </c>
      <c r="N2475" t="s">
        <v>47</v>
      </c>
      <c r="O2475" t="s">
        <v>152</v>
      </c>
      <c r="P2475" t="s">
        <v>152</v>
      </c>
      <c r="Q2475" s="3">
        <v>28</v>
      </c>
      <c r="R2475" t="s">
        <v>35</v>
      </c>
      <c r="S2475" t="s">
        <v>60</v>
      </c>
    </row>
    <row r="2476" spans="1:19" x14ac:dyDescent="0.25">
      <c r="A2476">
        <v>2475</v>
      </c>
      <c r="B2476">
        <v>23</v>
      </c>
      <c r="C2476" t="s">
        <v>19</v>
      </c>
      <c r="D2476" t="s">
        <v>113</v>
      </c>
      <c r="E2476" t="s">
        <v>21</v>
      </c>
      <c r="F2476" s="1">
        <v>76</v>
      </c>
      <c r="G2476" t="s">
        <v>98</v>
      </c>
      <c r="H2476" t="s">
        <v>45</v>
      </c>
      <c r="I2476" t="s">
        <v>79</v>
      </c>
      <c r="J2476" t="s">
        <v>58</v>
      </c>
      <c r="K2476" s="2">
        <v>3.2</v>
      </c>
      <c r="L2476" t="s">
        <v>152</v>
      </c>
      <c r="M2476" t="s">
        <v>35</v>
      </c>
      <c r="N2476" t="s">
        <v>76</v>
      </c>
      <c r="O2476" t="s">
        <v>152</v>
      </c>
      <c r="P2476" t="s">
        <v>152</v>
      </c>
      <c r="Q2476" s="3">
        <v>19</v>
      </c>
      <c r="R2476" t="s">
        <v>34</v>
      </c>
      <c r="S2476" t="s">
        <v>60</v>
      </c>
    </row>
    <row r="2477" spans="1:19" x14ac:dyDescent="0.25">
      <c r="A2477">
        <v>2476</v>
      </c>
      <c r="B2477">
        <v>69</v>
      </c>
      <c r="C2477" t="s">
        <v>19</v>
      </c>
      <c r="D2477" t="s">
        <v>82</v>
      </c>
      <c r="E2477" t="s">
        <v>21</v>
      </c>
      <c r="F2477" s="1">
        <v>43</v>
      </c>
      <c r="G2477" t="s">
        <v>99</v>
      </c>
      <c r="H2477" t="s">
        <v>38</v>
      </c>
      <c r="I2477" t="s">
        <v>93</v>
      </c>
      <c r="J2477" t="s">
        <v>54</v>
      </c>
      <c r="K2477" s="2">
        <v>3.5</v>
      </c>
      <c r="L2477" t="s">
        <v>152</v>
      </c>
      <c r="M2477" t="s">
        <v>34</v>
      </c>
      <c r="N2477" t="s">
        <v>47</v>
      </c>
      <c r="O2477" t="s">
        <v>152</v>
      </c>
      <c r="P2477" t="s">
        <v>152</v>
      </c>
      <c r="Q2477" s="3">
        <v>36</v>
      </c>
      <c r="R2477" t="s">
        <v>29</v>
      </c>
      <c r="S2477" t="s">
        <v>88</v>
      </c>
    </row>
    <row r="2478" spans="1:19" x14ac:dyDescent="0.25">
      <c r="A2478">
        <v>2477</v>
      </c>
      <c r="B2478">
        <v>60</v>
      </c>
      <c r="C2478" t="s">
        <v>19</v>
      </c>
      <c r="D2478" t="s">
        <v>124</v>
      </c>
      <c r="E2478" t="s">
        <v>69</v>
      </c>
      <c r="F2478" s="1">
        <v>60</v>
      </c>
      <c r="G2478" t="s">
        <v>112</v>
      </c>
      <c r="H2478" t="s">
        <v>45</v>
      </c>
      <c r="I2478" t="s">
        <v>49</v>
      </c>
      <c r="J2478" t="s">
        <v>54</v>
      </c>
      <c r="K2478" s="2">
        <v>3.7</v>
      </c>
      <c r="L2478" t="s">
        <v>152</v>
      </c>
      <c r="M2478" t="s">
        <v>59</v>
      </c>
      <c r="N2478" t="s">
        <v>47</v>
      </c>
      <c r="O2478" t="s">
        <v>152</v>
      </c>
      <c r="P2478" t="s">
        <v>152</v>
      </c>
      <c r="Q2478" s="3">
        <v>28</v>
      </c>
      <c r="R2478" t="s">
        <v>35</v>
      </c>
      <c r="S2478" t="s">
        <v>88</v>
      </c>
    </row>
    <row r="2479" spans="1:19" x14ac:dyDescent="0.25">
      <c r="A2479">
        <v>2478</v>
      </c>
      <c r="B2479">
        <v>25</v>
      </c>
      <c r="C2479" t="s">
        <v>19</v>
      </c>
      <c r="D2479" t="s">
        <v>143</v>
      </c>
      <c r="E2479" t="s">
        <v>69</v>
      </c>
      <c r="F2479" s="1">
        <v>40</v>
      </c>
      <c r="G2479" t="s">
        <v>99</v>
      </c>
      <c r="H2479" t="s">
        <v>23</v>
      </c>
      <c r="I2479" t="s">
        <v>49</v>
      </c>
      <c r="J2479" t="s">
        <v>39</v>
      </c>
      <c r="K2479" s="2">
        <v>3.8</v>
      </c>
      <c r="L2479" t="s">
        <v>152</v>
      </c>
      <c r="M2479" t="s">
        <v>59</v>
      </c>
      <c r="N2479" t="s">
        <v>72</v>
      </c>
      <c r="O2479" t="s">
        <v>152</v>
      </c>
      <c r="P2479" t="s">
        <v>152</v>
      </c>
      <c r="Q2479" s="3">
        <v>29</v>
      </c>
      <c r="R2479" t="s">
        <v>46</v>
      </c>
      <c r="S2479" t="s">
        <v>41</v>
      </c>
    </row>
    <row r="2480" spans="1:19" x14ac:dyDescent="0.25">
      <c r="A2480">
        <v>2479</v>
      </c>
      <c r="B2480">
        <v>18</v>
      </c>
      <c r="C2480" t="s">
        <v>19</v>
      </c>
      <c r="D2480" t="s">
        <v>125</v>
      </c>
      <c r="E2480" t="s">
        <v>21</v>
      </c>
      <c r="F2480" s="1">
        <v>93</v>
      </c>
      <c r="G2480" t="s">
        <v>129</v>
      </c>
      <c r="H2480" t="s">
        <v>38</v>
      </c>
      <c r="I2480" t="s">
        <v>33</v>
      </c>
      <c r="J2480" t="s">
        <v>25</v>
      </c>
      <c r="K2480" s="2">
        <v>4.8</v>
      </c>
      <c r="L2480" t="s">
        <v>152</v>
      </c>
      <c r="M2480" t="s">
        <v>35</v>
      </c>
      <c r="N2480" t="s">
        <v>72</v>
      </c>
      <c r="O2480" t="s">
        <v>152</v>
      </c>
      <c r="P2480" t="s">
        <v>152</v>
      </c>
      <c r="Q2480" s="3">
        <v>9</v>
      </c>
      <c r="R2480" t="s">
        <v>34</v>
      </c>
      <c r="S2480" t="s">
        <v>97</v>
      </c>
    </row>
    <row r="2481" spans="1:19" x14ac:dyDescent="0.25">
      <c r="A2481">
        <v>2480</v>
      </c>
      <c r="B2481">
        <v>37</v>
      </c>
      <c r="C2481" t="s">
        <v>19</v>
      </c>
      <c r="D2481" t="s">
        <v>82</v>
      </c>
      <c r="E2481" t="s">
        <v>21</v>
      </c>
      <c r="F2481" s="1">
        <v>98</v>
      </c>
      <c r="G2481" t="s">
        <v>111</v>
      </c>
      <c r="H2481" t="s">
        <v>38</v>
      </c>
      <c r="I2481" t="s">
        <v>79</v>
      </c>
      <c r="J2481" t="s">
        <v>58</v>
      </c>
      <c r="K2481" s="2">
        <v>4.2</v>
      </c>
      <c r="L2481" t="s">
        <v>152</v>
      </c>
      <c r="M2481" t="s">
        <v>29</v>
      </c>
      <c r="N2481" t="s">
        <v>55</v>
      </c>
      <c r="O2481" t="s">
        <v>152</v>
      </c>
      <c r="P2481" t="s">
        <v>152</v>
      </c>
      <c r="Q2481" s="3">
        <v>26</v>
      </c>
      <c r="R2481" t="s">
        <v>27</v>
      </c>
      <c r="S2481" t="s">
        <v>97</v>
      </c>
    </row>
    <row r="2482" spans="1:19" x14ac:dyDescent="0.25">
      <c r="A2482">
        <v>2481</v>
      </c>
      <c r="B2482">
        <v>61</v>
      </c>
      <c r="C2482" t="s">
        <v>19</v>
      </c>
      <c r="D2482" t="s">
        <v>125</v>
      </c>
      <c r="E2482" t="s">
        <v>21</v>
      </c>
      <c r="F2482" s="1">
        <v>91</v>
      </c>
      <c r="G2482" t="s">
        <v>123</v>
      </c>
      <c r="H2482" t="s">
        <v>92</v>
      </c>
      <c r="I2482" t="s">
        <v>33</v>
      </c>
      <c r="J2482" t="s">
        <v>54</v>
      </c>
      <c r="K2482" s="2">
        <v>2.9</v>
      </c>
      <c r="L2482" t="s">
        <v>152</v>
      </c>
      <c r="M2482" t="s">
        <v>59</v>
      </c>
      <c r="N2482" t="s">
        <v>47</v>
      </c>
      <c r="O2482" t="s">
        <v>152</v>
      </c>
      <c r="P2482" t="s">
        <v>152</v>
      </c>
      <c r="Q2482" s="3">
        <v>7</v>
      </c>
      <c r="R2482" t="s">
        <v>27</v>
      </c>
      <c r="S2482" t="s">
        <v>30</v>
      </c>
    </row>
    <row r="2483" spans="1:19" x14ac:dyDescent="0.25">
      <c r="A2483">
        <v>2482</v>
      </c>
      <c r="B2483">
        <v>41</v>
      </c>
      <c r="C2483" t="s">
        <v>19</v>
      </c>
      <c r="D2483" t="s">
        <v>133</v>
      </c>
      <c r="E2483" t="s">
        <v>69</v>
      </c>
      <c r="F2483" s="1">
        <v>92</v>
      </c>
      <c r="G2483" t="s">
        <v>127</v>
      </c>
      <c r="H2483" t="s">
        <v>92</v>
      </c>
      <c r="I2483" t="s">
        <v>109</v>
      </c>
      <c r="J2483" t="s">
        <v>58</v>
      </c>
      <c r="K2483" s="2">
        <v>2.9</v>
      </c>
      <c r="L2483" t="s">
        <v>152</v>
      </c>
      <c r="M2483" t="s">
        <v>29</v>
      </c>
      <c r="N2483" t="s">
        <v>40</v>
      </c>
      <c r="O2483" t="s">
        <v>152</v>
      </c>
      <c r="P2483" t="s">
        <v>152</v>
      </c>
      <c r="Q2483" s="3">
        <v>35</v>
      </c>
      <c r="R2483" t="s">
        <v>59</v>
      </c>
      <c r="S2483" t="s">
        <v>41</v>
      </c>
    </row>
    <row r="2484" spans="1:19" x14ac:dyDescent="0.25">
      <c r="A2484">
        <v>2483</v>
      </c>
      <c r="B2484">
        <v>69</v>
      </c>
      <c r="C2484" t="s">
        <v>19</v>
      </c>
      <c r="D2484" t="s">
        <v>68</v>
      </c>
      <c r="E2484" t="s">
        <v>69</v>
      </c>
      <c r="F2484" s="1">
        <v>87</v>
      </c>
      <c r="G2484" t="s">
        <v>117</v>
      </c>
      <c r="H2484" t="s">
        <v>38</v>
      </c>
      <c r="I2484" t="s">
        <v>100</v>
      </c>
      <c r="J2484" t="s">
        <v>25</v>
      </c>
      <c r="K2484" s="2">
        <v>4.8</v>
      </c>
      <c r="L2484" t="s">
        <v>152</v>
      </c>
      <c r="M2484" t="s">
        <v>46</v>
      </c>
      <c r="N2484" t="s">
        <v>47</v>
      </c>
      <c r="O2484" t="s">
        <v>152</v>
      </c>
      <c r="P2484" t="s">
        <v>152</v>
      </c>
      <c r="Q2484" s="3">
        <v>46</v>
      </c>
      <c r="R2484" t="s">
        <v>27</v>
      </c>
      <c r="S2484" t="s">
        <v>97</v>
      </c>
    </row>
    <row r="2485" spans="1:19" x14ac:dyDescent="0.25">
      <c r="A2485">
        <v>2484</v>
      </c>
      <c r="B2485">
        <v>32</v>
      </c>
      <c r="C2485" t="s">
        <v>19</v>
      </c>
      <c r="D2485" t="s">
        <v>87</v>
      </c>
      <c r="E2485" t="s">
        <v>21</v>
      </c>
      <c r="F2485" s="1">
        <v>96</v>
      </c>
      <c r="G2485" t="s">
        <v>117</v>
      </c>
      <c r="H2485" t="s">
        <v>38</v>
      </c>
      <c r="I2485" t="s">
        <v>86</v>
      </c>
      <c r="J2485" t="s">
        <v>58</v>
      </c>
      <c r="K2485" s="2">
        <v>2.9</v>
      </c>
      <c r="L2485" t="s">
        <v>152</v>
      </c>
      <c r="M2485" t="s">
        <v>46</v>
      </c>
      <c r="N2485" t="s">
        <v>55</v>
      </c>
      <c r="O2485" t="s">
        <v>152</v>
      </c>
      <c r="P2485" t="s">
        <v>152</v>
      </c>
      <c r="Q2485" s="3">
        <v>8</v>
      </c>
      <c r="R2485" t="s">
        <v>59</v>
      </c>
      <c r="S2485" t="s">
        <v>88</v>
      </c>
    </row>
    <row r="2486" spans="1:19" x14ac:dyDescent="0.25">
      <c r="A2486">
        <v>2485</v>
      </c>
      <c r="B2486">
        <v>60</v>
      </c>
      <c r="C2486" t="s">
        <v>19</v>
      </c>
      <c r="D2486" t="s">
        <v>104</v>
      </c>
      <c r="E2486" t="s">
        <v>21</v>
      </c>
      <c r="F2486" s="1">
        <v>97</v>
      </c>
      <c r="G2486" t="s">
        <v>83</v>
      </c>
      <c r="H2486" t="s">
        <v>45</v>
      </c>
      <c r="I2486" t="s">
        <v>96</v>
      </c>
      <c r="J2486" t="s">
        <v>54</v>
      </c>
      <c r="K2486" s="2">
        <v>4.8</v>
      </c>
      <c r="L2486" t="s">
        <v>152</v>
      </c>
      <c r="M2486" t="s">
        <v>34</v>
      </c>
      <c r="N2486" t="s">
        <v>72</v>
      </c>
      <c r="O2486" t="s">
        <v>152</v>
      </c>
      <c r="P2486" t="s">
        <v>152</v>
      </c>
      <c r="Q2486" s="3">
        <v>50</v>
      </c>
      <c r="R2486" t="s">
        <v>35</v>
      </c>
      <c r="S2486" t="s">
        <v>97</v>
      </c>
    </row>
    <row r="2487" spans="1:19" x14ac:dyDescent="0.25">
      <c r="A2487">
        <v>2486</v>
      </c>
      <c r="B2487">
        <v>43</v>
      </c>
      <c r="C2487" t="s">
        <v>19</v>
      </c>
      <c r="D2487" t="s">
        <v>20</v>
      </c>
      <c r="E2487" t="s">
        <v>21</v>
      </c>
      <c r="F2487" s="1">
        <v>55</v>
      </c>
      <c r="G2487" t="s">
        <v>62</v>
      </c>
      <c r="H2487" t="s">
        <v>45</v>
      </c>
      <c r="I2487" t="s">
        <v>118</v>
      </c>
      <c r="J2487" t="s">
        <v>39</v>
      </c>
      <c r="K2487" s="2">
        <v>4.5999999999999996</v>
      </c>
      <c r="L2487" t="s">
        <v>152</v>
      </c>
      <c r="M2487" t="s">
        <v>27</v>
      </c>
      <c r="N2487" t="s">
        <v>72</v>
      </c>
      <c r="O2487" t="s">
        <v>152</v>
      </c>
      <c r="P2487" t="s">
        <v>152</v>
      </c>
      <c r="Q2487" s="3">
        <v>37</v>
      </c>
      <c r="R2487" t="s">
        <v>34</v>
      </c>
      <c r="S2487" t="s">
        <v>50</v>
      </c>
    </row>
    <row r="2488" spans="1:19" x14ac:dyDescent="0.25">
      <c r="A2488">
        <v>2487</v>
      </c>
      <c r="B2488">
        <v>61</v>
      </c>
      <c r="C2488" t="s">
        <v>19</v>
      </c>
      <c r="D2488" t="s">
        <v>36</v>
      </c>
      <c r="E2488" t="s">
        <v>21</v>
      </c>
      <c r="F2488" s="1">
        <v>58</v>
      </c>
      <c r="G2488" t="s">
        <v>105</v>
      </c>
      <c r="H2488" t="s">
        <v>23</v>
      </c>
      <c r="I2488" t="s">
        <v>136</v>
      </c>
      <c r="J2488" t="s">
        <v>39</v>
      </c>
      <c r="K2488" s="2">
        <v>4.4000000000000004</v>
      </c>
      <c r="L2488" t="s">
        <v>152</v>
      </c>
      <c r="M2488" t="s">
        <v>27</v>
      </c>
      <c r="N2488" t="s">
        <v>76</v>
      </c>
      <c r="O2488" t="s">
        <v>152</v>
      </c>
      <c r="P2488" t="s">
        <v>152</v>
      </c>
      <c r="Q2488" s="3">
        <v>6</v>
      </c>
      <c r="R2488" t="s">
        <v>27</v>
      </c>
      <c r="S2488" t="s">
        <v>30</v>
      </c>
    </row>
    <row r="2489" spans="1:19" x14ac:dyDescent="0.25">
      <c r="A2489">
        <v>2488</v>
      </c>
      <c r="B2489">
        <v>57</v>
      </c>
      <c r="C2489" t="s">
        <v>19</v>
      </c>
      <c r="D2489" t="s">
        <v>137</v>
      </c>
      <c r="E2489" t="s">
        <v>43</v>
      </c>
      <c r="F2489" s="1">
        <v>21</v>
      </c>
      <c r="G2489" t="s">
        <v>57</v>
      </c>
      <c r="H2489" t="s">
        <v>23</v>
      </c>
      <c r="I2489" t="s">
        <v>84</v>
      </c>
      <c r="J2489" t="s">
        <v>39</v>
      </c>
      <c r="K2489" s="2">
        <v>3</v>
      </c>
      <c r="L2489" t="s">
        <v>152</v>
      </c>
      <c r="M2489" t="s">
        <v>46</v>
      </c>
      <c r="N2489" t="s">
        <v>47</v>
      </c>
      <c r="O2489" t="s">
        <v>152</v>
      </c>
      <c r="P2489" t="s">
        <v>152</v>
      </c>
      <c r="Q2489" s="3">
        <v>16</v>
      </c>
      <c r="R2489" t="s">
        <v>46</v>
      </c>
      <c r="S2489" t="s">
        <v>77</v>
      </c>
    </row>
    <row r="2490" spans="1:19" x14ac:dyDescent="0.25">
      <c r="A2490">
        <v>2489</v>
      </c>
      <c r="B2490">
        <v>56</v>
      </c>
      <c r="C2490" t="s">
        <v>19</v>
      </c>
      <c r="D2490" t="s">
        <v>68</v>
      </c>
      <c r="E2490" t="s">
        <v>69</v>
      </c>
      <c r="F2490" s="1">
        <v>82</v>
      </c>
      <c r="G2490" t="s">
        <v>83</v>
      </c>
      <c r="H2490" t="s">
        <v>92</v>
      </c>
      <c r="I2490" t="s">
        <v>63</v>
      </c>
      <c r="J2490" t="s">
        <v>54</v>
      </c>
      <c r="K2490" s="2">
        <v>4.4000000000000004</v>
      </c>
      <c r="L2490" t="s">
        <v>152</v>
      </c>
      <c r="M2490" t="s">
        <v>27</v>
      </c>
      <c r="N2490" t="s">
        <v>28</v>
      </c>
      <c r="O2490" t="s">
        <v>152</v>
      </c>
      <c r="P2490" t="s">
        <v>152</v>
      </c>
      <c r="Q2490" s="3">
        <v>30</v>
      </c>
      <c r="R2490" t="s">
        <v>46</v>
      </c>
      <c r="S2490" t="s">
        <v>88</v>
      </c>
    </row>
    <row r="2491" spans="1:19" x14ac:dyDescent="0.25">
      <c r="A2491">
        <v>2490</v>
      </c>
      <c r="B2491">
        <v>66</v>
      </c>
      <c r="C2491" t="s">
        <v>19</v>
      </c>
      <c r="D2491" t="s">
        <v>64</v>
      </c>
      <c r="E2491" t="s">
        <v>65</v>
      </c>
      <c r="F2491" s="1">
        <v>34</v>
      </c>
      <c r="G2491" t="s">
        <v>147</v>
      </c>
      <c r="H2491" t="s">
        <v>45</v>
      </c>
      <c r="I2491" t="s">
        <v>96</v>
      </c>
      <c r="J2491" t="s">
        <v>25</v>
      </c>
      <c r="K2491" s="2">
        <v>3.9</v>
      </c>
      <c r="L2491" t="s">
        <v>152</v>
      </c>
      <c r="M2491" t="s">
        <v>27</v>
      </c>
      <c r="N2491" t="s">
        <v>28</v>
      </c>
      <c r="O2491" t="s">
        <v>152</v>
      </c>
      <c r="P2491" t="s">
        <v>152</v>
      </c>
      <c r="Q2491" s="3">
        <v>50</v>
      </c>
      <c r="R2491" t="s">
        <v>29</v>
      </c>
      <c r="S2491" t="s">
        <v>60</v>
      </c>
    </row>
    <row r="2492" spans="1:19" x14ac:dyDescent="0.25">
      <c r="A2492">
        <v>2491</v>
      </c>
      <c r="B2492">
        <v>52</v>
      </c>
      <c r="C2492" t="s">
        <v>19</v>
      </c>
      <c r="D2492" t="s">
        <v>20</v>
      </c>
      <c r="E2492" t="s">
        <v>21</v>
      </c>
      <c r="F2492" s="1">
        <v>78</v>
      </c>
      <c r="G2492" t="s">
        <v>57</v>
      </c>
      <c r="H2492" t="s">
        <v>45</v>
      </c>
      <c r="I2492" t="s">
        <v>24</v>
      </c>
      <c r="J2492" t="s">
        <v>39</v>
      </c>
      <c r="K2492" s="2">
        <v>4</v>
      </c>
      <c r="L2492" t="s">
        <v>152</v>
      </c>
      <c r="M2492" t="s">
        <v>46</v>
      </c>
      <c r="N2492" t="s">
        <v>40</v>
      </c>
      <c r="O2492" t="s">
        <v>152</v>
      </c>
      <c r="P2492" t="s">
        <v>152</v>
      </c>
      <c r="Q2492" s="3">
        <v>5</v>
      </c>
      <c r="R2492" t="s">
        <v>35</v>
      </c>
      <c r="S2492" t="s">
        <v>97</v>
      </c>
    </row>
    <row r="2493" spans="1:19" x14ac:dyDescent="0.25">
      <c r="A2493">
        <v>2492</v>
      </c>
      <c r="B2493">
        <v>63</v>
      </c>
      <c r="C2493" t="s">
        <v>19</v>
      </c>
      <c r="D2493" t="s">
        <v>68</v>
      </c>
      <c r="E2493" t="s">
        <v>69</v>
      </c>
      <c r="F2493" s="1">
        <v>47</v>
      </c>
      <c r="G2493" t="s">
        <v>98</v>
      </c>
      <c r="H2493" t="s">
        <v>45</v>
      </c>
      <c r="I2493" t="s">
        <v>136</v>
      </c>
      <c r="J2493" t="s">
        <v>39</v>
      </c>
      <c r="K2493" s="2">
        <v>2.5</v>
      </c>
      <c r="L2493" t="s">
        <v>152</v>
      </c>
      <c r="M2493" t="s">
        <v>59</v>
      </c>
      <c r="N2493" t="s">
        <v>28</v>
      </c>
      <c r="O2493" t="s">
        <v>152</v>
      </c>
      <c r="P2493" t="s">
        <v>152</v>
      </c>
      <c r="Q2493" s="3">
        <v>15</v>
      </c>
      <c r="R2493" t="s">
        <v>34</v>
      </c>
      <c r="S2493" t="s">
        <v>88</v>
      </c>
    </row>
    <row r="2494" spans="1:19" x14ac:dyDescent="0.25">
      <c r="A2494">
        <v>2493</v>
      </c>
      <c r="B2494">
        <v>50</v>
      </c>
      <c r="C2494" t="s">
        <v>19</v>
      </c>
      <c r="D2494" t="s">
        <v>89</v>
      </c>
      <c r="E2494" t="s">
        <v>69</v>
      </c>
      <c r="F2494" s="1">
        <v>96</v>
      </c>
      <c r="G2494" t="s">
        <v>147</v>
      </c>
      <c r="H2494" t="s">
        <v>38</v>
      </c>
      <c r="I2494" t="s">
        <v>67</v>
      </c>
      <c r="J2494" t="s">
        <v>54</v>
      </c>
      <c r="K2494" s="2">
        <v>4.0999999999999996</v>
      </c>
      <c r="L2494" t="s">
        <v>152</v>
      </c>
      <c r="M2494" t="s">
        <v>29</v>
      </c>
      <c r="N2494" t="s">
        <v>47</v>
      </c>
      <c r="O2494" t="s">
        <v>152</v>
      </c>
      <c r="P2494" t="s">
        <v>152</v>
      </c>
      <c r="Q2494" s="3">
        <v>34</v>
      </c>
      <c r="R2494" t="s">
        <v>34</v>
      </c>
      <c r="S2494" t="s">
        <v>77</v>
      </c>
    </row>
    <row r="2495" spans="1:19" x14ac:dyDescent="0.25">
      <c r="A2495">
        <v>2494</v>
      </c>
      <c r="B2495">
        <v>21</v>
      </c>
      <c r="C2495" t="s">
        <v>19</v>
      </c>
      <c r="D2495" t="s">
        <v>125</v>
      </c>
      <c r="E2495" t="s">
        <v>21</v>
      </c>
      <c r="F2495" s="1">
        <v>23</v>
      </c>
      <c r="G2495" t="s">
        <v>32</v>
      </c>
      <c r="H2495" t="s">
        <v>38</v>
      </c>
      <c r="I2495" t="s">
        <v>118</v>
      </c>
      <c r="J2495" t="s">
        <v>58</v>
      </c>
      <c r="K2495" s="2">
        <v>4.8</v>
      </c>
      <c r="L2495" t="s">
        <v>152</v>
      </c>
      <c r="M2495" t="s">
        <v>35</v>
      </c>
      <c r="N2495" t="s">
        <v>72</v>
      </c>
      <c r="O2495" t="s">
        <v>152</v>
      </c>
      <c r="P2495" t="s">
        <v>152</v>
      </c>
      <c r="Q2495" s="3">
        <v>6</v>
      </c>
      <c r="R2495" t="s">
        <v>29</v>
      </c>
      <c r="S2495" t="s">
        <v>97</v>
      </c>
    </row>
    <row r="2496" spans="1:19" x14ac:dyDescent="0.25">
      <c r="A2496">
        <v>2495</v>
      </c>
      <c r="B2496">
        <v>42</v>
      </c>
      <c r="C2496" t="s">
        <v>19</v>
      </c>
      <c r="D2496" t="s">
        <v>73</v>
      </c>
      <c r="E2496" t="s">
        <v>43</v>
      </c>
      <c r="F2496" s="1">
        <v>27</v>
      </c>
      <c r="G2496" t="s">
        <v>101</v>
      </c>
      <c r="H2496" t="s">
        <v>38</v>
      </c>
      <c r="I2496" t="s">
        <v>100</v>
      </c>
      <c r="J2496" t="s">
        <v>25</v>
      </c>
      <c r="K2496" s="2">
        <v>2.6</v>
      </c>
      <c r="L2496" t="s">
        <v>152</v>
      </c>
      <c r="M2496" t="s">
        <v>46</v>
      </c>
      <c r="N2496" t="s">
        <v>76</v>
      </c>
      <c r="O2496" t="s">
        <v>152</v>
      </c>
      <c r="P2496" t="s">
        <v>152</v>
      </c>
      <c r="Q2496" s="3">
        <v>26</v>
      </c>
      <c r="R2496" t="s">
        <v>59</v>
      </c>
      <c r="S2496" t="s">
        <v>50</v>
      </c>
    </row>
    <row r="2497" spans="1:19" x14ac:dyDescent="0.25">
      <c r="A2497">
        <v>2496</v>
      </c>
      <c r="B2497">
        <v>40</v>
      </c>
      <c r="C2497" t="s">
        <v>19</v>
      </c>
      <c r="D2497" t="s">
        <v>132</v>
      </c>
      <c r="E2497" t="s">
        <v>69</v>
      </c>
      <c r="F2497" s="1">
        <v>37</v>
      </c>
      <c r="G2497" t="s">
        <v>145</v>
      </c>
      <c r="H2497" t="s">
        <v>92</v>
      </c>
      <c r="I2497" t="s">
        <v>121</v>
      </c>
      <c r="J2497" t="s">
        <v>39</v>
      </c>
      <c r="K2497" s="2">
        <v>3.1</v>
      </c>
      <c r="L2497" t="s">
        <v>152</v>
      </c>
      <c r="M2497" t="s">
        <v>34</v>
      </c>
      <c r="N2497" t="s">
        <v>40</v>
      </c>
      <c r="O2497" t="s">
        <v>152</v>
      </c>
      <c r="P2497" t="s">
        <v>152</v>
      </c>
      <c r="Q2497" s="3">
        <v>34</v>
      </c>
      <c r="R2497" t="s">
        <v>27</v>
      </c>
      <c r="S2497" t="s">
        <v>97</v>
      </c>
    </row>
    <row r="2498" spans="1:19" x14ac:dyDescent="0.25">
      <c r="A2498">
        <v>2497</v>
      </c>
      <c r="B2498">
        <v>67</v>
      </c>
      <c r="C2498" t="s">
        <v>19</v>
      </c>
      <c r="D2498" t="s">
        <v>119</v>
      </c>
      <c r="E2498" t="s">
        <v>69</v>
      </c>
      <c r="F2498" s="1">
        <v>79</v>
      </c>
      <c r="G2498" t="s">
        <v>115</v>
      </c>
      <c r="H2498" t="s">
        <v>38</v>
      </c>
      <c r="I2498" t="s">
        <v>134</v>
      </c>
      <c r="J2498" t="s">
        <v>54</v>
      </c>
      <c r="K2498" s="2">
        <v>3.2</v>
      </c>
      <c r="L2498" t="s">
        <v>152</v>
      </c>
      <c r="M2498" t="s">
        <v>34</v>
      </c>
      <c r="N2498" t="s">
        <v>76</v>
      </c>
      <c r="O2498" t="s">
        <v>152</v>
      </c>
      <c r="P2498" t="s">
        <v>152</v>
      </c>
      <c r="Q2498" s="3">
        <v>37</v>
      </c>
      <c r="R2498" t="s">
        <v>27</v>
      </c>
      <c r="S2498" t="s">
        <v>41</v>
      </c>
    </row>
    <row r="2499" spans="1:19" x14ac:dyDescent="0.25">
      <c r="A2499">
        <v>2498</v>
      </c>
      <c r="B2499">
        <v>35</v>
      </c>
      <c r="C2499" t="s">
        <v>19</v>
      </c>
      <c r="D2499" t="s">
        <v>132</v>
      </c>
      <c r="E2499" t="s">
        <v>69</v>
      </c>
      <c r="F2499" s="1">
        <v>40</v>
      </c>
      <c r="G2499" t="s">
        <v>112</v>
      </c>
      <c r="H2499" t="s">
        <v>45</v>
      </c>
      <c r="I2499" t="s">
        <v>84</v>
      </c>
      <c r="J2499" t="s">
        <v>54</v>
      </c>
      <c r="K2499" s="2">
        <v>4.2</v>
      </c>
      <c r="L2499" t="s">
        <v>152</v>
      </c>
      <c r="M2499" t="s">
        <v>34</v>
      </c>
      <c r="N2499" t="s">
        <v>55</v>
      </c>
      <c r="O2499" t="s">
        <v>152</v>
      </c>
      <c r="P2499" t="s">
        <v>152</v>
      </c>
      <c r="Q2499" s="3">
        <v>28</v>
      </c>
      <c r="R2499" t="s">
        <v>34</v>
      </c>
      <c r="S2499" t="s">
        <v>50</v>
      </c>
    </row>
    <row r="2500" spans="1:19" x14ac:dyDescent="0.25">
      <c r="A2500">
        <v>2499</v>
      </c>
      <c r="B2500">
        <v>18</v>
      </c>
      <c r="C2500" t="s">
        <v>19</v>
      </c>
      <c r="D2500" t="s">
        <v>64</v>
      </c>
      <c r="E2500" t="s">
        <v>65</v>
      </c>
      <c r="F2500" s="1">
        <v>39</v>
      </c>
      <c r="G2500" t="s">
        <v>37</v>
      </c>
      <c r="H2500" t="s">
        <v>38</v>
      </c>
      <c r="I2500" t="s">
        <v>96</v>
      </c>
      <c r="J2500" t="s">
        <v>58</v>
      </c>
      <c r="K2500" s="2">
        <v>2.6</v>
      </c>
      <c r="L2500" t="s">
        <v>152</v>
      </c>
      <c r="M2500" t="s">
        <v>35</v>
      </c>
      <c r="N2500" t="s">
        <v>47</v>
      </c>
      <c r="O2500" t="s">
        <v>152</v>
      </c>
      <c r="P2500" t="s">
        <v>152</v>
      </c>
      <c r="Q2500" s="3">
        <v>38</v>
      </c>
      <c r="R2500" t="s">
        <v>35</v>
      </c>
      <c r="S2500" t="s">
        <v>30</v>
      </c>
    </row>
    <row r="2501" spans="1:19" x14ac:dyDescent="0.25">
      <c r="A2501">
        <v>2500</v>
      </c>
      <c r="B2501">
        <v>52</v>
      </c>
      <c r="C2501" t="s">
        <v>19</v>
      </c>
      <c r="D2501" t="s">
        <v>104</v>
      </c>
      <c r="E2501" t="s">
        <v>21</v>
      </c>
      <c r="F2501" s="1">
        <v>73</v>
      </c>
      <c r="G2501" t="s">
        <v>62</v>
      </c>
      <c r="H2501" t="s">
        <v>23</v>
      </c>
      <c r="I2501" t="s">
        <v>71</v>
      </c>
      <c r="J2501" t="s">
        <v>54</v>
      </c>
      <c r="K2501" s="2">
        <v>3.1</v>
      </c>
      <c r="L2501" t="s">
        <v>152</v>
      </c>
      <c r="M2501" t="s">
        <v>59</v>
      </c>
      <c r="N2501" t="s">
        <v>47</v>
      </c>
      <c r="O2501" t="s">
        <v>152</v>
      </c>
      <c r="P2501" t="s">
        <v>152</v>
      </c>
      <c r="Q2501" s="3">
        <v>2</v>
      </c>
      <c r="R2501" t="s">
        <v>35</v>
      </c>
      <c r="S2501" t="s">
        <v>60</v>
      </c>
    </row>
    <row r="2502" spans="1:19" x14ac:dyDescent="0.25">
      <c r="A2502">
        <v>2501</v>
      </c>
      <c r="B2502">
        <v>59</v>
      </c>
      <c r="C2502" t="s">
        <v>19</v>
      </c>
      <c r="D2502" t="s">
        <v>143</v>
      </c>
      <c r="E2502" t="s">
        <v>69</v>
      </c>
      <c r="F2502" s="1">
        <v>84</v>
      </c>
      <c r="G2502" t="s">
        <v>37</v>
      </c>
      <c r="H2502" t="s">
        <v>45</v>
      </c>
      <c r="I2502" t="s">
        <v>84</v>
      </c>
      <c r="J2502" t="s">
        <v>58</v>
      </c>
      <c r="K2502" s="2">
        <v>2.9</v>
      </c>
      <c r="L2502" t="s">
        <v>152</v>
      </c>
      <c r="M2502" t="s">
        <v>27</v>
      </c>
      <c r="N2502" t="s">
        <v>76</v>
      </c>
      <c r="O2502" t="s">
        <v>152</v>
      </c>
      <c r="P2502" t="s">
        <v>152</v>
      </c>
      <c r="Q2502" s="3">
        <v>32</v>
      </c>
      <c r="R2502" t="s">
        <v>35</v>
      </c>
      <c r="S2502" t="s">
        <v>77</v>
      </c>
    </row>
    <row r="2503" spans="1:19" x14ac:dyDescent="0.25">
      <c r="A2503">
        <v>2502</v>
      </c>
      <c r="B2503">
        <v>49</v>
      </c>
      <c r="C2503" t="s">
        <v>19</v>
      </c>
      <c r="D2503" t="s">
        <v>61</v>
      </c>
      <c r="E2503" t="s">
        <v>21</v>
      </c>
      <c r="F2503" s="1">
        <v>94</v>
      </c>
      <c r="G2503" t="s">
        <v>66</v>
      </c>
      <c r="H2503" t="s">
        <v>45</v>
      </c>
      <c r="I2503" t="s">
        <v>84</v>
      </c>
      <c r="J2503" t="s">
        <v>58</v>
      </c>
      <c r="K2503" s="2">
        <v>4.5999999999999996</v>
      </c>
      <c r="L2503" t="s">
        <v>152</v>
      </c>
      <c r="M2503" t="s">
        <v>35</v>
      </c>
      <c r="N2503" t="s">
        <v>40</v>
      </c>
      <c r="O2503" t="s">
        <v>152</v>
      </c>
      <c r="P2503" t="s">
        <v>152</v>
      </c>
      <c r="Q2503" s="3">
        <v>30</v>
      </c>
      <c r="R2503" t="s">
        <v>29</v>
      </c>
      <c r="S2503" t="s">
        <v>77</v>
      </c>
    </row>
    <row r="2504" spans="1:19" x14ac:dyDescent="0.25">
      <c r="A2504">
        <v>2503</v>
      </c>
      <c r="B2504">
        <v>46</v>
      </c>
      <c r="C2504" t="s">
        <v>19</v>
      </c>
      <c r="D2504" t="s">
        <v>87</v>
      </c>
      <c r="E2504" t="s">
        <v>21</v>
      </c>
      <c r="F2504" s="1">
        <v>47</v>
      </c>
      <c r="G2504" t="s">
        <v>135</v>
      </c>
      <c r="H2504" t="s">
        <v>23</v>
      </c>
      <c r="I2504" t="s">
        <v>71</v>
      </c>
      <c r="J2504" t="s">
        <v>39</v>
      </c>
      <c r="K2504" s="2">
        <v>4.0999999999999996</v>
      </c>
      <c r="L2504" t="s">
        <v>152</v>
      </c>
      <c r="M2504" t="s">
        <v>35</v>
      </c>
      <c r="N2504" t="s">
        <v>55</v>
      </c>
      <c r="O2504" t="s">
        <v>152</v>
      </c>
      <c r="P2504" t="s">
        <v>152</v>
      </c>
      <c r="Q2504" s="3">
        <v>17</v>
      </c>
      <c r="R2504" t="s">
        <v>46</v>
      </c>
      <c r="S2504" t="s">
        <v>97</v>
      </c>
    </row>
    <row r="2505" spans="1:19" x14ac:dyDescent="0.25">
      <c r="A2505">
        <v>2504</v>
      </c>
      <c r="B2505">
        <v>69</v>
      </c>
      <c r="C2505" t="s">
        <v>19</v>
      </c>
      <c r="D2505" t="s">
        <v>137</v>
      </c>
      <c r="E2505" t="s">
        <v>43</v>
      </c>
      <c r="F2505" s="1">
        <v>77</v>
      </c>
      <c r="G2505" t="s">
        <v>123</v>
      </c>
      <c r="H2505" t="s">
        <v>45</v>
      </c>
      <c r="I2505" t="s">
        <v>84</v>
      </c>
      <c r="J2505" t="s">
        <v>54</v>
      </c>
      <c r="K2505" s="2">
        <v>2.5</v>
      </c>
      <c r="L2505" t="s">
        <v>152</v>
      </c>
      <c r="M2505" t="s">
        <v>46</v>
      </c>
      <c r="N2505" t="s">
        <v>76</v>
      </c>
      <c r="O2505" t="s">
        <v>152</v>
      </c>
      <c r="P2505" t="s">
        <v>152</v>
      </c>
      <c r="Q2505" s="3">
        <v>5</v>
      </c>
      <c r="R2505" t="s">
        <v>59</v>
      </c>
      <c r="S2505" t="s">
        <v>77</v>
      </c>
    </row>
    <row r="2506" spans="1:19" x14ac:dyDescent="0.25">
      <c r="A2506">
        <v>2505</v>
      </c>
      <c r="B2506">
        <v>56</v>
      </c>
      <c r="C2506" t="s">
        <v>19</v>
      </c>
      <c r="D2506" t="s">
        <v>61</v>
      </c>
      <c r="E2506" t="s">
        <v>21</v>
      </c>
      <c r="F2506" s="1">
        <v>94</v>
      </c>
      <c r="G2506" t="s">
        <v>44</v>
      </c>
      <c r="H2506" t="s">
        <v>45</v>
      </c>
      <c r="I2506" t="s">
        <v>49</v>
      </c>
      <c r="J2506" t="s">
        <v>25</v>
      </c>
      <c r="K2506" s="2">
        <v>4</v>
      </c>
      <c r="L2506" t="s">
        <v>152</v>
      </c>
      <c r="M2506" t="s">
        <v>27</v>
      </c>
      <c r="N2506" t="s">
        <v>76</v>
      </c>
      <c r="O2506" t="s">
        <v>152</v>
      </c>
      <c r="P2506" t="s">
        <v>152</v>
      </c>
      <c r="Q2506" s="3">
        <v>31</v>
      </c>
      <c r="R2506" t="s">
        <v>35</v>
      </c>
      <c r="S2506" t="s">
        <v>77</v>
      </c>
    </row>
    <row r="2507" spans="1:19" x14ac:dyDescent="0.25">
      <c r="A2507">
        <v>2506</v>
      </c>
      <c r="B2507">
        <v>27</v>
      </c>
      <c r="C2507" t="s">
        <v>19</v>
      </c>
      <c r="D2507" t="s">
        <v>68</v>
      </c>
      <c r="E2507" t="s">
        <v>69</v>
      </c>
      <c r="F2507" s="1">
        <v>75</v>
      </c>
      <c r="G2507" t="s">
        <v>115</v>
      </c>
      <c r="H2507" t="s">
        <v>45</v>
      </c>
      <c r="I2507" t="s">
        <v>109</v>
      </c>
      <c r="J2507" t="s">
        <v>54</v>
      </c>
      <c r="K2507" s="2">
        <v>3.5</v>
      </c>
      <c r="L2507" t="s">
        <v>152</v>
      </c>
      <c r="M2507" t="s">
        <v>46</v>
      </c>
      <c r="N2507" t="s">
        <v>28</v>
      </c>
      <c r="O2507" t="s">
        <v>152</v>
      </c>
      <c r="P2507" t="s">
        <v>152</v>
      </c>
      <c r="Q2507" s="3">
        <v>43</v>
      </c>
      <c r="R2507" t="s">
        <v>46</v>
      </c>
      <c r="S2507" t="s">
        <v>60</v>
      </c>
    </row>
    <row r="2508" spans="1:19" x14ac:dyDescent="0.25">
      <c r="A2508">
        <v>2507</v>
      </c>
      <c r="B2508">
        <v>57</v>
      </c>
      <c r="C2508" t="s">
        <v>19</v>
      </c>
      <c r="D2508" t="s">
        <v>82</v>
      </c>
      <c r="E2508" t="s">
        <v>21</v>
      </c>
      <c r="F2508" s="1">
        <v>82</v>
      </c>
      <c r="G2508" t="s">
        <v>85</v>
      </c>
      <c r="H2508" t="s">
        <v>92</v>
      </c>
      <c r="I2508" t="s">
        <v>121</v>
      </c>
      <c r="J2508" t="s">
        <v>39</v>
      </c>
      <c r="K2508" s="2">
        <v>4.4000000000000004</v>
      </c>
      <c r="L2508" t="s">
        <v>152</v>
      </c>
      <c r="M2508" t="s">
        <v>59</v>
      </c>
      <c r="N2508" t="s">
        <v>40</v>
      </c>
      <c r="O2508" t="s">
        <v>152</v>
      </c>
      <c r="P2508" t="s">
        <v>152</v>
      </c>
      <c r="Q2508" s="3">
        <v>19</v>
      </c>
      <c r="R2508" t="s">
        <v>29</v>
      </c>
      <c r="S2508" t="s">
        <v>50</v>
      </c>
    </row>
    <row r="2509" spans="1:19" x14ac:dyDescent="0.25">
      <c r="A2509">
        <v>2508</v>
      </c>
      <c r="B2509">
        <v>58</v>
      </c>
      <c r="C2509" t="s">
        <v>19</v>
      </c>
      <c r="D2509" t="s">
        <v>73</v>
      </c>
      <c r="E2509" t="s">
        <v>43</v>
      </c>
      <c r="F2509" s="1">
        <v>36</v>
      </c>
      <c r="G2509" t="s">
        <v>62</v>
      </c>
      <c r="H2509" t="s">
        <v>45</v>
      </c>
      <c r="I2509" t="s">
        <v>109</v>
      </c>
      <c r="J2509" t="s">
        <v>58</v>
      </c>
      <c r="K2509" s="2">
        <v>2.9</v>
      </c>
      <c r="L2509" t="s">
        <v>152</v>
      </c>
      <c r="M2509" t="s">
        <v>46</v>
      </c>
      <c r="N2509" t="s">
        <v>76</v>
      </c>
      <c r="O2509" t="s">
        <v>152</v>
      </c>
      <c r="P2509" t="s">
        <v>152</v>
      </c>
      <c r="Q2509" s="3">
        <v>32</v>
      </c>
      <c r="R2509" t="s">
        <v>27</v>
      </c>
      <c r="S2509" t="s">
        <v>97</v>
      </c>
    </row>
    <row r="2510" spans="1:19" x14ac:dyDescent="0.25">
      <c r="A2510">
        <v>2509</v>
      </c>
      <c r="B2510">
        <v>23</v>
      </c>
      <c r="C2510" t="s">
        <v>19</v>
      </c>
      <c r="D2510" t="s">
        <v>51</v>
      </c>
      <c r="E2510" t="s">
        <v>43</v>
      </c>
      <c r="F2510" s="1">
        <v>90</v>
      </c>
      <c r="G2510" t="s">
        <v>99</v>
      </c>
      <c r="H2510" t="s">
        <v>92</v>
      </c>
      <c r="I2510" t="s">
        <v>126</v>
      </c>
      <c r="J2510" t="s">
        <v>39</v>
      </c>
      <c r="K2510" s="2">
        <v>3.1</v>
      </c>
      <c r="L2510" t="s">
        <v>152</v>
      </c>
      <c r="M2510" t="s">
        <v>35</v>
      </c>
      <c r="N2510" t="s">
        <v>72</v>
      </c>
      <c r="O2510" t="s">
        <v>152</v>
      </c>
      <c r="P2510" t="s">
        <v>152</v>
      </c>
      <c r="Q2510" s="3">
        <v>5</v>
      </c>
      <c r="R2510" t="s">
        <v>59</v>
      </c>
      <c r="S2510" t="s">
        <v>77</v>
      </c>
    </row>
    <row r="2511" spans="1:19" x14ac:dyDescent="0.25">
      <c r="A2511">
        <v>2510</v>
      </c>
      <c r="B2511">
        <v>19</v>
      </c>
      <c r="C2511" t="s">
        <v>19</v>
      </c>
      <c r="D2511" t="s">
        <v>125</v>
      </c>
      <c r="E2511" t="s">
        <v>21</v>
      </c>
      <c r="F2511" s="1">
        <v>48</v>
      </c>
      <c r="G2511" t="s">
        <v>149</v>
      </c>
      <c r="H2511" t="s">
        <v>45</v>
      </c>
      <c r="I2511" t="s">
        <v>94</v>
      </c>
      <c r="J2511" t="s">
        <v>39</v>
      </c>
      <c r="K2511" s="2">
        <v>4.4000000000000004</v>
      </c>
      <c r="L2511" t="s">
        <v>152</v>
      </c>
      <c r="M2511" t="s">
        <v>46</v>
      </c>
      <c r="N2511" t="s">
        <v>40</v>
      </c>
      <c r="O2511" t="s">
        <v>152</v>
      </c>
      <c r="P2511" t="s">
        <v>152</v>
      </c>
      <c r="Q2511" s="3">
        <v>9</v>
      </c>
      <c r="R2511" t="s">
        <v>34</v>
      </c>
      <c r="S2511" t="s">
        <v>60</v>
      </c>
    </row>
    <row r="2512" spans="1:19" x14ac:dyDescent="0.25">
      <c r="A2512">
        <v>2511</v>
      </c>
      <c r="B2512">
        <v>40</v>
      </c>
      <c r="C2512" t="s">
        <v>19</v>
      </c>
      <c r="D2512" t="s">
        <v>102</v>
      </c>
      <c r="E2512" t="s">
        <v>65</v>
      </c>
      <c r="F2512" s="1">
        <v>42</v>
      </c>
      <c r="G2512" t="s">
        <v>147</v>
      </c>
      <c r="H2512" t="s">
        <v>23</v>
      </c>
      <c r="I2512" t="s">
        <v>75</v>
      </c>
      <c r="J2512" t="s">
        <v>25</v>
      </c>
      <c r="K2512" s="2">
        <v>4.4000000000000004</v>
      </c>
      <c r="L2512" t="s">
        <v>152</v>
      </c>
      <c r="M2512" t="s">
        <v>35</v>
      </c>
      <c r="N2512" t="s">
        <v>55</v>
      </c>
      <c r="O2512" t="s">
        <v>152</v>
      </c>
      <c r="P2512" t="s">
        <v>152</v>
      </c>
      <c r="Q2512" s="3">
        <v>48</v>
      </c>
      <c r="R2512" t="s">
        <v>27</v>
      </c>
      <c r="S2512" t="s">
        <v>41</v>
      </c>
    </row>
    <row r="2513" spans="1:19" x14ac:dyDescent="0.25">
      <c r="A2513">
        <v>2512</v>
      </c>
      <c r="B2513">
        <v>54</v>
      </c>
      <c r="C2513" t="s">
        <v>19</v>
      </c>
      <c r="D2513" t="s">
        <v>132</v>
      </c>
      <c r="E2513" t="s">
        <v>69</v>
      </c>
      <c r="F2513" s="1">
        <v>33</v>
      </c>
      <c r="G2513" t="s">
        <v>135</v>
      </c>
      <c r="H2513" t="s">
        <v>45</v>
      </c>
      <c r="I2513" t="s">
        <v>109</v>
      </c>
      <c r="J2513" t="s">
        <v>54</v>
      </c>
      <c r="K2513" s="2">
        <v>2.7</v>
      </c>
      <c r="L2513" t="s">
        <v>152</v>
      </c>
      <c r="M2513" t="s">
        <v>59</v>
      </c>
      <c r="N2513" t="s">
        <v>76</v>
      </c>
      <c r="O2513" t="s">
        <v>152</v>
      </c>
      <c r="P2513" t="s">
        <v>152</v>
      </c>
      <c r="Q2513" s="3">
        <v>1</v>
      </c>
      <c r="R2513" t="s">
        <v>46</v>
      </c>
      <c r="S2513" t="s">
        <v>60</v>
      </c>
    </row>
    <row r="2514" spans="1:19" x14ac:dyDescent="0.25">
      <c r="A2514">
        <v>2513</v>
      </c>
      <c r="B2514">
        <v>50</v>
      </c>
      <c r="C2514" t="s">
        <v>19</v>
      </c>
      <c r="D2514" t="s">
        <v>125</v>
      </c>
      <c r="E2514" t="s">
        <v>21</v>
      </c>
      <c r="F2514" s="1">
        <v>63</v>
      </c>
      <c r="G2514" t="s">
        <v>114</v>
      </c>
      <c r="H2514" t="s">
        <v>45</v>
      </c>
      <c r="I2514" t="s">
        <v>96</v>
      </c>
      <c r="J2514" t="s">
        <v>54</v>
      </c>
      <c r="K2514" s="2">
        <v>4.9000000000000004</v>
      </c>
      <c r="L2514" t="s">
        <v>152</v>
      </c>
      <c r="M2514" t="s">
        <v>27</v>
      </c>
      <c r="N2514" t="s">
        <v>40</v>
      </c>
      <c r="O2514" t="s">
        <v>152</v>
      </c>
      <c r="P2514" t="s">
        <v>152</v>
      </c>
      <c r="Q2514" s="3">
        <v>20</v>
      </c>
      <c r="R2514" t="s">
        <v>27</v>
      </c>
      <c r="S2514" t="s">
        <v>88</v>
      </c>
    </row>
    <row r="2515" spans="1:19" x14ac:dyDescent="0.25">
      <c r="A2515">
        <v>2514</v>
      </c>
      <c r="B2515">
        <v>69</v>
      </c>
      <c r="C2515" t="s">
        <v>19</v>
      </c>
      <c r="D2515" t="s">
        <v>68</v>
      </c>
      <c r="E2515" t="s">
        <v>69</v>
      </c>
      <c r="F2515" s="1">
        <v>53</v>
      </c>
      <c r="G2515" t="s">
        <v>149</v>
      </c>
      <c r="H2515" t="s">
        <v>23</v>
      </c>
      <c r="I2515" t="s">
        <v>86</v>
      </c>
      <c r="J2515" t="s">
        <v>25</v>
      </c>
      <c r="K2515" s="2">
        <v>3.5</v>
      </c>
      <c r="L2515" t="s">
        <v>152</v>
      </c>
      <c r="M2515" t="s">
        <v>59</v>
      </c>
      <c r="N2515" t="s">
        <v>72</v>
      </c>
      <c r="O2515" t="s">
        <v>152</v>
      </c>
      <c r="P2515" t="s">
        <v>152</v>
      </c>
      <c r="Q2515" s="3">
        <v>42</v>
      </c>
      <c r="R2515" t="s">
        <v>35</v>
      </c>
      <c r="S2515" t="s">
        <v>50</v>
      </c>
    </row>
    <row r="2516" spans="1:19" x14ac:dyDescent="0.25">
      <c r="A2516">
        <v>2515</v>
      </c>
      <c r="B2516">
        <v>42</v>
      </c>
      <c r="C2516" t="s">
        <v>19</v>
      </c>
      <c r="D2516" t="s">
        <v>124</v>
      </c>
      <c r="E2516" t="s">
        <v>69</v>
      </c>
      <c r="F2516" s="1">
        <v>37</v>
      </c>
      <c r="G2516" t="s">
        <v>120</v>
      </c>
      <c r="H2516" t="s">
        <v>23</v>
      </c>
      <c r="I2516" t="s">
        <v>86</v>
      </c>
      <c r="J2516" t="s">
        <v>39</v>
      </c>
      <c r="K2516" s="2">
        <v>4.8</v>
      </c>
      <c r="L2516" t="s">
        <v>152</v>
      </c>
      <c r="M2516" t="s">
        <v>59</v>
      </c>
      <c r="N2516" t="s">
        <v>40</v>
      </c>
      <c r="O2516" t="s">
        <v>152</v>
      </c>
      <c r="P2516" t="s">
        <v>152</v>
      </c>
      <c r="Q2516" s="3">
        <v>45</v>
      </c>
      <c r="R2516" t="s">
        <v>46</v>
      </c>
      <c r="S2516" t="s">
        <v>77</v>
      </c>
    </row>
    <row r="2517" spans="1:19" x14ac:dyDescent="0.25">
      <c r="A2517">
        <v>2516</v>
      </c>
      <c r="B2517">
        <v>37</v>
      </c>
      <c r="C2517" t="s">
        <v>19</v>
      </c>
      <c r="D2517" t="s">
        <v>20</v>
      </c>
      <c r="E2517" t="s">
        <v>21</v>
      </c>
      <c r="F2517" s="1">
        <v>92</v>
      </c>
      <c r="G2517" t="s">
        <v>111</v>
      </c>
      <c r="H2517" t="s">
        <v>45</v>
      </c>
      <c r="I2517" t="s">
        <v>136</v>
      </c>
      <c r="J2517" t="s">
        <v>54</v>
      </c>
      <c r="K2517" s="2">
        <v>4.2</v>
      </c>
      <c r="L2517" t="s">
        <v>152</v>
      </c>
      <c r="M2517" t="s">
        <v>34</v>
      </c>
      <c r="N2517" t="s">
        <v>72</v>
      </c>
      <c r="O2517" t="s">
        <v>152</v>
      </c>
      <c r="P2517" t="s">
        <v>152</v>
      </c>
      <c r="Q2517" s="3">
        <v>41</v>
      </c>
      <c r="R2517" t="s">
        <v>35</v>
      </c>
      <c r="S2517" t="s">
        <v>88</v>
      </c>
    </row>
    <row r="2518" spans="1:19" x14ac:dyDescent="0.25">
      <c r="A2518">
        <v>2517</v>
      </c>
      <c r="B2518">
        <v>46</v>
      </c>
      <c r="C2518" t="s">
        <v>19</v>
      </c>
      <c r="D2518" t="s">
        <v>61</v>
      </c>
      <c r="E2518" t="s">
        <v>21</v>
      </c>
      <c r="F2518" s="1">
        <v>73</v>
      </c>
      <c r="G2518" t="s">
        <v>140</v>
      </c>
      <c r="H2518" t="s">
        <v>92</v>
      </c>
      <c r="I2518" t="s">
        <v>110</v>
      </c>
      <c r="J2518" t="s">
        <v>39</v>
      </c>
      <c r="K2518" s="2">
        <v>4.5999999999999996</v>
      </c>
      <c r="L2518" t="s">
        <v>152</v>
      </c>
      <c r="M2518" t="s">
        <v>34</v>
      </c>
      <c r="N2518" t="s">
        <v>55</v>
      </c>
      <c r="O2518" t="s">
        <v>152</v>
      </c>
      <c r="P2518" t="s">
        <v>152</v>
      </c>
      <c r="Q2518" s="3">
        <v>36</v>
      </c>
      <c r="R2518" t="s">
        <v>59</v>
      </c>
      <c r="S2518" t="s">
        <v>60</v>
      </c>
    </row>
    <row r="2519" spans="1:19" x14ac:dyDescent="0.25">
      <c r="A2519">
        <v>2518</v>
      </c>
      <c r="B2519">
        <v>64</v>
      </c>
      <c r="C2519" t="s">
        <v>19</v>
      </c>
      <c r="D2519" t="s">
        <v>56</v>
      </c>
      <c r="E2519" t="s">
        <v>21</v>
      </c>
      <c r="F2519" s="1">
        <v>38</v>
      </c>
      <c r="G2519" t="s">
        <v>52</v>
      </c>
      <c r="H2519" t="s">
        <v>23</v>
      </c>
      <c r="I2519" t="s">
        <v>121</v>
      </c>
      <c r="J2519" t="s">
        <v>39</v>
      </c>
      <c r="K2519" s="2">
        <v>2.9</v>
      </c>
      <c r="L2519" t="s">
        <v>152</v>
      </c>
      <c r="M2519" t="s">
        <v>27</v>
      </c>
      <c r="N2519" t="s">
        <v>55</v>
      </c>
      <c r="O2519" t="s">
        <v>152</v>
      </c>
      <c r="P2519" t="s">
        <v>152</v>
      </c>
      <c r="Q2519" s="3">
        <v>10</v>
      </c>
      <c r="R2519" t="s">
        <v>29</v>
      </c>
      <c r="S2519" t="s">
        <v>50</v>
      </c>
    </row>
    <row r="2520" spans="1:19" x14ac:dyDescent="0.25">
      <c r="A2520">
        <v>2519</v>
      </c>
      <c r="B2520">
        <v>20</v>
      </c>
      <c r="C2520" t="s">
        <v>19</v>
      </c>
      <c r="D2520" t="s">
        <v>137</v>
      </c>
      <c r="E2520" t="s">
        <v>43</v>
      </c>
      <c r="F2520" s="1">
        <v>51</v>
      </c>
      <c r="G2520" t="s">
        <v>32</v>
      </c>
      <c r="H2520" t="s">
        <v>92</v>
      </c>
      <c r="I2520" t="s">
        <v>144</v>
      </c>
      <c r="J2520" t="s">
        <v>58</v>
      </c>
      <c r="K2520" s="2">
        <v>4</v>
      </c>
      <c r="L2520" t="s">
        <v>152</v>
      </c>
      <c r="M2520" t="s">
        <v>46</v>
      </c>
      <c r="N2520" t="s">
        <v>76</v>
      </c>
      <c r="O2520" t="s">
        <v>152</v>
      </c>
      <c r="P2520" t="s">
        <v>152</v>
      </c>
      <c r="Q2520" s="3">
        <v>31</v>
      </c>
      <c r="R2520" t="s">
        <v>29</v>
      </c>
      <c r="S2520" t="s">
        <v>50</v>
      </c>
    </row>
    <row r="2521" spans="1:19" x14ac:dyDescent="0.25">
      <c r="A2521">
        <v>2520</v>
      </c>
      <c r="B2521">
        <v>40</v>
      </c>
      <c r="C2521" t="s">
        <v>19</v>
      </c>
      <c r="D2521" t="s">
        <v>102</v>
      </c>
      <c r="E2521" t="s">
        <v>65</v>
      </c>
      <c r="F2521" s="1">
        <v>90</v>
      </c>
      <c r="G2521" t="s">
        <v>151</v>
      </c>
      <c r="H2521" t="s">
        <v>23</v>
      </c>
      <c r="I2521" t="s">
        <v>136</v>
      </c>
      <c r="J2521" t="s">
        <v>39</v>
      </c>
      <c r="K2521" s="2">
        <v>4.9000000000000004</v>
      </c>
      <c r="L2521" t="s">
        <v>152</v>
      </c>
      <c r="M2521" t="s">
        <v>27</v>
      </c>
      <c r="N2521" t="s">
        <v>55</v>
      </c>
      <c r="O2521" t="s">
        <v>152</v>
      </c>
      <c r="P2521" t="s">
        <v>152</v>
      </c>
      <c r="Q2521" s="3">
        <v>21</v>
      </c>
      <c r="R2521" t="s">
        <v>27</v>
      </c>
      <c r="S2521" t="s">
        <v>60</v>
      </c>
    </row>
    <row r="2522" spans="1:19" x14ac:dyDescent="0.25">
      <c r="A2522">
        <v>2521</v>
      </c>
      <c r="B2522">
        <v>64</v>
      </c>
      <c r="C2522" t="s">
        <v>19</v>
      </c>
      <c r="D2522" t="s">
        <v>102</v>
      </c>
      <c r="E2522" t="s">
        <v>65</v>
      </c>
      <c r="F2522" s="1">
        <v>56</v>
      </c>
      <c r="G2522" t="s">
        <v>115</v>
      </c>
      <c r="H2522" t="s">
        <v>23</v>
      </c>
      <c r="I2522" t="s">
        <v>136</v>
      </c>
      <c r="J2522" t="s">
        <v>54</v>
      </c>
      <c r="K2522" s="2">
        <v>3.1</v>
      </c>
      <c r="L2522" t="s">
        <v>152</v>
      </c>
      <c r="M2522" t="s">
        <v>34</v>
      </c>
      <c r="N2522" t="s">
        <v>47</v>
      </c>
      <c r="O2522" t="s">
        <v>152</v>
      </c>
      <c r="P2522" t="s">
        <v>152</v>
      </c>
      <c r="Q2522" s="3">
        <v>16</v>
      </c>
      <c r="R2522" t="s">
        <v>35</v>
      </c>
      <c r="S2522" t="s">
        <v>97</v>
      </c>
    </row>
    <row r="2523" spans="1:19" x14ac:dyDescent="0.25">
      <c r="A2523">
        <v>2522</v>
      </c>
      <c r="B2523">
        <v>29</v>
      </c>
      <c r="C2523" t="s">
        <v>19</v>
      </c>
      <c r="D2523" t="s">
        <v>68</v>
      </c>
      <c r="E2523" t="s">
        <v>69</v>
      </c>
      <c r="F2523" s="1">
        <v>33</v>
      </c>
      <c r="G2523" t="s">
        <v>148</v>
      </c>
      <c r="H2523" t="s">
        <v>45</v>
      </c>
      <c r="I2523" t="s">
        <v>136</v>
      </c>
      <c r="J2523" t="s">
        <v>58</v>
      </c>
      <c r="K2523" s="2">
        <v>4.4000000000000004</v>
      </c>
      <c r="L2523" t="s">
        <v>152</v>
      </c>
      <c r="M2523" t="s">
        <v>59</v>
      </c>
      <c r="N2523" t="s">
        <v>55</v>
      </c>
      <c r="O2523" t="s">
        <v>152</v>
      </c>
      <c r="P2523" t="s">
        <v>152</v>
      </c>
      <c r="Q2523" s="3">
        <v>18</v>
      </c>
      <c r="R2523" t="s">
        <v>46</v>
      </c>
      <c r="S2523" t="s">
        <v>97</v>
      </c>
    </row>
    <row r="2524" spans="1:19" x14ac:dyDescent="0.25">
      <c r="A2524">
        <v>2523</v>
      </c>
      <c r="B2524">
        <v>20</v>
      </c>
      <c r="C2524" t="s">
        <v>19</v>
      </c>
      <c r="D2524" t="s">
        <v>133</v>
      </c>
      <c r="E2524" t="s">
        <v>69</v>
      </c>
      <c r="F2524" s="1">
        <v>53</v>
      </c>
      <c r="G2524" t="s">
        <v>37</v>
      </c>
      <c r="H2524" t="s">
        <v>38</v>
      </c>
      <c r="I2524" t="s">
        <v>79</v>
      </c>
      <c r="J2524" t="s">
        <v>25</v>
      </c>
      <c r="K2524" s="2">
        <v>2.5</v>
      </c>
      <c r="L2524" t="s">
        <v>152</v>
      </c>
      <c r="M2524" t="s">
        <v>35</v>
      </c>
      <c r="N2524" t="s">
        <v>72</v>
      </c>
      <c r="O2524" t="s">
        <v>152</v>
      </c>
      <c r="P2524" t="s">
        <v>152</v>
      </c>
      <c r="Q2524" s="3">
        <v>20</v>
      </c>
      <c r="R2524" t="s">
        <v>59</v>
      </c>
      <c r="S2524" t="s">
        <v>41</v>
      </c>
    </row>
    <row r="2525" spans="1:19" x14ac:dyDescent="0.25">
      <c r="A2525">
        <v>2524</v>
      </c>
      <c r="B2525">
        <v>43</v>
      </c>
      <c r="C2525" t="s">
        <v>19</v>
      </c>
      <c r="D2525" t="s">
        <v>68</v>
      </c>
      <c r="E2525" t="s">
        <v>69</v>
      </c>
      <c r="F2525" s="1">
        <v>24</v>
      </c>
      <c r="G2525" t="s">
        <v>127</v>
      </c>
      <c r="H2525" t="s">
        <v>38</v>
      </c>
      <c r="I2525" t="s">
        <v>109</v>
      </c>
      <c r="J2525" t="s">
        <v>39</v>
      </c>
      <c r="K2525" s="2">
        <v>3.4</v>
      </c>
      <c r="L2525" t="s">
        <v>152</v>
      </c>
      <c r="M2525" t="s">
        <v>35</v>
      </c>
      <c r="N2525" t="s">
        <v>28</v>
      </c>
      <c r="O2525" t="s">
        <v>152</v>
      </c>
      <c r="P2525" t="s">
        <v>152</v>
      </c>
      <c r="Q2525" s="3">
        <v>21</v>
      </c>
      <c r="R2525" t="s">
        <v>34</v>
      </c>
      <c r="S2525" t="s">
        <v>50</v>
      </c>
    </row>
    <row r="2526" spans="1:19" x14ac:dyDescent="0.25">
      <c r="A2526">
        <v>2525</v>
      </c>
      <c r="B2526">
        <v>60</v>
      </c>
      <c r="C2526" t="s">
        <v>19</v>
      </c>
      <c r="D2526" t="s">
        <v>64</v>
      </c>
      <c r="E2526" t="s">
        <v>65</v>
      </c>
      <c r="F2526" s="1">
        <v>59</v>
      </c>
      <c r="G2526" t="s">
        <v>111</v>
      </c>
      <c r="H2526" t="s">
        <v>45</v>
      </c>
      <c r="I2526" t="s">
        <v>75</v>
      </c>
      <c r="J2526" t="s">
        <v>39</v>
      </c>
      <c r="K2526" s="2">
        <v>3.7</v>
      </c>
      <c r="L2526" t="s">
        <v>152</v>
      </c>
      <c r="M2526" t="s">
        <v>29</v>
      </c>
      <c r="N2526" t="s">
        <v>28</v>
      </c>
      <c r="O2526" t="s">
        <v>152</v>
      </c>
      <c r="P2526" t="s">
        <v>152</v>
      </c>
      <c r="Q2526" s="3">
        <v>23</v>
      </c>
      <c r="R2526" t="s">
        <v>27</v>
      </c>
      <c r="S2526" t="s">
        <v>60</v>
      </c>
    </row>
    <row r="2527" spans="1:19" x14ac:dyDescent="0.25">
      <c r="A2527">
        <v>2526</v>
      </c>
      <c r="B2527">
        <v>39</v>
      </c>
      <c r="C2527" t="s">
        <v>19</v>
      </c>
      <c r="D2527" t="s">
        <v>31</v>
      </c>
      <c r="E2527" t="s">
        <v>21</v>
      </c>
      <c r="F2527" s="1">
        <v>72</v>
      </c>
      <c r="G2527" t="s">
        <v>22</v>
      </c>
      <c r="H2527" t="s">
        <v>45</v>
      </c>
      <c r="I2527" t="s">
        <v>75</v>
      </c>
      <c r="J2527" t="s">
        <v>25</v>
      </c>
      <c r="K2527" s="2">
        <v>4.2</v>
      </c>
      <c r="L2527" t="s">
        <v>152</v>
      </c>
      <c r="M2527" t="s">
        <v>46</v>
      </c>
      <c r="N2527" t="s">
        <v>55</v>
      </c>
      <c r="O2527" t="s">
        <v>152</v>
      </c>
      <c r="P2527" t="s">
        <v>152</v>
      </c>
      <c r="Q2527" s="3">
        <v>20</v>
      </c>
      <c r="R2527" t="s">
        <v>46</v>
      </c>
      <c r="S2527" t="s">
        <v>41</v>
      </c>
    </row>
    <row r="2528" spans="1:19" x14ac:dyDescent="0.25">
      <c r="A2528">
        <v>2527</v>
      </c>
      <c r="B2528">
        <v>47</v>
      </c>
      <c r="C2528" t="s">
        <v>19</v>
      </c>
      <c r="D2528" t="s">
        <v>61</v>
      </c>
      <c r="E2528" t="s">
        <v>21</v>
      </c>
      <c r="F2528" s="1">
        <v>28</v>
      </c>
      <c r="G2528" t="s">
        <v>44</v>
      </c>
      <c r="H2528" t="s">
        <v>38</v>
      </c>
      <c r="I2528" t="s">
        <v>100</v>
      </c>
      <c r="J2528" t="s">
        <v>39</v>
      </c>
      <c r="K2528" s="2">
        <v>3.4</v>
      </c>
      <c r="L2528" t="s">
        <v>152</v>
      </c>
      <c r="M2528" t="s">
        <v>34</v>
      </c>
      <c r="N2528" t="s">
        <v>28</v>
      </c>
      <c r="O2528" t="s">
        <v>152</v>
      </c>
      <c r="P2528" t="s">
        <v>152</v>
      </c>
      <c r="Q2528" s="3">
        <v>30</v>
      </c>
      <c r="R2528" t="s">
        <v>46</v>
      </c>
      <c r="S2528" t="s">
        <v>77</v>
      </c>
    </row>
    <row r="2529" spans="1:19" x14ac:dyDescent="0.25">
      <c r="A2529">
        <v>2528</v>
      </c>
      <c r="B2529">
        <v>19</v>
      </c>
      <c r="C2529" t="s">
        <v>19</v>
      </c>
      <c r="D2529" t="s">
        <v>95</v>
      </c>
      <c r="E2529" t="s">
        <v>21</v>
      </c>
      <c r="F2529" s="1">
        <v>36</v>
      </c>
      <c r="G2529" t="s">
        <v>115</v>
      </c>
      <c r="H2529" t="s">
        <v>45</v>
      </c>
      <c r="I2529" t="s">
        <v>81</v>
      </c>
      <c r="J2529" t="s">
        <v>58</v>
      </c>
      <c r="K2529" s="2">
        <v>3.6</v>
      </c>
      <c r="L2529" t="s">
        <v>152</v>
      </c>
      <c r="M2529" t="s">
        <v>35</v>
      </c>
      <c r="N2529" t="s">
        <v>28</v>
      </c>
      <c r="O2529" t="s">
        <v>152</v>
      </c>
      <c r="P2529" t="s">
        <v>152</v>
      </c>
      <c r="Q2529" s="3">
        <v>33</v>
      </c>
      <c r="R2529" t="s">
        <v>34</v>
      </c>
      <c r="S2529" t="s">
        <v>97</v>
      </c>
    </row>
    <row r="2530" spans="1:19" x14ac:dyDescent="0.25">
      <c r="A2530">
        <v>2529</v>
      </c>
      <c r="B2530">
        <v>52</v>
      </c>
      <c r="C2530" t="s">
        <v>19</v>
      </c>
      <c r="D2530" t="s">
        <v>106</v>
      </c>
      <c r="E2530" t="s">
        <v>69</v>
      </c>
      <c r="F2530" s="1">
        <v>47</v>
      </c>
      <c r="G2530" t="s">
        <v>90</v>
      </c>
      <c r="H2530" t="s">
        <v>38</v>
      </c>
      <c r="I2530" t="s">
        <v>100</v>
      </c>
      <c r="J2530" t="s">
        <v>58</v>
      </c>
      <c r="K2530" s="2">
        <v>4.7</v>
      </c>
      <c r="L2530" t="s">
        <v>152</v>
      </c>
      <c r="M2530" t="s">
        <v>34</v>
      </c>
      <c r="N2530" t="s">
        <v>72</v>
      </c>
      <c r="O2530" t="s">
        <v>152</v>
      </c>
      <c r="P2530" t="s">
        <v>152</v>
      </c>
      <c r="Q2530" s="3">
        <v>31</v>
      </c>
      <c r="R2530" t="s">
        <v>59</v>
      </c>
      <c r="S2530" t="s">
        <v>88</v>
      </c>
    </row>
    <row r="2531" spans="1:19" x14ac:dyDescent="0.25">
      <c r="A2531">
        <v>2530</v>
      </c>
      <c r="B2531">
        <v>34</v>
      </c>
      <c r="C2531" t="s">
        <v>19</v>
      </c>
      <c r="D2531" t="s">
        <v>143</v>
      </c>
      <c r="E2531" t="s">
        <v>69</v>
      </c>
      <c r="F2531" s="1">
        <v>62</v>
      </c>
      <c r="G2531" t="s">
        <v>122</v>
      </c>
      <c r="H2531" t="s">
        <v>45</v>
      </c>
      <c r="I2531" t="s">
        <v>136</v>
      </c>
      <c r="J2531" t="s">
        <v>39</v>
      </c>
      <c r="K2531" s="2">
        <v>4.7</v>
      </c>
      <c r="L2531" t="s">
        <v>152</v>
      </c>
      <c r="M2531" t="s">
        <v>35</v>
      </c>
      <c r="N2531" t="s">
        <v>47</v>
      </c>
      <c r="O2531" t="s">
        <v>152</v>
      </c>
      <c r="P2531" t="s">
        <v>152</v>
      </c>
      <c r="Q2531" s="3">
        <v>48</v>
      </c>
      <c r="R2531" t="s">
        <v>34</v>
      </c>
      <c r="S2531" t="s">
        <v>88</v>
      </c>
    </row>
    <row r="2532" spans="1:19" x14ac:dyDescent="0.25">
      <c r="A2532">
        <v>2531</v>
      </c>
      <c r="B2532">
        <v>25</v>
      </c>
      <c r="C2532" t="s">
        <v>19</v>
      </c>
      <c r="D2532" t="s">
        <v>87</v>
      </c>
      <c r="E2532" t="s">
        <v>21</v>
      </c>
      <c r="F2532" s="1">
        <v>98</v>
      </c>
      <c r="G2532" t="s">
        <v>37</v>
      </c>
      <c r="H2532" t="s">
        <v>38</v>
      </c>
      <c r="I2532" t="s">
        <v>109</v>
      </c>
      <c r="J2532" t="s">
        <v>39</v>
      </c>
      <c r="K2532" s="2">
        <v>3.6</v>
      </c>
      <c r="L2532" t="s">
        <v>152</v>
      </c>
      <c r="M2532" t="s">
        <v>59</v>
      </c>
      <c r="N2532" t="s">
        <v>40</v>
      </c>
      <c r="O2532" t="s">
        <v>152</v>
      </c>
      <c r="P2532" t="s">
        <v>152</v>
      </c>
      <c r="Q2532" s="3">
        <v>28</v>
      </c>
      <c r="R2532" t="s">
        <v>59</v>
      </c>
      <c r="S2532" t="s">
        <v>41</v>
      </c>
    </row>
    <row r="2533" spans="1:19" x14ac:dyDescent="0.25">
      <c r="A2533">
        <v>2532</v>
      </c>
      <c r="B2533">
        <v>43</v>
      </c>
      <c r="C2533" t="s">
        <v>19</v>
      </c>
      <c r="D2533" t="s">
        <v>42</v>
      </c>
      <c r="E2533" t="s">
        <v>43</v>
      </c>
      <c r="F2533" s="1">
        <v>28</v>
      </c>
      <c r="G2533" t="s">
        <v>105</v>
      </c>
      <c r="H2533" t="s">
        <v>45</v>
      </c>
      <c r="I2533" t="s">
        <v>84</v>
      </c>
      <c r="J2533" t="s">
        <v>54</v>
      </c>
      <c r="K2533" s="2">
        <v>4.5999999999999996</v>
      </c>
      <c r="L2533" t="s">
        <v>152</v>
      </c>
      <c r="M2533" t="s">
        <v>46</v>
      </c>
      <c r="N2533" t="s">
        <v>40</v>
      </c>
      <c r="O2533" t="s">
        <v>152</v>
      </c>
      <c r="P2533" t="s">
        <v>152</v>
      </c>
      <c r="Q2533" s="3">
        <v>7</v>
      </c>
      <c r="R2533" t="s">
        <v>35</v>
      </c>
      <c r="S2533" t="s">
        <v>97</v>
      </c>
    </row>
    <row r="2534" spans="1:19" x14ac:dyDescent="0.25">
      <c r="A2534">
        <v>2533</v>
      </c>
      <c r="B2534">
        <v>55</v>
      </c>
      <c r="C2534" t="s">
        <v>19</v>
      </c>
      <c r="D2534" t="s">
        <v>125</v>
      </c>
      <c r="E2534" t="s">
        <v>21</v>
      </c>
      <c r="F2534" s="1">
        <v>86</v>
      </c>
      <c r="G2534" t="s">
        <v>145</v>
      </c>
      <c r="H2534" t="s">
        <v>38</v>
      </c>
      <c r="I2534" t="s">
        <v>63</v>
      </c>
      <c r="J2534" t="s">
        <v>54</v>
      </c>
      <c r="K2534" s="2">
        <v>2.6</v>
      </c>
      <c r="L2534" t="s">
        <v>152</v>
      </c>
      <c r="M2534" t="s">
        <v>46</v>
      </c>
      <c r="N2534" t="s">
        <v>47</v>
      </c>
      <c r="O2534" t="s">
        <v>152</v>
      </c>
      <c r="P2534" t="s">
        <v>152</v>
      </c>
      <c r="Q2534" s="3">
        <v>4</v>
      </c>
      <c r="R2534" t="s">
        <v>59</v>
      </c>
      <c r="S2534" t="s">
        <v>41</v>
      </c>
    </row>
    <row r="2535" spans="1:19" x14ac:dyDescent="0.25">
      <c r="A2535">
        <v>2534</v>
      </c>
      <c r="B2535">
        <v>66</v>
      </c>
      <c r="C2535" t="s">
        <v>19</v>
      </c>
      <c r="D2535" t="s">
        <v>106</v>
      </c>
      <c r="E2535" t="s">
        <v>69</v>
      </c>
      <c r="F2535" s="1">
        <v>46</v>
      </c>
      <c r="G2535" t="s">
        <v>138</v>
      </c>
      <c r="H2535" t="s">
        <v>38</v>
      </c>
      <c r="I2535" t="s">
        <v>144</v>
      </c>
      <c r="J2535" t="s">
        <v>54</v>
      </c>
      <c r="K2535" s="2">
        <v>3.1</v>
      </c>
      <c r="L2535" t="s">
        <v>152</v>
      </c>
      <c r="M2535" t="s">
        <v>29</v>
      </c>
      <c r="N2535" t="s">
        <v>55</v>
      </c>
      <c r="O2535" t="s">
        <v>152</v>
      </c>
      <c r="P2535" t="s">
        <v>152</v>
      </c>
      <c r="Q2535" s="3">
        <v>49</v>
      </c>
      <c r="R2535" t="s">
        <v>35</v>
      </c>
      <c r="S2535" t="s">
        <v>77</v>
      </c>
    </row>
    <row r="2536" spans="1:19" x14ac:dyDescent="0.25">
      <c r="A2536">
        <v>2535</v>
      </c>
      <c r="B2536">
        <v>41</v>
      </c>
      <c r="C2536" t="s">
        <v>19</v>
      </c>
      <c r="D2536" t="s">
        <v>89</v>
      </c>
      <c r="E2536" t="s">
        <v>69</v>
      </c>
      <c r="F2536" s="1">
        <v>42</v>
      </c>
      <c r="G2536" t="s">
        <v>141</v>
      </c>
      <c r="H2536" t="s">
        <v>92</v>
      </c>
      <c r="I2536" t="s">
        <v>108</v>
      </c>
      <c r="J2536" t="s">
        <v>58</v>
      </c>
      <c r="K2536" s="2">
        <v>3.2</v>
      </c>
      <c r="L2536" t="s">
        <v>152</v>
      </c>
      <c r="M2536" t="s">
        <v>46</v>
      </c>
      <c r="N2536" t="s">
        <v>40</v>
      </c>
      <c r="O2536" t="s">
        <v>152</v>
      </c>
      <c r="P2536" t="s">
        <v>152</v>
      </c>
      <c r="Q2536" s="3">
        <v>22</v>
      </c>
      <c r="R2536" t="s">
        <v>35</v>
      </c>
      <c r="S2536" t="s">
        <v>41</v>
      </c>
    </row>
    <row r="2537" spans="1:19" x14ac:dyDescent="0.25">
      <c r="A2537">
        <v>2536</v>
      </c>
      <c r="B2537">
        <v>47</v>
      </c>
      <c r="C2537" t="s">
        <v>19</v>
      </c>
      <c r="D2537" t="s">
        <v>64</v>
      </c>
      <c r="E2537" t="s">
        <v>65</v>
      </c>
      <c r="F2537" s="1">
        <v>80</v>
      </c>
      <c r="G2537" t="s">
        <v>129</v>
      </c>
      <c r="H2537" t="s">
        <v>38</v>
      </c>
      <c r="I2537" t="s">
        <v>75</v>
      </c>
      <c r="J2537" t="s">
        <v>25</v>
      </c>
      <c r="K2537" s="2">
        <v>3.9</v>
      </c>
      <c r="L2537" t="s">
        <v>152</v>
      </c>
      <c r="M2537" t="s">
        <v>34</v>
      </c>
      <c r="N2537" t="s">
        <v>28</v>
      </c>
      <c r="O2537" t="s">
        <v>152</v>
      </c>
      <c r="P2537" t="s">
        <v>152</v>
      </c>
      <c r="Q2537" s="3">
        <v>39</v>
      </c>
      <c r="R2537" t="s">
        <v>34</v>
      </c>
      <c r="S2537" t="s">
        <v>30</v>
      </c>
    </row>
    <row r="2538" spans="1:19" x14ac:dyDescent="0.25">
      <c r="A2538">
        <v>2537</v>
      </c>
      <c r="B2538">
        <v>51</v>
      </c>
      <c r="C2538" t="s">
        <v>19</v>
      </c>
      <c r="D2538" t="s">
        <v>133</v>
      </c>
      <c r="E2538" t="s">
        <v>69</v>
      </c>
      <c r="F2538" s="1">
        <v>39</v>
      </c>
      <c r="G2538" t="s">
        <v>101</v>
      </c>
      <c r="H2538" t="s">
        <v>23</v>
      </c>
      <c r="I2538" t="s">
        <v>24</v>
      </c>
      <c r="J2538" t="s">
        <v>39</v>
      </c>
      <c r="K2538" s="2">
        <v>4.9000000000000004</v>
      </c>
      <c r="L2538" t="s">
        <v>152</v>
      </c>
      <c r="M2538" t="s">
        <v>34</v>
      </c>
      <c r="N2538" t="s">
        <v>28</v>
      </c>
      <c r="O2538" t="s">
        <v>152</v>
      </c>
      <c r="P2538" t="s">
        <v>152</v>
      </c>
      <c r="Q2538" s="3">
        <v>45</v>
      </c>
      <c r="R2538" t="s">
        <v>46</v>
      </c>
      <c r="S2538" t="s">
        <v>97</v>
      </c>
    </row>
    <row r="2539" spans="1:19" x14ac:dyDescent="0.25">
      <c r="A2539">
        <v>2538</v>
      </c>
      <c r="B2539">
        <v>44</v>
      </c>
      <c r="C2539" t="s">
        <v>19</v>
      </c>
      <c r="D2539" t="s">
        <v>64</v>
      </c>
      <c r="E2539" t="s">
        <v>65</v>
      </c>
      <c r="F2539" s="1">
        <v>49</v>
      </c>
      <c r="G2539" t="s">
        <v>32</v>
      </c>
      <c r="H2539" t="s">
        <v>45</v>
      </c>
      <c r="I2539" t="s">
        <v>75</v>
      </c>
      <c r="J2539" t="s">
        <v>54</v>
      </c>
      <c r="K2539" s="2">
        <v>4.0999999999999996</v>
      </c>
      <c r="L2539" t="s">
        <v>152</v>
      </c>
      <c r="M2539" t="s">
        <v>59</v>
      </c>
      <c r="N2539" t="s">
        <v>72</v>
      </c>
      <c r="O2539" t="s">
        <v>152</v>
      </c>
      <c r="P2539" t="s">
        <v>152</v>
      </c>
      <c r="Q2539" s="3">
        <v>30</v>
      </c>
      <c r="R2539" t="s">
        <v>46</v>
      </c>
      <c r="S2539" t="s">
        <v>30</v>
      </c>
    </row>
    <row r="2540" spans="1:19" x14ac:dyDescent="0.25">
      <c r="A2540">
        <v>2539</v>
      </c>
      <c r="B2540">
        <v>18</v>
      </c>
      <c r="C2540" t="s">
        <v>19</v>
      </c>
      <c r="D2540" t="s">
        <v>119</v>
      </c>
      <c r="E2540" t="s">
        <v>69</v>
      </c>
      <c r="F2540" s="1">
        <v>32</v>
      </c>
      <c r="G2540" t="s">
        <v>127</v>
      </c>
      <c r="H2540" t="s">
        <v>45</v>
      </c>
      <c r="I2540" t="s">
        <v>67</v>
      </c>
      <c r="J2540" t="s">
        <v>54</v>
      </c>
      <c r="K2540" s="2">
        <v>4.2</v>
      </c>
      <c r="L2540" t="s">
        <v>152</v>
      </c>
      <c r="M2540" t="s">
        <v>29</v>
      </c>
      <c r="N2540" t="s">
        <v>47</v>
      </c>
      <c r="O2540" t="s">
        <v>152</v>
      </c>
      <c r="P2540" t="s">
        <v>152</v>
      </c>
      <c r="Q2540" s="3">
        <v>33</v>
      </c>
      <c r="R2540" t="s">
        <v>27</v>
      </c>
      <c r="S2540" t="s">
        <v>77</v>
      </c>
    </row>
    <row r="2541" spans="1:19" x14ac:dyDescent="0.25">
      <c r="A2541">
        <v>2540</v>
      </c>
      <c r="B2541">
        <v>33</v>
      </c>
      <c r="C2541" t="s">
        <v>19</v>
      </c>
      <c r="D2541" t="s">
        <v>42</v>
      </c>
      <c r="E2541" t="s">
        <v>43</v>
      </c>
      <c r="F2541" s="1">
        <v>73</v>
      </c>
      <c r="G2541" t="s">
        <v>37</v>
      </c>
      <c r="H2541" t="s">
        <v>45</v>
      </c>
      <c r="I2541" t="s">
        <v>75</v>
      </c>
      <c r="J2541" t="s">
        <v>58</v>
      </c>
      <c r="K2541" s="2">
        <v>4.0999999999999996</v>
      </c>
      <c r="L2541" t="s">
        <v>152</v>
      </c>
      <c r="M2541" t="s">
        <v>46</v>
      </c>
      <c r="N2541" t="s">
        <v>47</v>
      </c>
      <c r="O2541" t="s">
        <v>152</v>
      </c>
      <c r="P2541" t="s">
        <v>152</v>
      </c>
      <c r="Q2541" s="3">
        <v>24</v>
      </c>
      <c r="R2541" t="s">
        <v>35</v>
      </c>
      <c r="S2541" t="s">
        <v>77</v>
      </c>
    </row>
    <row r="2542" spans="1:19" x14ac:dyDescent="0.25">
      <c r="A2542">
        <v>2541</v>
      </c>
      <c r="B2542">
        <v>24</v>
      </c>
      <c r="C2542" t="s">
        <v>19</v>
      </c>
      <c r="D2542" t="s">
        <v>133</v>
      </c>
      <c r="E2542" t="s">
        <v>69</v>
      </c>
      <c r="F2542" s="1">
        <v>42</v>
      </c>
      <c r="G2542" t="s">
        <v>127</v>
      </c>
      <c r="H2542" t="s">
        <v>45</v>
      </c>
      <c r="I2542" t="s">
        <v>63</v>
      </c>
      <c r="J2542" t="s">
        <v>54</v>
      </c>
      <c r="K2542" s="2">
        <v>3.9</v>
      </c>
      <c r="L2542" t="s">
        <v>152</v>
      </c>
      <c r="M2542" t="s">
        <v>46</v>
      </c>
      <c r="N2542" t="s">
        <v>40</v>
      </c>
      <c r="O2542" t="s">
        <v>152</v>
      </c>
      <c r="P2542" t="s">
        <v>152</v>
      </c>
      <c r="Q2542" s="3">
        <v>11</v>
      </c>
      <c r="R2542" t="s">
        <v>59</v>
      </c>
      <c r="S2542" t="s">
        <v>60</v>
      </c>
    </row>
    <row r="2543" spans="1:19" x14ac:dyDescent="0.25">
      <c r="A2543">
        <v>2542</v>
      </c>
      <c r="B2543">
        <v>33</v>
      </c>
      <c r="C2543" t="s">
        <v>19</v>
      </c>
      <c r="D2543" t="s">
        <v>119</v>
      </c>
      <c r="E2543" t="s">
        <v>69</v>
      </c>
      <c r="F2543" s="1">
        <v>58</v>
      </c>
      <c r="G2543" t="s">
        <v>149</v>
      </c>
      <c r="H2543" t="s">
        <v>45</v>
      </c>
      <c r="I2543" t="s">
        <v>67</v>
      </c>
      <c r="J2543" t="s">
        <v>39</v>
      </c>
      <c r="K2543" s="2">
        <v>2.7</v>
      </c>
      <c r="L2543" t="s">
        <v>152</v>
      </c>
      <c r="M2543" t="s">
        <v>29</v>
      </c>
      <c r="N2543" t="s">
        <v>47</v>
      </c>
      <c r="O2543" t="s">
        <v>152</v>
      </c>
      <c r="P2543" t="s">
        <v>152</v>
      </c>
      <c r="Q2543" s="3">
        <v>13</v>
      </c>
      <c r="R2543" t="s">
        <v>29</v>
      </c>
      <c r="S2543" t="s">
        <v>97</v>
      </c>
    </row>
    <row r="2544" spans="1:19" x14ac:dyDescent="0.25">
      <c r="A2544">
        <v>2543</v>
      </c>
      <c r="B2544">
        <v>61</v>
      </c>
      <c r="C2544" t="s">
        <v>19</v>
      </c>
      <c r="D2544" t="s">
        <v>106</v>
      </c>
      <c r="E2544" t="s">
        <v>69</v>
      </c>
      <c r="F2544" s="1">
        <v>22</v>
      </c>
      <c r="G2544" t="s">
        <v>74</v>
      </c>
      <c r="H2544" t="s">
        <v>45</v>
      </c>
      <c r="I2544" t="s">
        <v>53</v>
      </c>
      <c r="J2544" t="s">
        <v>25</v>
      </c>
      <c r="K2544" s="2">
        <v>3.7</v>
      </c>
      <c r="L2544" t="s">
        <v>152</v>
      </c>
      <c r="M2544" t="s">
        <v>46</v>
      </c>
      <c r="N2544" t="s">
        <v>28</v>
      </c>
      <c r="O2544" t="s">
        <v>152</v>
      </c>
      <c r="P2544" t="s">
        <v>152</v>
      </c>
      <c r="Q2544" s="3">
        <v>27</v>
      </c>
      <c r="R2544" t="s">
        <v>46</v>
      </c>
      <c r="S2544" t="s">
        <v>50</v>
      </c>
    </row>
    <row r="2545" spans="1:19" x14ac:dyDescent="0.25">
      <c r="A2545">
        <v>2544</v>
      </c>
      <c r="B2545">
        <v>27</v>
      </c>
      <c r="C2545" t="s">
        <v>19</v>
      </c>
      <c r="D2545" t="s">
        <v>119</v>
      </c>
      <c r="E2545" t="s">
        <v>69</v>
      </c>
      <c r="F2545" s="1">
        <v>56</v>
      </c>
      <c r="G2545" t="s">
        <v>66</v>
      </c>
      <c r="H2545" t="s">
        <v>23</v>
      </c>
      <c r="I2545" t="s">
        <v>100</v>
      </c>
      <c r="J2545" t="s">
        <v>39</v>
      </c>
      <c r="K2545" s="2">
        <v>2.7</v>
      </c>
      <c r="L2545" t="s">
        <v>152</v>
      </c>
      <c r="M2545" t="s">
        <v>59</v>
      </c>
      <c r="N2545" t="s">
        <v>47</v>
      </c>
      <c r="O2545" t="s">
        <v>152</v>
      </c>
      <c r="P2545" t="s">
        <v>152</v>
      </c>
      <c r="Q2545" s="3">
        <v>30</v>
      </c>
      <c r="R2545" t="s">
        <v>46</v>
      </c>
      <c r="S2545" t="s">
        <v>77</v>
      </c>
    </row>
    <row r="2546" spans="1:19" x14ac:dyDescent="0.25">
      <c r="A2546">
        <v>2545</v>
      </c>
      <c r="B2546">
        <v>46</v>
      </c>
      <c r="C2546" t="s">
        <v>19</v>
      </c>
      <c r="D2546" t="s">
        <v>95</v>
      </c>
      <c r="E2546" t="s">
        <v>21</v>
      </c>
      <c r="F2546" s="1">
        <v>70</v>
      </c>
      <c r="G2546" t="s">
        <v>80</v>
      </c>
      <c r="H2546" t="s">
        <v>45</v>
      </c>
      <c r="I2546" t="s">
        <v>108</v>
      </c>
      <c r="J2546" t="s">
        <v>39</v>
      </c>
      <c r="K2546" s="2">
        <v>2.5</v>
      </c>
      <c r="L2546" t="s">
        <v>152</v>
      </c>
      <c r="M2546" t="s">
        <v>35</v>
      </c>
      <c r="N2546" t="s">
        <v>47</v>
      </c>
      <c r="O2546" t="s">
        <v>152</v>
      </c>
      <c r="P2546" t="s">
        <v>152</v>
      </c>
      <c r="Q2546" s="3">
        <v>39</v>
      </c>
      <c r="R2546" t="s">
        <v>29</v>
      </c>
      <c r="S2546" t="s">
        <v>60</v>
      </c>
    </row>
    <row r="2547" spans="1:19" x14ac:dyDescent="0.25">
      <c r="A2547">
        <v>2546</v>
      </c>
      <c r="B2547">
        <v>38</v>
      </c>
      <c r="C2547" t="s">
        <v>19</v>
      </c>
      <c r="D2547" t="s">
        <v>73</v>
      </c>
      <c r="E2547" t="s">
        <v>43</v>
      </c>
      <c r="F2547" s="1">
        <v>50</v>
      </c>
      <c r="G2547" t="s">
        <v>105</v>
      </c>
      <c r="H2547" t="s">
        <v>23</v>
      </c>
      <c r="I2547" t="s">
        <v>79</v>
      </c>
      <c r="J2547" t="s">
        <v>39</v>
      </c>
      <c r="K2547" s="2">
        <v>3.9</v>
      </c>
      <c r="L2547" t="s">
        <v>152</v>
      </c>
      <c r="M2547" t="s">
        <v>34</v>
      </c>
      <c r="N2547" t="s">
        <v>40</v>
      </c>
      <c r="O2547" t="s">
        <v>152</v>
      </c>
      <c r="P2547" t="s">
        <v>152</v>
      </c>
      <c r="Q2547" s="3">
        <v>10</v>
      </c>
      <c r="R2547" t="s">
        <v>59</v>
      </c>
      <c r="S2547" t="s">
        <v>50</v>
      </c>
    </row>
    <row r="2548" spans="1:19" x14ac:dyDescent="0.25">
      <c r="A2548">
        <v>2547</v>
      </c>
      <c r="B2548">
        <v>63</v>
      </c>
      <c r="C2548" t="s">
        <v>19</v>
      </c>
      <c r="D2548" t="s">
        <v>137</v>
      </c>
      <c r="E2548" t="s">
        <v>43</v>
      </c>
      <c r="F2548" s="1">
        <v>21</v>
      </c>
      <c r="G2548" t="s">
        <v>105</v>
      </c>
      <c r="H2548" t="s">
        <v>23</v>
      </c>
      <c r="I2548" t="s">
        <v>24</v>
      </c>
      <c r="J2548" t="s">
        <v>54</v>
      </c>
      <c r="K2548" s="2">
        <v>3</v>
      </c>
      <c r="L2548" t="s">
        <v>152</v>
      </c>
      <c r="M2548" t="s">
        <v>29</v>
      </c>
      <c r="N2548" t="s">
        <v>28</v>
      </c>
      <c r="O2548" t="s">
        <v>152</v>
      </c>
      <c r="P2548" t="s">
        <v>152</v>
      </c>
      <c r="Q2548" s="3">
        <v>4</v>
      </c>
      <c r="R2548" t="s">
        <v>27</v>
      </c>
      <c r="S2548" t="s">
        <v>60</v>
      </c>
    </row>
    <row r="2549" spans="1:19" x14ac:dyDescent="0.25">
      <c r="A2549">
        <v>2548</v>
      </c>
      <c r="B2549">
        <v>47</v>
      </c>
      <c r="C2549" t="s">
        <v>19</v>
      </c>
      <c r="D2549" t="s">
        <v>102</v>
      </c>
      <c r="E2549" t="s">
        <v>65</v>
      </c>
      <c r="F2549" s="1">
        <v>97</v>
      </c>
      <c r="G2549" t="s">
        <v>91</v>
      </c>
      <c r="H2549" t="s">
        <v>45</v>
      </c>
      <c r="I2549" t="s">
        <v>118</v>
      </c>
      <c r="J2549" t="s">
        <v>54</v>
      </c>
      <c r="K2549" s="2">
        <v>3.2</v>
      </c>
      <c r="L2549" t="s">
        <v>152</v>
      </c>
      <c r="M2549" t="s">
        <v>34</v>
      </c>
      <c r="N2549" t="s">
        <v>72</v>
      </c>
      <c r="O2549" t="s">
        <v>152</v>
      </c>
      <c r="P2549" t="s">
        <v>152</v>
      </c>
      <c r="Q2549" s="3">
        <v>16</v>
      </c>
      <c r="R2549" t="s">
        <v>35</v>
      </c>
      <c r="S2549" t="s">
        <v>41</v>
      </c>
    </row>
    <row r="2550" spans="1:19" x14ac:dyDescent="0.25">
      <c r="A2550">
        <v>2549</v>
      </c>
      <c r="B2550">
        <v>42</v>
      </c>
      <c r="C2550" t="s">
        <v>19</v>
      </c>
      <c r="D2550" t="s">
        <v>132</v>
      </c>
      <c r="E2550" t="s">
        <v>69</v>
      </c>
      <c r="F2550" s="1">
        <v>63</v>
      </c>
      <c r="G2550" t="s">
        <v>105</v>
      </c>
      <c r="H2550" t="s">
        <v>23</v>
      </c>
      <c r="I2550" t="s">
        <v>71</v>
      </c>
      <c r="J2550" t="s">
        <v>25</v>
      </c>
      <c r="K2550" s="2">
        <v>3.8</v>
      </c>
      <c r="L2550" t="s">
        <v>152</v>
      </c>
      <c r="M2550" t="s">
        <v>27</v>
      </c>
      <c r="N2550" t="s">
        <v>55</v>
      </c>
      <c r="O2550" t="s">
        <v>152</v>
      </c>
      <c r="P2550" t="s">
        <v>152</v>
      </c>
      <c r="Q2550" s="3">
        <v>34</v>
      </c>
      <c r="R2550" t="s">
        <v>27</v>
      </c>
      <c r="S2550" t="s">
        <v>88</v>
      </c>
    </row>
    <row r="2551" spans="1:19" x14ac:dyDescent="0.25">
      <c r="A2551">
        <v>2550</v>
      </c>
      <c r="B2551">
        <v>41</v>
      </c>
      <c r="C2551" t="s">
        <v>19</v>
      </c>
      <c r="D2551" t="s">
        <v>102</v>
      </c>
      <c r="E2551" t="s">
        <v>65</v>
      </c>
      <c r="F2551" s="1">
        <v>60</v>
      </c>
      <c r="G2551" t="s">
        <v>141</v>
      </c>
      <c r="H2551" t="s">
        <v>45</v>
      </c>
      <c r="I2551" t="s">
        <v>108</v>
      </c>
      <c r="J2551" t="s">
        <v>58</v>
      </c>
      <c r="K2551" s="2">
        <v>2.7</v>
      </c>
      <c r="L2551" t="s">
        <v>152</v>
      </c>
      <c r="M2551" t="s">
        <v>27</v>
      </c>
      <c r="N2551" t="s">
        <v>55</v>
      </c>
      <c r="O2551" t="s">
        <v>152</v>
      </c>
      <c r="P2551" t="s">
        <v>152</v>
      </c>
      <c r="Q2551" s="3">
        <v>11</v>
      </c>
      <c r="R2551" t="s">
        <v>59</v>
      </c>
      <c r="S2551" t="s">
        <v>97</v>
      </c>
    </row>
    <row r="2552" spans="1:19" x14ac:dyDescent="0.25">
      <c r="A2552">
        <v>2551</v>
      </c>
      <c r="B2552">
        <v>53</v>
      </c>
      <c r="C2552" t="s">
        <v>19</v>
      </c>
      <c r="D2552" t="s">
        <v>137</v>
      </c>
      <c r="E2552" t="s">
        <v>43</v>
      </c>
      <c r="F2552" s="1">
        <v>52</v>
      </c>
      <c r="G2552" t="s">
        <v>83</v>
      </c>
      <c r="H2552" t="s">
        <v>92</v>
      </c>
      <c r="I2552" t="s">
        <v>100</v>
      </c>
      <c r="J2552" t="s">
        <v>58</v>
      </c>
      <c r="K2552" s="2">
        <v>3</v>
      </c>
      <c r="L2552" t="s">
        <v>152</v>
      </c>
      <c r="M2552" t="s">
        <v>27</v>
      </c>
      <c r="N2552" t="s">
        <v>76</v>
      </c>
      <c r="O2552" t="s">
        <v>152</v>
      </c>
      <c r="P2552" t="s">
        <v>152</v>
      </c>
      <c r="Q2552" s="3">
        <v>30</v>
      </c>
      <c r="R2552" t="s">
        <v>59</v>
      </c>
      <c r="S2552" t="s">
        <v>30</v>
      </c>
    </row>
    <row r="2553" spans="1:19" x14ac:dyDescent="0.25">
      <c r="A2553">
        <v>2552</v>
      </c>
      <c r="B2553">
        <v>29</v>
      </c>
      <c r="C2553" t="s">
        <v>19</v>
      </c>
      <c r="D2553" t="s">
        <v>73</v>
      </c>
      <c r="E2553" t="s">
        <v>43</v>
      </c>
      <c r="F2553" s="1">
        <v>32</v>
      </c>
      <c r="G2553" t="s">
        <v>148</v>
      </c>
      <c r="H2553" t="s">
        <v>45</v>
      </c>
      <c r="I2553" t="s">
        <v>33</v>
      </c>
      <c r="J2553" t="s">
        <v>25</v>
      </c>
      <c r="K2553" s="2">
        <v>4.0999999999999996</v>
      </c>
      <c r="L2553" t="s">
        <v>152</v>
      </c>
      <c r="M2553" t="s">
        <v>35</v>
      </c>
      <c r="N2553" t="s">
        <v>47</v>
      </c>
      <c r="O2553" t="s">
        <v>152</v>
      </c>
      <c r="P2553" t="s">
        <v>152</v>
      </c>
      <c r="Q2553" s="3">
        <v>40</v>
      </c>
      <c r="R2553" t="s">
        <v>59</v>
      </c>
      <c r="S2553" t="s">
        <v>50</v>
      </c>
    </row>
    <row r="2554" spans="1:19" x14ac:dyDescent="0.25">
      <c r="A2554">
        <v>2553</v>
      </c>
      <c r="B2554">
        <v>61</v>
      </c>
      <c r="C2554" t="s">
        <v>19</v>
      </c>
      <c r="D2554" t="s">
        <v>133</v>
      </c>
      <c r="E2554" t="s">
        <v>69</v>
      </c>
      <c r="F2554" s="1">
        <v>48</v>
      </c>
      <c r="G2554" t="s">
        <v>128</v>
      </c>
      <c r="H2554" t="s">
        <v>92</v>
      </c>
      <c r="I2554" t="s">
        <v>75</v>
      </c>
      <c r="J2554" t="s">
        <v>39</v>
      </c>
      <c r="K2554" s="2">
        <v>3.2</v>
      </c>
      <c r="L2554" t="s">
        <v>152</v>
      </c>
      <c r="M2554" t="s">
        <v>35</v>
      </c>
      <c r="N2554" t="s">
        <v>72</v>
      </c>
      <c r="O2554" t="s">
        <v>152</v>
      </c>
      <c r="P2554" t="s">
        <v>152</v>
      </c>
      <c r="Q2554" s="3">
        <v>13</v>
      </c>
      <c r="R2554" t="s">
        <v>27</v>
      </c>
      <c r="S2554" t="s">
        <v>50</v>
      </c>
    </row>
    <row r="2555" spans="1:19" x14ac:dyDescent="0.25">
      <c r="A2555">
        <v>2554</v>
      </c>
      <c r="B2555">
        <v>69</v>
      </c>
      <c r="C2555" t="s">
        <v>19</v>
      </c>
      <c r="D2555" t="s">
        <v>106</v>
      </c>
      <c r="E2555" t="s">
        <v>69</v>
      </c>
      <c r="F2555" s="1">
        <v>25</v>
      </c>
      <c r="G2555" t="s">
        <v>129</v>
      </c>
      <c r="H2555" t="s">
        <v>45</v>
      </c>
      <c r="I2555" t="s">
        <v>33</v>
      </c>
      <c r="J2555" t="s">
        <v>54</v>
      </c>
      <c r="K2555" s="2">
        <v>4.5</v>
      </c>
      <c r="L2555" t="s">
        <v>152</v>
      </c>
      <c r="M2555" t="s">
        <v>35</v>
      </c>
      <c r="N2555" t="s">
        <v>76</v>
      </c>
      <c r="O2555" t="s">
        <v>152</v>
      </c>
      <c r="P2555" t="s">
        <v>152</v>
      </c>
      <c r="Q2555" s="3">
        <v>28</v>
      </c>
      <c r="R2555" t="s">
        <v>29</v>
      </c>
      <c r="S2555" t="s">
        <v>97</v>
      </c>
    </row>
    <row r="2556" spans="1:19" x14ac:dyDescent="0.25">
      <c r="A2556">
        <v>2555</v>
      </c>
      <c r="B2556">
        <v>51</v>
      </c>
      <c r="C2556" t="s">
        <v>19</v>
      </c>
      <c r="D2556" t="s">
        <v>106</v>
      </c>
      <c r="E2556" t="s">
        <v>69</v>
      </c>
      <c r="F2556" s="1">
        <v>68</v>
      </c>
      <c r="G2556" t="s">
        <v>111</v>
      </c>
      <c r="H2556" t="s">
        <v>45</v>
      </c>
      <c r="I2556" t="s">
        <v>24</v>
      </c>
      <c r="J2556" t="s">
        <v>54</v>
      </c>
      <c r="K2556" s="2">
        <v>4.3</v>
      </c>
      <c r="L2556" t="s">
        <v>152</v>
      </c>
      <c r="M2556" t="s">
        <v>34</v>
      </c>
      <c r="N2556" t="s">
        <v>76</v>
      </c>
      <c r="O2556" t="s">
        <v>152</v>
      </c>
      <c r="P2556" t="s">
        <v>152</v>
      </c>
      <c r="Q2556" s="3">
        <v>49</v>
      </c>
      <c r="R2556" t="s">
        <v>59</v>
      </c>
      <c r="S2556" t="s">
        <v>77</v>
      </c>
    </row>
    <row r="2557" spans="1:19" x14ac:dyDescent="0.25">
      <c r="A2557">
        <v>2556</v>
      </c>
      <c r="B2557">
        <v>24</v>
      </c>
      <c r="C2557" t="s">
        <v>19</v>
      </c>
      <c r="D2557" t="s">
        <v>95</v>
      </c>
      <c r="E2557" t="s">
        <v>21</v>
      </c>
      <c r="F2557" s="1">
        <v>74</v>
      </c>
      <c r="G2557" t="s">
        <v>135</v>
      </c>
      <c r="H2557" t="s">
        <v>45</v>
      </c>
      <c r="I2557" t="s">
        <v>24</v>
      </c>
      <c r="J2557" t="s">
        <v>58</v>
      </c>
      <c r="K2557" s="2">
        <v>3.5</v>
      </c>
      <c r="L2557" t="s">
        <v>152</v>
      </c>
      <c r="M2557" t="s">
        <v>46</v>
      </c>
      <c r="N2557" t="s">
        <v>55</v>
      </c>
      <c r="O2557" t="s">
        <v>152</v>
      </c>
      <c r="P2557" t="s">
        <v>152</v>
      </c>
      <c r="Q2557" s="3">
        <v>23</v>
      </c>
      <c r="R2557" t="s">
        <v>27</v>
      </c>
      <c r="S2557" t="s">
        <v>41</v>
      </c>
    </row>
    <row r="2558" spans="1:19" x14ac:dyDescent="0.25">
      <c r="A2558">
        <v>2557</v>
      </c>
      <c r="B2558">
        <v>24</v>
      </c>
      <c r="C2558" t="s">
        <v>19</v>
      </c>
      <c r="D2558" t="s">
        <v>113</v>
      </c>
      <c r="E2558" t="s">
        <v>21</v>
      </c>
      <c r="F2558" s="1">
        <v>88</v>
      </c>
      <c r="G2558" t="s">
        <v>57</v>
      </c>
      <c r="H2558" t="s">
        <v>92</v>
      </c>
      <c r="I2558" t="s">
        <v>136</v>
      </c>
      <c r="J2558" t="s">
        <v>58</v>
      </c>
      <c r="K2558" s="2">
        <v>3.1</v>
      </c>
      <c r="L2558" t="s">
        <v>152</v>
      </c>
      <c r="M2558" t="s">
        <v>46</v>
      </c>
      <c r="N2558" t="s">
        <v>55</v>
      </c>
      <c r="O2558" t="s">
        <v>152</v>
      </c>
      <c r="P2558" t="s">
        <v>152</v>
      </c>
      <c r="Q2558" s="3">
        <v>4</v>
      </c>
      <c r="R2558" t="s">
        <v>34</v>
      </c>
      <c r="S2558" t="s">
        <v>60</v>
      </c>
    </row>
    <row r="2559" spans="1:19" x14ac:dyDescent="0.25">
      <c r="A2559">
        <v>2558</v>
      </c>
      <c r="B2559">
        <v>70</v>
      </c>
      <c r="C2559" t="s">
        <v>19</v>
      </c>
      <c r="D2559" t="s">
        <v>61</v>
      </c>
      <c r="E2559" t="s">
        <v>21</v>
      </c>
      <c r="F2559" s="1">
        <v>23</v>
      </c>
      <c r="G2559" t="s">
        <v>101</v>
      </c>
      <c r="H2559" t="s">
        <v>23</v>
      </c>
      <c r="I2559" t="s">
        <v>109</v>
      </c>
      <c r="J2559" t="s">
        <v>39</v>
      </c>
      <c r="K2559" s="2">
        <v>3.9</v>
      </c>
      <c r="L2559" t="s">
        <v>152</v>
      </c>
      <c r="M2559" t="s">
        <v>29</v>
      </c>
      <c r="N2559" t="s">
        <v>55</v>
      </c>
      <c r="O2559" t="s">
        <v>152</v>
      </c>
      <c r="P2559" t="s">
        <v>152</v>
      </c>
      <c r="Q2559" s="3">
        <v>17</v>
      </c>
      <c r="R2559" t="s">
        <v>46</v>
      </c>
      <c r="S2559" t="s">
        <v>30</v>
      </c>
    </row>
    <row r="2560" spans="1:19" x14ac:dyDescent="0.25">
      <c r="A2560">
        <v>2559</v>
      </c>
      <c r="B2560">
        <v>49</v>
      </c>
      <c r="C2560" t="s">
        <v>19</v>
      </c>
      <c r="D2560" t="s">
        <v>104</v>
      </c>
      <c r="E2560" t="s">
        <v>21</v>
      </c>
      <c r="F2560" s="1">
        <v>32</v>
      </c>
      <c r="G2560" t="s">
        <v>99</v>
      </c>
      <c r="H2560" t="s">
        <v>45</v>
      </c>
      <c r="I2560" t="s">
        <v>67</v>
      </c>
      <c r="J2560" t="s">
        <v>58</v>
      </c>
      <c r="K2560" s="2">
        <v>2.7</v>
      </c>
      <c r="L2560" t="s">
        <v>152</v>
      </c>
      <c r="M2560" t="s">
        <v>35</v>
      </c>
      <c r="N2560" t="s">
        <v>28</v>
      </c>
      <c r="O2560" t="s">
        <v>152</v>
      </c>
      <c r="P2560" t="s">
        <v>152</v>
      </c>
      <c r="Q2560" s="3">
        <v>24</v>
      </c>
      <c r="R2560" t="s">
        <v>46</v>
      </c>
      <c r="S2560" t="s">
        <v>30</v>
      </c>
    </row>
    <row r="2561" spans="1:19" x14ac:dyDescent="0.25">
      <c r="A2561">
        <v>2560</v>
      </c>
      <c r="B2561">
        <v>48</v>
      </c>
      <c r="C2561" t="s">
        <v>19</v>
      </c>
      <c r="D2561" t="s">
        <v>133</v>
      </c>
      <c r="E2561" t="s">
        <v>69</v>
      </c>
      <c r="F2561" s="1">
        <v>71</v>
      </c>
      <c r="G2561" t="s">
        <v>91</v>
      </c>
      <c r="H2561" t="s">
        <v>38</v>
      </c>
      <c r="I2561" t="s">
        <v>96</v>
      </c>
      <c r="J2561" t="s">
        <v>25</v>
      </c>
      <c r="K2561" s="2">
        <v>4</v>
      </c>
      <c r="L2561" t="s">
        <v>152</v>
      </c>
      <c r="M2561" t="s">
        <v>29</v>
      </c>
      <c r="N2561" t="s">
        <v>40</v>
      </c>
      <c r="O2561" t="s">
        <v>152</v>
      </c>
      <c r="P2561" t="s">
        <v>152</v>
      </c>
      <c r="Q2561" s="3">
        <v>21</v>
      </c>
      <c r="R2561" t="s">
        <v>59</v>
      </c>
      <c r="S2561" t="s">
        <v>97</v>
      </c>
    </row>
    <row r="2562" spans="1:19" x14ac:dyDescent="0.25">
      <c r="A2562">
        <v>2561</v>
      </c>
      <c r="B2562">
        <v>58</v>
      </c>
      <c r="C2562" t="s">
        <v>19</v>
      </c>
      <c r="D2562" t="s">
        <v>137</v>
      </c>
      <c r="E2562" t="s">
        <v>43</v>
      </c>
      <c r="F2562" s="1">
        <v>62</v>
      </c>
      <c r="G2562" t="s">
        <v>99</v>
      </c>
      <c r="H2562" t="s">
        <v>45</v>
      </c>
      <c r="I2562" t="s">
        <v>84</v>
      </c>
      <c r="J2562" t="s">
        <v>39</v>
      </c>
      <c r="K2562" s="2">
        <v>2.7</v>
      </c>
      <c r="L2562" t="s">
        <v>152</v>
      </c>
      <c r="M2562" t="s">
        <v>59</v>
      </c>
      <c r="N2562" t="s">
        <v>47</v>
      </c>
      <c r="O2562" t="s">
        <v>152</v>
      </c>
      <c r="P2562" t="s">
        <v>152</v>
      </c>
      <c r="Q2562" s="3">
        <v>17</v>
      </c>
      <c r="R2562" t="s">
        <v>59</v>
      </c>
      <c r="S2562" t="s">
        <v>77</v>
      </c>
    </row>
    <row r="2563" spans="1:19" x14ac:dyDescent="0.25">
      <c r="A2563">
        <v>2562</v>
      </c>
      <c r="B2563">
        <v>32</v>
      </c>
      <c r="C2563" t="s">
        <v>19</v>
      </c>
      <c r="D2563" t="s">
        <v>104</v>
      </c>
      <c r="E2563" t="s">
        <v>21</v>
      </c>
      <c r="F2563" s="1">
        <v>20</v>
      </c>
      <c r="G2563" t="s">
        <v>85</v>
      </c>
      <c r="H2563" t="s">
        <v>23</v>
      </c>
      <c r="I2563" t="s">
        <v>136</v>
      </c>
      <c r="J2563" t="s">
        <v>39</v>
      </c>
      <c r="K2563" s="2">
        <v>2.7</v>
      </c>
      <c r="L2563" t="s">
        <v>152</v>
      </c>
      <c r="M2563" t="s">
        <v>27</v>
      </c>
      <c r="N2563" t="s">
        <v>40</v>
      </c>
      <c r="O2563" t="s">
        <v>152</v>
      </c>
      <c r="P2563" t="s">
        <v>152</v>
      </c>
      <c r="Q2563" s="3">
        <v>22</v>
      </c>
      <c r="R2563" t="s">
        <v>59</v>
      </c>
      <c r="S2563" t="s">
        <v>60</v>
      </c>
    </row>
    <row r="2564" spans="1:19" x14ac:dyDescent="0.25">
      <c r="A2564">
        <v>2563</v>
      </c>
      <c r="B2564">
        <v>57</v>
      </c>
      <c r="C2564" t="s">
        <v>19</v>
      </c>
      <c r="D2564" t="s">
        <v>61</v>
      </c>
      <c r="E2564" t="s">
        <v>21</v>
      </c>
      <c r="F2564" s="1">
        <v>62</v>
      </c>
      <c r="G2564" t="s">
        <v>117</v>
      </c>
      <c r="H2564" t="s">
        <v>92</v>
      </c>
      <c r="I2564" t="s">
        <v>134</v>
      </c>
      <c r="J2564" t="s">
        <v>39</v>
      </c>
      <c r="K2564" s="2">
        <v>4.7</v>
      </c>
      <c r="L2564" t="s">
        <v>152</v>
      </c>
      <c r="M2564" t="s">
        <v>59</v>
      </c>
      <c r="N2564" t="s">
        <v>55</v>
      </c>
      <c r="O2564" t="s">
        <v>152</v>
      </c>
      <c r="P2564" t="s">
        <v>152</v>
      </c>
      <c r="Q2564" s="3">
        <v>27</v>
      </c>
      <c r="R2564" t="s">
        <v>35</v>
      </c>
      <c r="S2564" t="s">
        <v>30</v>
      </c>
    </row>
    <row r="2565" spans="1:19" x14ac:dyDescent="0.25">
      <c r="A2565">
        <v>2564</v>
      </c>
      <c r="B2565">
        <v>69</v>
      </c>
      <c r="C2565" t="s">
        <v>19</v>
      </c>
      <c r="D2565" t="s">
        <v>132</v>
      </c>
      <c r="E2565" t="s">
        <v>69</v>
      </c>
      <c r="F2565" s="1">
        <v>81</v>
      </c>
      <c r="G2565" t="s">
        <v>37</v>
      </c>
      <c r="H2565" t="s">
        <v>92</v>
      </c>
      <c r="I2565" t="s">
        <v>24</v>
      </c>
      <c r="J2565" t="s">
        <v>25</v>
      </c>
      <c r="K2565" s="2">
        <v>4.5</v>
      </c>
      <c r="L2565" t="s">
        <v>152</v>
      </c>
      <c r="M2565" t="s">
        <v>46</v>
      </c>
      <c r="N2565" t="s">
        <v>55</v>
      </c>
      <c r="O2565" t="s">
        <v>152</v>
      </c>
      <c r="P2565" t="s">
        <v>152</v>
      </c>
      <c r="Q2565" s="3">
        <v>1</v>
      </c>
      <c r="R2565" t="s">
        <v>29</v>
      </c>
      <c r="S2565" t="s">
        <v>97</v>
      </c>
    </row>
    <row r="2566" spans="1:19" x14ac:dyDescent="0.25">
      <c r="A2566">
        <v>2565</v>
      </c>
      <c r="B2566">
        <v>42</v>
      </c>
      <c r="C2566" t="s">
        <v>19</v>
      </c>
      <c r="D2566" t="s">
        <v>119</v>
      </c>
      <c r="E2566" t="s">
        <v>69</v>
      </c>
      <c r="F2566" s="1">
        <v>90</v>
      </c>
      <c r="G2566" t="s">
        <v>22</v>
      </c>
      <c r="H2566" t="s">
        <v>23</v>
      </c>
      <c r="I2566" t="s">
        <v>126</v>
      </c>
      <c r="J2566" t="s">
        <v>25</v>
      </c>
      <c r="K2566" s="2">
        <v>3</v>
      </c>
      <c r="L2566" t="s">
        <v>152</v>
      </c>
      <c r="M2566" t="s">
        <v>59</v>
      </c>
      <c r="N2566" t="s">
        <v>72</v>
      </c>
      <c r="O2566" t="s">
        <v>152</v>
      </c>
      <c r="P2566" t="s">
        <v>152</v>
      </c>
      <c r="Q2566" s="3">
        <v>27</v>
      </c>
      <c r="R2566" t="s">
        <v>34</v>
      </c>
      <c r="S2566" t="s">
        <v>41</v>
      </c>
    </row>
    <row r="2567" spans="1:19" x14ac:dyDescent="0.25">
      <c r="A2567">
        <v>2566</v>
      </c>
      <c r="B2567">
        <v>30</v>
      </c>
      <c r="C2567" t="s">
        <v>19</v>
      </c>
      <c r="D2567" t="s">
        <v>125</v>
      </c>
      <c r="E2567" t="s">
        <v>21</v>
      </c>
      <c r="F2567" s="1">
        <v>43</v>
      </c>
      <c r="G2567" t="s">
        <v>129</v>
      </c>
      <c r="H2567" t="s">
        <v>38</v>
      </c>
      <c r="I2567" t="s">
        <v>126</v>
      </c>
      <c r="J2567" t="s">
        <v>58</v>
      </c>
      <c r="K2567" s="2">
        <v>3.6</v>
      </c>
      <c r="L2567" t="s">
        <v>152</v>
      </c>
      <c r="M2567" t="s">
        <v>59</v>
      </c>
      <c r="N2567" t="s">
        <v>76</v>
      </c>
      <c r="O2567" t="s">
        <v>152</v>
      </c>
      <c r="P2567" t="s">
        <v>152</v>
      </c>
      <c r="Q2567" s="3">
        <v>8</v>
      </c>
      <c r="R2567" t="s">
        <v>29</v>
      </c>
      <c r="S2567" t="s">
        <v>60</v>
      </c>
    </row>
    <row r="2568" spans="1:19" x14ac:dyDescent="0.25">
      <c r="A2568">
        <v>2567</v>
      </c>
      <c r="B2568">
        <v>35</v>
      </c>
      <c r="C2568" t="s">
        <v>19</v>
      </c>
      <c r="D2568" t="s">
        <v>68</v>
      </c>
      <c r="E2568" t="s">
        <v>69</v>
      </c>
      <c r="F2568" s="1">
        <v>38</v>
      </c>
      <c r="G2568" t="s">
        <v>70</v>
      </c>
      <c r="H2568" t="s">
        <v>38</v>
      </c>
      <c r="I2568" t="s">
        <v>134</v>
      </c>
      <c r="J2568" t="s">
        <v>58</v>
      </c>
      <c r="K2568" s="2">
        <v>3.3</v>
      </c>
      <c r="L2568" t="s">
        <v>152</v>
      </c>
      <c r="M2568" t="s">
        <v>27</v>
      </c>
      <c r="N2568" t="s">
        <v>55</v>
      </c>
      <c r="O2568" t="s">
        <v>152</v>
      </c>
      <c r="P2568" t="s">
        <v>152</v>
      </c>
      <c r="Q2568" s="3">
        <v>43</v>
      </c>
      <c r="R2568" t="s">
        <v>46</v>
      </c>
      <c r="S2568" t="s">
        <v>60</v>
      </c>
    </row>
    <row r="2569" spans="1:19" x14ac:dyDescent="0.25">
      <c r="A2569">
        <v>2568</v>
      </c>
      <c r="B2569">
        <v>19</v>
      </c>
      <c r="C2569" t="s">
        <v>19</v>
      </c>
      <c r="D2569" t="s">
        <v>89</v>
      </c>
      <c r="E2569" t="s">
        <v>69</v>
      </c>
      <c r="F2569" s="1">
        <v>25</v>
      </c>
      <c r="G2569" t="s">
        <v>151</v>
      </c>
      <c r="H2569" t="s">
        <v>92</v>
      </c>
      <c r="I2569" t="s">
        <v>81</v>
      </c>
      <c r="J2569" t="s">
        <v>39</v>
      </c>
      <c r="K2569" s="2">
        <v>4.3</v>
      </c>
      <c r="L2569" t="s">
        <v>152</v>
      </c>
      <c r="M2569" t="s">
        <v>29</v>
      </c>
      <c r="N2569" t="s">
        <v>76</v>
      </c>
      <c r="O2569" t="s">
        <v>152</v>
      </c>
      <c r="P2569" t="s">
        <v>152</v>
      </c>
      <c r="Q2569" s="3">
        <v>24</v>
      </c>
      <c r="R2569" t="s">
        <v>35</v>
      </c>
      <c r="S2569" t="s">
        <v>30</v>
      </c>
    </row>
    <row r="2570" spans="1:19" x14ac:dyDescent="0.25">
      <c r="A2570">
        <v>2569</v>
      </c>
      <c r="B2570">
        <v>52</v>
      </c>
      <c r="C2570" t="s">
        <v>19</v>
      </c>
      <c r="D2570" t="s">
        <v>113</v>
      </c>
      <c r="E2570" t="s">
        <v>21</v>
      </c>
      <c r="F2570" s="1">
        <v>98</v>
      </c>
      <c r="G2570" t="s">
        <v>105</v>
      </c>
      <c r="H2570" t="s">
        <v>92</v>
      </c>
      <c r="I2570" t="s">
        <v>96</v>
      </c>
      <c r="J2570" t="s">
        <v>25</v>
      </c>
      <c r="K2570" s="2">
        <v>4.3</v>
      </c>
      <c r="L2570" t="s">
        <v>152</v>
      </c>
      <c r="M2570" t="s">
        <v>35</v>
      </c>
      <c r="N2570" t="s">
        <v>28</v>
      </c>
      <c r="O2570" t="s">
        <v>152</v>
      </c>
      <c r="P2570" t="s">
        <v>152</v>
      </c>
      <c r="Q2570" s="3">
        <v>29</v>
      </c>
      <c r="R2570" t="s">
        <v>46</v>
      </c>
      <c r="S2570" t="s">
        <v>30</v>
      </c>
    </row>
    <row r="2571" spans="1:19" x14ac:dyDescent="0.25">
      <c r="A2571">
        <v>2570</v>
      </c>
      <c r="B2571">
        <v>42</v>
      </c>
      <c r="C2571" t="s">
        <v>19</v>
      </c>
      <c r="D2571" t="s">
        <v>82</v>
      </c>
      <c r="E2571" t="s">
        <v>21</v>
      </c>
      <c r="F2571" s="1">
        <v>75</v>
      </c>
      <c r="G2571" t="s">
        <v>85</v>
      </c>
      <c r="H2571" t="s">
        <v>45</v>
      </c>
      <c r="I2571" t="s">
        <v>63</v>
      </c>
      <c r="J2571" t="s">
        <v>39</v>
      </c>
      <c r="K2571" s="2">
        <v>4.8</v>
      </c>
      <c r="L2571" t="s">
        <v>152</v>
      </c>
      <c r="M2571" t="s">
        <v>59</v>
      </c>
      <c r="N2571" t="s">
        <v>40</v>
      </c>
      <c r="O2571" t="s">
        <v>152</v>
      </c>
      <c r="P2571" t="s">
        <v>152</v>
      </c>
      <c r="Q2571" s="3">
        <v>10</v>
      </c>
      <c r="R2571" t="s">
        <v>34</v>
      </c>
      <c r="S2571" t="s">
        <v>77</v>
      </c>
    </row>
    <row r="2572" spans="1:19" x14ac:dyDescent="0.25">
      <c r="A2572">
        <v>2571</v>
      </c>
      <c r="B2572">
        <v>36</v>
      </c>
      <c r="C2572" t="s">
        <v>19</v>
      </c>
      <c r="D2572" t="s">
        <v>51</v>
      </c>
      <c r="E2572" t="s">
        <v>43</v>
      </c>
      <c r="F2572" s="1">
        <v>27</v>
      </c>
      <c r="G2572" t="s">
        <v>130</v>
      </c>
      <c r="H2572" t="s">
        <v>92</v>
      </c>
      <c r="I2572" t="s">
        <v>79</v>
      </c>
      <c r="J2572" t="s">
        <v>39</v>
      </c>
      <c r="K2572" s="2">
        <v>4</v>
      </c>
      <c r="L2572" t="s">
        <v>152</v>
      </c>
      <c r="M2572" t="s">
        <v>34</v>
      </c>
      <c r="N2572" t="s">
        <v>76</v>
      </c>
      <c r="O2572" t="s">
        <v>152</v>
      </c>
      <c r="P2572" t="s">
        <v>152</v>
      </c>
      <c r="Q2572" s="3">
        <v>12</v>
      </c>
      <c r="R2572" t="s">
        <v>46</v>
      </c>
      <c r="S2572" t="s">
        <v>30</v>
      </c>
    </row>
    <row r="2573" spans="1:19" x14ac:dyDescent="0.25">
      <c r="A2573">
        <v>2572</v>
      </c>
      <c r="B2573">
        <v>45</v>
      </c>
      <c r="C2573" t="s">
        <v>19</v>
      </c>
      <c r="D2573" t="s">
        <v>89</v>
      </c>
      <c r="E2573" t="s">
        <v>69</v>
      </c>
      <c r="F2573" s="1">
        <v>27</v>
      </c>
      <c r="G2573" t="s">
        <v>91</v>
      </c>
      <c r="H2573" t="s">
        <v>23</v>
      </c>
      <c r="I2573" t="s">
        <v>94</v>
      </c>
      <c r="J2573" t="s">
        <v>25</v>
      </c>
      <c r="K2573" s="2">
        <v>3.5</v>
      </c>
      <c r="L2573" t="s">
        <v>152</v>
      </c>
      <c r="M2573" t="s">
        <v>27</v>
      </c>
      <c r="N2573" t="s">
        <v>55</v>
      </c>
      <c r="O2573" t="s">
        <v>152</v>
      </c>
      <c r="P2573" t="s">
        <v>152</v>
      </c>
      <c r="Q2573" s="3">
        <v>48</v>
      </c>
      <c r="R2573" t="s">
        <v>35</v>
      </c>
      <c r="S2573" t="s">
        <v>30</v>
      </c>
    </row>
    <row r="2574" spans="1:19" x14ac:dyDescent="0.25">
      <c r="A2574">
        <v>2573</v>
      </c>
      <c r="B2574">
        <v>54</v>
      </c>
      <c r="C2574" t="s">
        <v>19</v>
      </c>
      <c r="D2574" t="s">
        <v>20</v>
      </c>
      <c r="E2574" t="s">
        <v>21</v>
      </c>
      <c r="F2574" s="1">
        <v>42</v>
      </c>
      <c r="G2574" t="s">
        <v>149</v>
      </c>
      <c r="H2574" t="s">
        <v>45</v>
      </c>
      <c r="I2574" t="s">
        <v>67</v>
      </c>
      <c r="J2574" t="s">
        <v>58</v>
      </c>
      <c r="K2574" s="2">
        <v>3.9</v>
      </c>
      <c r="L2574" t="s">
        <v>152</v>
      </c>
      <c r="M2574" t="s">
        <v>59</v>
      </c>
      <c r="N2574" t="s">
        <v>47</v>
      </c>
      <c r="O2574" t="s">
        <v>152</v>
      </c>
      <c r="P2574" t="s">
        <v>152</v>
      </c>
      <c r="Q2574" s="3">
        <v>40</v>
      </c>
      <c r="R2574" t="s">
        <v>34</v>
      </c>
      <c r="S2574" t="s">
        <v>60</v>
      </c>
    </row>
    <row r="2575" spans="1:19" x14ac:dyDescent="0.25">
      <c r="A2575">
        <v>2574</v>
      </c>
      <c r="B2575">
        <v>54</v>
      </c>
      <c r="C2575" t="s">
        <v>19</v>
      </c>
      <c r="D2575" t="s">
        <v>113</v>
      </c>
      <c r="E2575" t="s">
        <v>21</v>
      </c>
      <c r="F2575" s="1">
        <v>90</v>
      </c>
      <c r="G2575" t="s">
        <v>130</v>
      </c>
      <c r="H2575" t="s">
        <v>45</v>
      </c>
      <c r="I2575" t="s">
        <v>108</v>
      </c>
      <c r="J2575" t="s">
        <v>54</v>
      </c>
      <c r="K2575" s="2">
        <v>4.4000000000000004</v>
      </c>
      <c r="L2575" t="s">
        <v>152</v>
      </c>
      <c r="M2575" t="s">
        <v>34</v>
      </c>
      <c r="N2575" t="s">
        <v>76</v>
      </c>
      <c r="O2575" t="s">
        <v>152</v>
      </c>
      <c r="P2575" t="s">
        <v>152</v>
      </c>
      <c r="Q2575" s="3">
        <v>1</v>
      </c>
      <c r="R2575" t="s">
        <v>34</v>
      </c>
      <c r="S2575" t="s">
        <v>50</v>
      </c>
    </row>
    <row r="2576" spans="1:19" x14ac:dyDescent="0.25">
      <c r="A2576">
        <v>2575</v>
      </c>
      <c r="B2576">
        <v>27</v>
      </c>
      <c r="C2576" t="s">
        <v>19</v>
      </c>
      <c r="D2576" t="s">
        <v>124</v>
      </c>
      <c r="E2576" t="s">
        <v>69</v>
      </c>
      <c r="F2576" s="1">
        <v>63</v>
      </c>
      <c r="G2576" t="s">
        <v>103</v>
      </c>
      <c r="H2576" t="s">
        <v>45</v>
      </c>
      <c r="I2576" t="s">
        <v>110</v>
      </c>
      <c r="J2576" t="s">
        <v>54</v>
      </c>
      <c r="K2576" s="2">
        <v>4.5999999999999996</v>
      </c>
      <c r="L2576" t="s">
        <v>152</v>
      </c>
      <c r="M2576" t="s">
        <v>27</v>
      </c>
      <c r="N2576" t="s">
        <v>72</v>
      </c>
      <c r="O2576" t="s">
        <v>152</v>
      </c>
      <c r="P2576" t="s">
        <v>152</v>
      </c>
      <c r="Q2576" s="3">
        <v>26</v>
      </c>
      <c r="R2576" t="s">
        <v>27</v>
      </c>
      <c r="S2576" t="s">
        <v>30</v>
      </c>
    </row>
    <row r="2577" spans="1:19" x14ac:dyDescent="0.25">
      <c r="A2577">
        <v>2576</v>
      </c>
      <c r="B2577">
        <v>53</v>
      </c>
      <c r="C2577" t="s">
        <v>19</v>
      </c>
      <c r="D2577" t="s">
        <v>61</v>
      </c>
      <c r="E2577" t="s">
        <v>21</v>
      </c>
      <c r="F2577" s="1">
        <v>96</v>
      </c>
      <c r="G2577" t="s">
        <v>148</v>
      </c>
      <c r="H2577" t="s">
        <v>45</v>
      </c>
      <c r="I2577" t="s">
        <v>67</v>
      </c>
      <c r="J2577" t="s">
        <v>58</v>
      </c>
      <c r="K2577" s="2">
        <v>4</v>
      </c>
      <c r="L2577" t="s">
        <v>152</v>
      </c>
      <c r="M2577" t="s">
        <v>35</v>
      </c>
      <c r="N2577" t="s">
        <v>28</v>
      </c>
      <c r="O2577" t="s">
        <v>152</v>
      </c>
      <c r="P2577" t="s">
        <v>152</v>
      </c>
      <c r="Q2577" s="3">
        <v>9</v>
      </c>
      <c r="R2577" t="s">
        <v>46</v>
      </c>
      <c r="S2577" t="s">
        <v>50</v>
      </c>
    </row>
    <row r="2578" spans="1:19" x14ac:dyDescent="0.25">
      <c r="A2578">
        <v>2577</v>
      </c>
      <c r="B2578">
        <v>20</v>
      </c>
      <c r="C2578" t="s">
        <v>19</v>
      </c>
      <c r="D2578" t="s">
        <v>104</v>
      </c>
      <c r="E2578" t="s">
        <v>21</v>
      </c>
      <c r="F2578" s="1">
        <v>40</v>
      </c>
      <c r="G2578" t="s">
        <v>83</v>
      </c>
      <c r="H2578" t="s">
        <v>45</v>
      </c>
      <c r="I2578" t="s">
        <v>67</v>
      </c>
      <c r="J2578" t="s">
        <v>25</v>
      </c>
      <c r="K2578" s="2">
        <v>4.2</v>
      </c>
      <c r="L2578" t="s">
        <v>152</v>
      </c>
      <c r="M2578" t="s">
        <v>46</v>
      </c>
      <c r="N2578" t="s">
        <v>40</v>
      </c>
      <c r="O2578" t="s">
        <v>152</v>
      </c>
      <c r="P2578" t="s">
        <v>152</v>
      </c>
      <c r="Q2578" s="3">
        <v>19</v>
      </c>
      <c r="R2578" t="s">
        <v>59</v>
      </c>
      <c r="S2578" t="s">
        <v>60</v>
      </c>
    </row>
    <row r="2579" spans="1:19" x14ac:dyDescent="0.25">
      <c r="A2579">
        <v>2578</v>
      </c>
      <c r="B2579">
        <v>52</v>
      </c>
      <c r="C2579" t="s">
        <v>19</v>
      </c>
      <c r="D2579" t="s">
        <v>125</v>
      </c>
      <c r="E2579" t="s">
        <v>21</v>
      </c>
      <c r="F2579" s="1">
        <v>39</v>
      </c>
      <c r="G2579" t="s">
        <v>148</v>
      </c>
      <c r="H2579" t="s">
        <v>23</v>
      </c>
      <c r="I2579" t="s">
        <v>94</v>
      </c>
      <c r="J2579" t="s">
        <v>58</v>
      </c>
      <c r="K2579" s="2">
        <v>4.5</v>
      </c>
      <c r="L2579" t="s">
        <v>152</v>
      </c>
      <c r="M2579" t="s">
        <v>59</v>
      </c>
      <c r="N2579" t="s">
        <v>47</v>
      </c>
      <c r="O2579" t="s">
        <v>152</v>
      </c>
      <c r="P2579" t="s">
        <v>152</v>
      </c>
      <c r="Q2579" s="3">
        <v>37</v>
      </c>
      <c r="R2579" t="s">
        <v>34</v>
      </c>
      <c r="S2579" t="s">
        <v>88</v>
      </c>
    </row>
    <row r="2580" spans="1:19" x14ac:dyDescent="0.25">
      <c r="A2580">
        <v>2579</v>
      </c>
      <c r="B2580">
        <v>54</v>
      </c>
      <c r="C2580" t="s">
        <v>19</v>
      </c>
      <c r="D2580" t="s">
        <v>89</v>
      </c>
      <c r="E2580" t="s">
        <v>69</v>
      </c>
      <c r="F2580" s="1">
        <v>48</v>
      </c>
      <c r="G2580" t="s">
        <v>129</v>
      </c>
      <c r="H2580" t="s">
        <v>45</v>
      </c>
      <c r="I2580" t="s">
        <v>75</v>
      </c>
      <c r="J2580" t="s">
        <v>58</v>
      </c>
      <c r="K2580" s="2">
        <v>3.9</v>
      </c>
      <c r="L2580" t="s">
        <v>152</v>
      </c>
      <c r="M2580" t="s">
        <v>34</v>
      </c>
      <c r="N2580" t="s">
        <v>40</v>
      </c>
      <c r="O2580" t="s">
        <v>152</v>
      </c>
      <c r="P2580" t="s">
        <v>152</v>
      </c>
      <c r="Q2580" s="3">
        <v>3</v>
      </c>
      <c r="R2580" t="s">
        <v>35</v>
      </c>
      <c r="S2580" t="s">
        <v>60</v>
      </c>
    </row>
    <row r="2581" spans="1:19" x14ac:dyDescent="0.25">
      <c r="A2581">
        <v>2580</v>
      </c>
      <c r="B2581">
        <v>65</v>
      </c>
      <c r="C2581" t="s">
        <v>19</v>
      </c>
      <c r="D2581" t="s">
        <v>20</v>
      </c>
      <c r="E2581" t="s">
        <v>21</v>
      </c>
      <c r="F2581" s="1">
        <v>20</v>
      </c>
      <c r="G2581" t="s">
        <v>148</v>
      </c>
      <c r="H2581" t="s">
        <v>45</v>
      </c>
      <c r="I2581" t="s">
        <v>75</v>
      </c>
      <c r="J2581" t="s">
        <v>54</v>
      </c>
      <c r="K2581" s="2">
        <v>3.7</v>
      </c>
      <c r="L2581" t="s">
        <v>152</v>
      </c>
      <c r="M2581" t="s">
        <v>29</v>
      </c>
      <c r="N2581" t="s">
        <v>28</v>
      </c>
      <c r="O2581" t="s">
        <v>152</v>
      </c>
      <c r="P2581" t="s">
        <v>152</v>
      </c>
      <c r="Q2581" s="3">
        <v>40</v>
      </c>
      <c r="R2581" t="s">
        <v>29</v>
      </c>
      <c r="S2581" t="s">
        <v>41</v>
      </c>
    </row>
    <row r="2582" spans="1:19" x14ac:dyDescent="0.25">
      <c r="A2582">
        <v>2581</v>
      </c>
      <c r="B2582">
        <v>43</v>
      </c>
      <c r="C2582" t="s">
        <v>19</v>
      </c>
      <c r="D2582" t="s">
        <v>36</v>
      </c>
      <c r="E2582" t="s">
        <v>21</v>
      </c>
      <c r="F2582" s="1">
        <v>29</v>
      </c>
      <c r="G2582" t="s">
        <v>37</v>
      </c>
      <c r="H2582" t="s">
        <v>38</v>
      </c>
      <c r="I2582" t="s">
        <v>49</v>
      </c>
      <c r="J2582" t="s">
        <v>54</v>
      </c>
      <c r="K2582" s="2">
        <v>3.6</v>
      </c>
      <c r="L2582" t="s">
        <v>152</v>
      </c>
      <c r="M2582" t="s">
        <v>35</v>
      </c>
      <c r="N2582" t="s">
        <v>76</v>
      </c>
      <c r="O2582" t="s">
        <v>152</v>
      </c>
      <c r="P2582" t="s">
        <v>152</v>
      </c>
      <c r="Q2582" s="3">
        <v>13</v>
      </c>
      <c r="R2582" t="s">
        <v>34</v>
      </c>
      <c r="S2582" t="s">
        <v>60</v>
      </c>
    </row>
    <row r="2583" spans="1:19" x14ac:dyDescent="0.25">
      <c r="A2583">
        <v>2582</v>
      </c>
      <c r="B2583">
        <v>57</v>
      </c>
      <c r="C2583" t="s">
        <v>19</v>
      </c>
      <c r="D2583" t="s">
        <v>82</v>
      </c>
      <c r="E2583" t="s">
        <v>21</v>
      </c>
      <c r="F2583" s="1">
        <v>81</v>
      </c>
      <c r="G2583" t="s">
        <v>52</v>
      </c>
      <c r="H2583" t="s">
        <v>45</v>
      </c>
      <c r="I2583" t="s">
        <v>81</v>
      </c>
      <c r="J2583" t="s">
        <v>25</v>
      </c>
      <c r="K2583" s="2">
        <v>4.7</v>
      </c>
      <c r="L2583" t="s">
        <v>152</v>
      </c>
      <c r="M2583" t="s">
        <v>34</v>
      </c>
      <c r="N2583" t="s">
        <v>28</v>
      </c>
      <c r="O2583" t="s">
        <v>152</v>
      </c>
      <c r="P2583" t="s">
        <v>152</v>
      </c>
      <c r="Q2583" s="3">
        <v>48</v>
      </c>
      <c r="R2583" t="s">
        <v>27</v>
      </c>
      <c r="S2583" t="s">
        <v>88</v>
      </c>
    </row>
    <row r="2584" spans="1:19" x14ac:dyDescent="0.25">
      <c r="A2584">
        <v>2583</v>
      </c>
      <c r="B2584">
        <v>19</v>
      </c>
      <c r="C2584" t="s">
        <v>19</v>
      </c>
      <c r="D2584" t="s">
        <v>82</v>
      </c>
      <c r="E2584" t="s">
        <v>21</v>
      </c>
      <c r="F2584" s="1">
        <v>98</v>
      </c>
      <c r="G2584" t="s">
        <v>147</v>
      </c>
      <c r="H2584" t="s">
        <v>38</v>
      </c>
      <c r="I2584" t="s">
        <v>126</v>
      </c>
      <c r="J2584" t="s">
        <v>58</v>
      </c>
      <c r="K2584" s="2">
        <v>3.6</v>
      </c>
      <c r="L2584" t="s">
        <v>152</v>
      </c>
      <c r="M2584" t="s">
        <v>29</v>
      </c>
      <c r="N2584" t="s">
        <v>72</v>
      </c>
      <c r="O2584" t="s">
        <v>152</v>
      </c>
      <c r="P2584" t="s">
        <v>152</v>
      </c>
      <c r="Q2584" s="3">
        <v>4</v>
      </c>
      <c r="R2584" t="s">
        <v>29</v>
      </c>
      <c r="S2584" t="s">
        <v>97</v>
      </c>
    </row>
    <row r="2585" spans="1:19" x14ac:dyDescent="0.25">
      <c r="A2585">
        <v>2584</v>
      </c>
      <c r="B2585">
        <v>69</v>
      </c>
      <c r="C2585" t="s">
        <v>19</v>
      </c>
      <c r="D2585" t="s">
        <v>36</v>
      </c>
      <c r="E2585" t="s">
        <v>21</v>
      </c>
      <c r="F2585" s="1">
        <v>93</v>
      </c>
      <c r="G2585" t="s">
        <v>101</v>
      </c>
      <c r="H2585" t="s">
        <v>45</v>
      </c>
      <c r="I2585" t="s">
        <v>93</v>
      </c>
      <c r="J2585" t="s">
        <v>58</v>
      </c>
      <c r="K2585" s="2">
        <v>2.5</v>
      </c>
      <c r="L2585" t="s">
        <v>152</v>
      </c>
      <c r="M2585" t="s">
        <v>34</v>
      </c>
      <c r="N2585" t="s">
        <v>47</v>
      </c>
      <c r="O2585" t="s">
        <v>152</v>
      </c>
      <c r="P2585" t="s">
        <v>152</v>
      </c>
      <c r="Q2585" s="3">
        <v>9</v>
      </c>
      <c r="R2585" t="s">
        <v>35</v>
      </c>
      <c r="S2585" t="s">
        <v>41</v>
      </c>
    </row>
    <row r="2586" spans="1:19" x14ac:dyDescent="0.25">
      <c r="A2586">
        <v>2585</v>
      </c>
      <c r="B2586">
        <v>26</v>
      </c>
      <c r="C2586" t="s">
        <v>19</v>
      </c>
      <c r="D2586" t="s">
        <v>125</v>
      </c>
      <c r="E2586" t="s">
        <v>21</v>
      </c>
      <c r="F2586" s="1">
        <v>30</v>
      </c>
      <c r="G2586" t="s">
        <v>103</v>
      </c>
      <c r="H2586" t="s">
        <v>23</v>
      </c>
      <c r="I2586" t="s">
        <v>144</v>
      </c>
      <c r="J2586" t="s">
        <v>54</v>
      </c>
      <c r="K2586" s="2">
        <v>2.9</v>
      </c>
      <c r="L2586" t="s">
        <v>152</v>
      </c>
      <c r="M2586" t="s">
        <v>46</v>
      </c>
      <c r="N2586" t="s">
        <v>76</v>
      </c>
      <c r="O2586" t="s">
        <v>152</v>
      </c>
      <c r="P2586" t="s">
        <v>152</v>
      </c>
      <c r="Q2586" s="3">
        <v>26</v>
      </c>
      <c r="R2586" t="s">
        <v>34</v>
      </c>
      <c r="S2586" t="s">
        <v>77</v>
      </c>
    </row>
    <row r="2587" spans="1:19" x14ac:dyDescent="0.25">
      <c r="A2587">
        <v>2586</v>
      </c>
      <c r="B2587">
        <v>57</v>
      </c>
      <c r="C2587" t="s">
        <v>19</v>
      </c>
      <c r="D2587" t="s">
        <v>89</v>
      </c>
      <c r="E2587" t="s">
        <v>69</v>
      </c>
      <c r="F2587" s="1">
        <v>37</v>
      </c>
      <c r="G2587" t="s">
        <v>150</v>
      </c>
      <c r="H2587" t="s">
        <v>23</v>
      </c>
      <c r="I2587" t="s">
        <v>33</v>
      </c>
      <c r="J2587" t="s">
        <v>58</v>
      </c>
      <c r="K2587" s="2">
        <v>4.4000000000000004</v>
      </c>
      <c r="L2587" t="s">
        <v>152</v>
      </c>
      <c r="M2587" t="s">
        <v>29</v>
      </c>
      <c r="N2587" t="s">
        <v>40</v>
      </c>
      <c r="O2587" t="s">
        <v>152</v>
      </c>
      <c r="P2587" t="s">
        <v>152</v>
      </c>
      <c r="Q2587" s="3">
        <v>19</v>
      </c>
      <c r="R2587" t="s">
        <v>59</v>
      </c>
      <c r="S2587" t="s">
        <v>41</v>
      </c>
    </row>
    <row r="2588" spans="1:19" x14ac:dyDescent="0.25">
      <c r="A2588">
        <v>2587</v>
      </c>
      <c r="B2588">
        <v>20</v>
      </c>
      <c r="C2588" t="s">
        <v>19</v>
      </c>
      <c r="D2588" t="s">
        <v>64</v>
      </c>
      <c r="E2588" t="s">
        <v>65</v>
      </c>
      <c r="F2588" s="1">
        <v>28</v>
      </c>
      <c r="G2588" t="s">
        <v>32</v>
      </c>
      <c r="H2588" t="s">
        <v>23</v>
      </c>
      <c r="I2588" t="s">
        <v>134</v>
      </c>
      <c r="J2588" t="s">
        <v>25</v>
      </c>
      <c r="K2588" s="2">
        <v>4.5999999999999996</v>
      </c>
      <c r="L2588" t="s">
        <v>152</v>
      </c>
      <c r="M2588" t="s">
        <v>29</v>
      </c>
      <c r="N2588" t="s">
        <v>28</v>
      </c>
      <c r="O2588" t="s">
        <v>152</v>
      </c>
      <c r="P2588" t="s">
        <v>152</v>
      </c>
      <c r="Q2588" s="3">
        <v>1</v>
      </c>
      <c r="R2588" t="s">
        <v>27</v>
      </c>
      <c r="S2588" t="s">
        <v>97</v>
      </c>
    </row>
    <row r="2589" spans="1:19" x14ac:dyDescent="0.25">
      <c r="A2589">
        <v>2588</v>
      </c>
      <c r="B2589">
        <v>55</v>
      </c>
      <c r="C2589" t="s">
        <v>19</v>
      </c>
      <c r="D2589" t="s">
        <v>119</v>
      </c>
      <c r="E2589" t="s">
        <v>69</v>
      </c>
      <c r="F2589" s="1">
        <v>29</v>
      </c>
      <c r="G2589" t="s">
        <v>139</v>
      </c>
      <c r="H2589" t="s">
        <v>45</v>
      </c>
      <c r="I2589" t="s">
        <v>75</v>
      </c>
      <c r="J2589" t="s">
        <v>25</v>
      </c>
      <c r="K2589" s="2">
        <v>3.7</v>
      </c>
      <c r="L2589" t="s">
        <v>152</v>
      </c>
      <c r="M2589" t="s">
        <v>46</v>
      </c>
      <c r="N2589" t="s">
        <v>28</v>
      </c>
      <c r="O2589" t="s">
        <v>152</v>
      </c>
      <c r="P2589" t="s">
        <v>152</v>
      </c>
      <c r="Q2589" s="3">
        <v>29</v>
      </c>
      <c r="R2589" t="s">
        <v>46</v>
      </c>
      <c r="S2589" t="s">
        <v>97</v>
      </c>
    </row>
    <row r="2590" spans="1:19" x14ac:dyDescent="0.25">
      <c r="A2590">
        <v>2589</v>
      </c>
      <c r="B2590">
        <v>44</v>
      </c>
      <c r="C2590" t="s">
        <v>19</v>
      </c>
      <c r="D2590" t="s">
        <v>132</v>
      </c>
      <c r="E2590" t="s">
        <v>69</v>
      </c>
      <c r="F2590" s="1">
        <v>49</v>
      </c>
      <c r="G2590" t="s">
        <v>80</v>
      </c>
      <c r="H2590" t="s">
        <v>45</v>
      </c>
      <c r="I2590" t="s">
        <v>100</v>
      </c>
      <c r="J2590" t="s">
        <v>54</v>
      </c>
      <c r="K2590" s="2">
        <v>3.2</v>
      </c>
      <c r="L2590" t="s">
        <v>152</v>
      </c>
      <c r="M2590" t="s">
        <v>29</v>
      </c>
      <c r="N2590" t="s">
        <v>40</v>
      </c>
      <c r="O2590" t="s">
        <v>152</v>
      </c>
      <c r="P2590" t="s">
        <v>152</v>
      </c>
      <c r="Q2590" s="3">
        <v>38</v>
      </c>
      <c r="R2590" t="s">
        <v>29</v>
      </c>
      <c r="S2590" t="s">
        <v>77</v>
      </c>
    </row>
    <row r="2591" spans="1:19" x14ac:dyDescent="0.25">
      <c r="A2591">
        <v>2590</v>
      </c>
      <c r="B2591">
        <v>52</v>
      </c>
      <c r="C2591" t="s">
        <v>19</v>
      </c>
      <c r="D2591" t="s">
        <v>95</v>
      </c>
      <c r="E2591" t="s">
        <v>21</v>
      </c>
      <c r="F2591" s="1">
        <v>53</v>
      </c>
      <c r="G2591" t="s">
        <v>114</v>
      </c>
      <c r="H2591" t="s">
        <v>45</v>
      </c>
      <c r="I2591" t="s">
        <v>67</v>
      </c>
      <c r="J2591" t="s">
        <v>25</v>
      </c>
      <c r="K2591" s="2">
        <v>4.9000000000000004</v>
      </c>
      <c r="L2591" t="s">
        <v>152</v>
      </c>
      <c r="M2591" t="s">
        <v>34</v>
      </c>
      <c r="N2591" t="s">
        <v>72</v>
      </c>
      <c r="O2591" t="s">
        <v>152</v>
      </c>
      <c r="P2591" t="s">
        <v>152</v>
      </c>
      <c r="Q2591" s="3">
        <v>31</v>
      </c>
      <c r="R2591" t="s">
        <v>46</v>
      </c>
      <c r="S2591" t="s">
        <v>50</v>
      </c>
    </row>
    <row r="2592" spans="1:19" x14ac:dyDescent="0.25">
      <c r="A2592">
        <v>2591</v>
      </c>
      <c r="B2592">
        <v>57</v>
      </c>
      <c r="C2592" t="s">
        <v>19</v>
      </c>
      <c r="D2592" t="s">
        <v>143</v>
      </c>
      <c r="E2592" t="s">
        <v>69</v>
      </c>
      <c r="F2592" s="1">
        <v>66</v>
      </c>
      <c r="G2592" t="s">
        <v>99</v>
      </c>
      <c r="H2592" t="s">
        <v>45</v>
      </c>
      <c r="I2592" t="s">
        <v>49</v>
      </c>
      <c r="J2592" t="s">
        <v>54</v>
      </c>
      <c r="K2592" s="2">
        <v>5</v>
      </c>
      <c r="L2592" t="s">
        <v>152</v>
      </c>
      <c r="M2592" t="s">
        <v>46</v>
      </c>
      <c r="N2592" t="s">
        <v>40</v>
      </c>
      <c r="O2592" t="s">
        <v>152</v>
      </c>
      <c r="P2592" t="s">
        <v>152</v>
      </c>
      <c r="Q2592" s="3">
        <v>35</v>
      </c>
      <c r="R2592" t="s">
        <v>29</v>
      </c>
      <c r="S2592" t="s">
        <v>50</v>
      </c>
    </row>
    <row r="2593" spans="1:19" x14ac:dyDescent="0.25">
      <c r="A2593">
        <v>2592</v>
      </c>
      <c r="B2593">
        <v>40</v>
      </c>
      <c r="C2593" t="s">
        <v>19</v>
      </c>
      <c r="D2593" t="s">
        <v>102</v>
      </c>
      <c r="E2593" t="s">
        <v>65</v>
      </c>
      <c r="F2593" s="1">
        <v>61</v>
      </c>
      <c r="G2593" t="s">
        <v>130</v>
      </c>
      <c r="H2593" t="s">
        <v>38</v>
      </c>
      <c r="I2593" t="s">
        <v>79</v>
      </c>
      <c r="J2593" t="s">
        <v>39</v>
      </c>
      <c r="K2593" s="2">
        <v>3.3</v>
      </c>
      <c r="L2593" t="s">
        <v>152</v>
      </c>
      <c r="M2593" t="s">
        <v>59</v>
      </c>
      <c r="N2593" t="s">
        <v>28</v>
      </c>
      <c r="O2593" t="s">
        <v>152</v>
      </c>
      <c r="P2593" t="s">
        <v>152</v>
      </c>
      <c r="Q2593" s="3">
        <v>40</v>
      </c>
      <c r="R2593" t="s">
        <v>35</v>
      </c>
      <c r="S2593" t="s">
        <v>60</v>
      </c>
    </row>
    <row r="2594" spans="1:19" x14ac:dyDescent="0.25">
      <c r="A2594">
        <v>2593</v>
      </c>
      <c r="B2594">
        <v>23</v>
      </c>
      <c r="C2594" t="s">
        <v>19</v>
      </c>
      <c r="D2594" t="s">
        <v>61</v>
      </c>
      <c r="E2594" t="s">
        <v>21</v>
      </c>
      <c r="F2594" s="1">
        <v>23</v>
      </c>
      <c r="G2594" t="s">
        <v>146</v>
      </c>
      <c r="H2594" t="s">
        <v>92</v>
      </c>
      <c r="I2594" t="s">
        <v>100</v>
      </c>
      <c r="J2594" t="s">
        <v>54</v>
      </c>
      <c r="K2594" s="2">
        <v>4.4000000000000004</v>
      </c>
      <c r="L2594" t="s">
        <v>152</v>
      </c>
      <c r="M2594" t="s">
        <v>35</v>
      </c>
      <c r="N2594" t="s">
        <v>76</v>
      </c>
      <c r="O2594" t="s">
        <v>152</v>
      </c>
      <c r="P2594" t="s">
        <v>152</v>
      </c>
      <c r="Q2594" s="3">
        <v>13</v>
      </c>
      <c r="R2594" t="s">
        <v>29</v>
      </c>
      <c r="S2594" t="s">
        <v>60</v>
      </c>
    </row>
    <row r="2595" spans="1:19" x14ac:dyDescent="0.25">
      <c r="A2595">
        <v>2594</v>
      </c>
      <c r="B2595">
        <v>36</v>
      </c>
      <c r="C2595" t="s">
        <v>19</v>
      </c>
      <c r="D2595" t="s">
        <v>95</v>
      </c>
      <c r="E2595" t="s">
        <v>21</v>
      </c>
      <c r="F2595" s="1">
        <v>36</v>
      </c>
      <c r="G2595" t="s">
        <v>112</v>
      </c>
      <c r="H2595" t="s">
        <v>38</v>
      </c>
      <c r="I2595" t="s">
        <v>126</v>
      </c>
      <c r="J2595" t="s">
        <v>58</v>
      </c>
      <c r="K2595" s="2">
        <v>4.7</v>
      </c>
      <c r="L2595" t="s">
        <v>152</v>
      </c>
      <c r="M2595" t="s">
        <v>59</v>
      </c>
      <c r="N2595" t="s">
        <v>76</v>
      </c>
      <c r="O2595" t="s">
        <v>152</v>
      </c>
      <c r="P2595" t="s">
        <v>152</v>
      </c>
      <c r="Q2595" s="3">
        <v>9</v>
      </c>
      <c r="R2595" t="s">
        <v>34</v>
      </c>
      <c r="S2595" t="s">
        <v>97</v>
      </c>
    </row>
    <row r="2596" spans="1:19" x14ac:dyDescent="0.25">
      <c r="A2596">
        <v>2595</v>
      </c>
      <c r="B2596">
        <v>59</v>
      </c>
      <c r="C2596" t="s">
        <v>19</v>
      </c>
      <c r="D2596" t="s">
        <v>87</v>
      </c>
      <c r="E2596" t="s">
        <v>21</v>
      </c>
      <c r="F2596" s="1">
        <v>81</v>
      </c>
      <c r="G2596" t="s">
        <v>57</v>
      </c>
      <c r="H2596" t="s">
        <v>23</v>
      </c>
      <c r="I2596" t="s">
        <v>126</v>
      </c>
      <c r="J2596" t="s">
        <v>58</v>
      </c>
      <c r="K2596" s="2">
        <v>3.6</v>
      </c>
      <c r="L2596" t="s">
        <v>152</v>
      </c>
      <c r="M2596" t="s">
        <v>27</v>
      </c>
      <c r="N2596" t="s">
        <v>40</v>
      </c>
      <c r="O2596" t="s">
        <v>152</v>
      </c>
      <c r="P2596" t="s">
        <v>152</v>
      </c>
      <c r="Q2596" s="3">
        <v>25</v>
      </c>
      <c r="R2596" t="s">
        <v>35</v>
      </c>
      <c r="S2596" t="s">
        <v>97</v>
      </c>
    </row>
    <row r="2597" spans="1:19" x14ac:dyDescent="0.25">
      <c r="A2597">
        <v>2596</v>
      </c>
      <c r="B2597">
        <v>29</v>
      </c>
      <c r="C2597" t="s">
        <v>19</v>
      </c>
      <c r="D2597" t="s">
        <v>20</v>
      </c>
      <c r="E2597" t="s">
        <v>21</v>
      </c>
      <c r="F2597" s="1">
        <v>56</v>
      </c>
      <c r="G2597" t="s">
        <v>146</v>
      </c>
      <c r="H2597" t="s">
        <v>92</v>
      </c>
      <c r="I2597" t="s">
        <v>33</v>
      </c>
      <c r="J2597" t="s">
        <v>54</v>
      </c>
      <c r="K2597" s="2">
        <v>3.2</v>
      </c>
      <c r="L2597" t="s">
        <v>152</v>
      </c>
      <c r="M2597" t="s">
        <v>27</v>
      </c>
      <c r="N2597" t="s">
        <v>40</v>
      </c>
      <c r="O2597" t="s">
        <v>152</v>
      </c>
      <c r="P2597" t="s">
        <v>152</v>
      </c>
      <c r="Q2597" s="3">
        <v>3</v>
      </c>
      <c r="R2597" t="s">
        <v>34</v>
      </c>
      <c r="S2597" t="s">
        <v>77</v>
      </c>
    </row>
    <row r="2598" spans="1:19" x14ac:dyDescent="0.25">
      <c r="A2598">
        <v>2597</v>
      </c>
      <c r="B2598">
        <v>63</v>
      </c>
      <c r="C2598" t="s">
        <v>19</v>
      </c>
      <c r="D2598" t="s">
        <v>56</v>
      </c>
      <c r="E2598" t="s">
        <v>21</v>
      </c>
      <c r="F2598" s="1">
        <v>78</v>
      </c>
      <c r="G2598" t="s">
        <v>62</v>
      </c>
      <c r="H2598" t="s">
        <v>23</v>
      </c>
      <c r="I2598" t="s">
        <v>94</v>
      </c>
      <c r="J2598" t="s">
        <v>39</v>
      </c>
      <c r="K2598" s="2">
        <v>3</v>
      </c>
      <c r="L2598" t="s">
        <v>152</v>
      </c>
      <c r="M2598" t="s">
        <v>29</v>
      </c>
      <c r="N2598" t="s">
        <v>47</v>
      </c>
      <c r="O2598" t="s">
        <v>152</v>
      </c>
      <c r="P2598" t="s">
        <v>152</v>
      </c>
      <c r="Q2598" s="3">
        <v>35</v>
      </c>
      <c r="R2598" t="s">
        <v>27</v>
      </c>
      <c r="S2598" t="s">
        <v>88</v>
      </c>
    </row>
    <row r="2599" spans="1:19" x14ac:dyDescent="0.25">
      <c r="A2599">
        <v>2598</v>
      </c>
      <c r="B2599">
        <v>60</v>
      </c>
      <c r="C2599" t="s">
        <v>19</v>
      </c>
      <c r="D2599" t="s">
        <v>106</v>
      </c>
      <c r="E2599" t="s">
        <v>69</v>
      </c>
      <c r="F2599" s="1">
        <v>25</v>
      </c>
      <c r="G2599" t="s">
        <v>90</v>
      </c>
      <c r="H2599" t="s">
        <v>92</v>
      </c>
      <c r="I2599" t="s">
        <v>86</v>
      </c>
      <c r="J2599" t="s">
        <v>54</v>
      </c>
      <c r="K2599" s="2">
        <v>4.4000000000000004</v>
      </c>
      <c r="L2599" t="s">
        <v>152</v>
      </c>
      <c r="M2599" t="s">
        <v>34</v>
      </c>
      <c r="N2599" t="s">
        <v>76</v>
      </c>
      <c r="O2599" t="s">
        <v>152</v>
      </c>
      <c r="P2599" t="s">
        <v>152</v>
      </c>
      <c r="Q2599" s="3">
        <v>13</v>
      </c>
      <c r="R2599" t="s">
        <v>29</v>
      </c>
      <c r="S2599" t="s">
        <v>77</v>
      </c>
    </row>
    <row r="2600" spans="1:19" x14ac:dyDescent="0.25">
      <c r="A2600">
        <v>2599</v>
      </c>
      <c r="B2600">
        <v>64</v>
      </c>
      <c r="C2600" t="s">
        <v>19</v>
      </c>
      <c r="D2600" t="s">
        <v>132</v>
      </c>
      <c r="E2600" t="s">
        <v>69</v>
      </c>
      <c r="F2600" s="1">
        <v>86</v>
      </c>
      <c r="G2600" t="s">
        <v>107</v>
      </c>
      <c r="H2600" t="s">
        <v>92</v>
      </c>
      <c r="I2600" t="s">
        <v>79</v>
      </c>
      <c r="J2600" t="s">
        <v>58</v>
      </c>
      <c r="K2600" s="2">
        <v>3.3</v>
      </c>
      <c r="L2600" t="s">
        <v>152</v>
      </c>
      <c r="M2600" t="s">
        <v>27</v>
      </c>
      <c r="N2600" t="s">
        <v>28</v>
      </c>
      <c r="O2600" t="s">
        <v>152</v>
      </c>
      <c r="P2600" t="s">
        <v>152</v>
      </c>
      <c r="Q2600" s="3">
        <v>31</v>
      </c>
      <c r="R2600" t="s">
        <v>59</v>
      </c>
      <c r="S2600" t="s">
        <v>50</v>
      </c>
    </row>
    <row r="2601" spans="1:19" x14ac:dyDescent="0.25">
      <c r="A2601">
        <v>2600</v>
      </c>
      <c r="B2601">
        <v>63</v>
      </c>
      <c r="C2601" t="s">
        <v>19</v>
      </c>
      <c r="D2601" t="s">
        <v>106</v>
      </c>
      <c r="E2601" t="s">
        <v>69</v>
      </c>
      <c r="F2601" s="1">
        <v>99</v>
      </c>
      <c r="G2601" t="s">
        <v>129</v>
      </c>
      <c r="H2601" t="s">
        <v>45</v>
      </c>
      <c r="I2601" t="s">
        <v>81</v>
      </c>
      <c r="J2601" t="s">
        <v>25</v>
      </c>
      <c r="K2601" s="2">
        <v>3.4</v>
      </c>
      <c r="L2601" t="s">
        <v>152</v>
      </c>
      <c r="M2601" t="s">
        <v>27</v>
      </c>
      <c r="N2601" t="s">
        <v>28</v>
      </c>
      <c r="O2601" t="s">
        <v>152</v>
      </c>
      <c r="P2601" t="s">
        <v>152</v>
      </c>
      <c r="Q2601" s="3">
        <v>48</v>
      </c>
      <c r="R2601" t="s">
        <v>27</v>
      </c>
      <c r="S2601" t="s">
        <v>88</v>
      </c>
    </row>
    <row r="2602" spans="1:19" x14ac:dyDescent="0.25">
      <c r="A2602">
        <v>2601</v>
      </c>
      <c r="B2602">
        <v>21</v>
      </c>
      <c r="C2602" t="s">
        <v>19</v>
      </c>
      <c r="D2602" t="s">
        <v>133</v>
      </c>
      <c r="E2602" t="s">
        <v>69</v>
      </c>
      <c r="F2602" s="1">
        <v>83</v>
      </c>
      <c r="G2602" t="s">
        <v>85</v>
      </c>
      <c r="H2602" t="s">
        <v>45</v>
      </c>
      <c r="I2602" t="s">
        <v>24</v>
      </c>
      <c r="J2602" t="s">
        <v>58</v>
      </c>
      <c r="K2602" s="2">
        <v>3.9</v>
      </c>
      <c r="L2602" t="s">
        <v>152</v>
      </c>
      <c r="M2602" t="s">
        <v>59</v>
      </c>
      <c r="N2602" t="s">
        <v>28</v>
      </c>
      <c r="O2602" t="s">
        <v>152</v>
      </c>
      <c r="P2602" t="s">
        <v>152</v>
      </c>
      <c r="Q2602" s="3">
        <v>6</v>
      </c>
      <c r="R2602" t="s">
        <v>34</v>
      </c>
      <c r="S2602" t="s">
        <v>77</v>
      </c>
    </row>
    <row r="2603" spans="1:19" x14ac:dyDescent="0.25">
      <c r="A2603">
        <v>2602</v>
      </c>
      <c r="B2603">
        <v>61</v>
      </c>
      <c r="C2603" t="s">
        <v>19</v>
      </c>
      <c r="D2603" t="s">
        <v>82</v>
      </c>
      <c r="E2603" t="s">
        <v>21</v>
      </c>
      <c r="F2603" s="1">
        <v>33</v>
      </c>
      <c r="G2603" t="s">
        <v>91</v>
      </c>
      <c r="H2603" t="s">
        <v>23</v>
      </c>
      <c r="I2603" t="s">
        <v>121</v>
      </c>
      <c r="J2603" t="s">
        <v>25</v>
      </c>
      <c r="K2603" s="2">
        <v>2.9</v>
      </c>
      <c r="L2603" t="s">
        <v>152</v>
      </c>
      <c r="M2603" t="s">
        <v>46</v>
      </c>
      <c r="N2603" t="s">
        <v>76</v>
      </c>
      <c r="O2603" t="s">
        <v>152</v>
      </c>
      <c r="P2603" t="s">
        <v>152</v>
      </c>
      <c r="Q2603" s="3">
        <v>43</v>
      </c>
      <c r="R2603" t="s">
        <v>35</v>
      </c>
      <c r="S2603" t="s">
        <v>88</v>
      </c>
    </row>
    <row r="2604" spans="1:19" x14ac:dyDescent="0.25">
      <c r="A2604">
        <v>2603</v>
      </c>
      <c r="B2604">
        <v>65</v>
      </c>
      <c r="C2604" t="s">
        <v>19</v>
      </c>
      <c r="D2604" t="s">
        <v>64</v>
      </c>
      <c r="E2604" t="s">
        <v>65</v>
      </c>
      <c r="F2604" s="1">
        <v>44</v>
      </c>
      <c r="G2604" t="s">
        <v>131</v>
      </c>
      <c r="H2604" t="s">
        <v>45</v>
      </c>
      <c r="I2604" t="s">
        <v>94</v>
      </c>
      <c r="J2604" t="s">
        <v>58</v>
      </c>
      <c r="K2604" s="2">
        <v>2.9</v>
      </c>
      <c r="L2604" t="s">
        <v>152</v>
      </c>
      <c r="M2604" t="s">
        <v>29</v>
      </c>
      <c r="N2604" t="s">
        <v>40</v>
      </c>
      <c r="O2604" t="s">
        <v>152</v>
      </c>
      <c r="P2604" t="s">
        <v>152</v>
      </c>
      <c r="Q2604" s="3">
        <v>1</v>
      </c>
      <c r="R2604" t="s">
        <v>29</v>
      </c>
      <c r="S2604" t="s">
        <v>60</v>
      </c>
    </row>
    <row r="2605" spans="1:19" x14ac:dyDescent="0.25">
      <c r="A2605">
        <v>2604</v>
      </c>
      <c r="B2605">
        <v>69</v>
      </c>
      <c r="C2605" t="s">
        <v>19</v>
      </c>
      <c r="D2605" t="s">
        <v>82</v>
      </c>
      <c r="E2605" t="s">
        <v>21</v>
      </c>
      <c r="F2605" s="1">
        <v>58</v>
      </c>
      <c r="G2605" t="s">
        <v>149</v>
      </c>
      <c r="H2605" t="s">
        <v>45</v>
      </c>
      <c r="I2605" t="s">
        <v>86</v>
      </c>
      <c r="J2605" t="s">
        <v>39</v>
      </c>
      <c r="K2605" s="2">
        <v>2.7</v>
      </c>
      <c r="L2605" t="s">
        <v>152</v>
      </c>
      <c r="M2605" t="s">
        <v>59</v>
      </c>
      <c r="N2605" t="s">
        <v>72</v>
      </c>
      <c r="O2605" t="s">
        <v>152</v>
      </c>
      <c r="P2605" t="s">
        <v>152</v>
      </c>
      <c r="Q2605" s="3">
        <v>8</v>
      </c>
      <c r="R2605" t="s">
        <v>35</v>
      </c>
      <c r="S2605" t="s">
        <v>50</v>
      </c>
    </row>
    <row r="2606" spans="1:19" x14ac:dyDescent="0.25">
      <c r="A2606">
        <v>2605</v>
      </c>
      <c r="B2606">
        <v>47</v>
      </c>
      <c r="C2606" t="s">
        <v>19</v>
      </c>
      <c r="D2606" t="s">
        <v>31</v>
      </c>
      <c r="E2606" t="s">
        <v>21</v>
      </c>
      <c r="F2606" s="1">
        <v>54</v>
      </c>
      <c r="G2606" t="s">
        <v>112</v>
      </c>
      <c r="H2606" t="s">
        <v>45</v>
      </c>
      <c r="I2606" t="s">
        <v>118</v>
      </c>
      <c r="J2606" t="s">
        <v>39</v>
      </c>
      <c r="K2606" s="2">
        <v>3.4</v>
      </c>
      <c r="L2606" t="s">
        <v>152</v>
      </c>
      <c r="M2606" t="s">
        <v>27</v>
      </c>
      <c r="N2606" t="s">
        <v>76</v>
      </c>
      <c r="O2606" t="s">
        <v>152</v>
      </c>
      <c r="P2606" t="s">
        <v>152</v>
      </c>
      <c r="Q2606" s="3">
        <v>6</v>
      </c>
      <c r="R2606" t="s">
        <v>59</v>
      </c>
      <c r="S2606" t="s">
        <v>41</v>
      </c>
    </row>
    <row r="2607" spans="1:19" x14ac:dyDescent="0.25">
      <c r="A2607">
        <v>2606</v>
      </c>
      <c r="B2607">
        <v>41</v>
      </c>
      <c r="C2607" t="s">
        <v>19</v>
      </c>
      <c r="D2607" t="s">
        <v>104</v>
      </c>
      <c r="E2607" t="s">
        <v>21</v>
      </c>
      <c r="F2607" s="1">
        <v>93</v>
      </c>
      <c r="G2607" t="s">
        <v>107</v>
      </c>
      <c r="H2607" t="s">
        <v>45</v>
      </c>
      <c r="I2607" t="s">
        <v>53</v>
      </c>
      <c r="J2607" t="s">
        <v>39</v>
      </c>
      <c r="K2607" s="2">
        <v>3.7</v>
      </c>
      <c r="L2607" t="s">
        <v>152</v>
      </c>
      <c r="M2607" t="s">
        <v>59</v>
      </c>
      <c r="N2607" t="s">
        <v>72</v>
      </c>
      <c r="O2607" t="s">
        <v>152</v>
      </c>
      <c r="P2607" t="s">
        <v>152</v>
      </c>
      <c r="Q2607" s="3">
        <v>32</v>
      </c>
      <c r="R2607" t="s">
        <v>29</v>
      </c>
      <c r="S2607" t="s">
        <v>30</v>
      </c>
    </row>
    <row r="2608" spans="1:19" x14ac:dyDescent="0.25">
      <c r="A2608">
        <v>2607</v>
      </c>
      <c r="B2608">
        <v>68</v>
      </c>
      <c r="C2608" t="s">
        <v>19</v>
      </c>
      <c r="D2608" t="s">
        <v>73</v>
      </c>
      <c r="E2608" t="s">
        <v>43</v>
      </c>
      <c r="F2608" s="1">
        <v>98</v>
      </c>
      <c r="G2608" t="s">
        <v>107</v>
      </c>
      <c r="H2608" t="s">
        <v>23</v>
      </c>
      <c r="I2608" t="s">
        <v>49</v>
      </c>
      <c r="J2608" t="s">
        <v>39</v>
      </c>
      <c r="K2608" s="2">
        <v>4.7</v>
      </c>
      <c r="L2608" t="s">
        <v>152</v>
      </c>
      <c r="M2608" t="s">
        <v>34</v>
      </c>
      <c r="N2608" t="s">
        <v>55</v>
      </c>
      <c r="O2608" t="s">
        <v>152</v>
      </c>
      <c r="P2608" t="s">
        <v>152</v>
      </c>
      <c r="Q2608" s="3">
        <v>46</v>
      </c>
      <c r="R2608" t="s">
        <v>34</v>
      </c>
      <c r="S2608" t="s">
        <v>77</v>
      </c>
    </row>
    <row r="2609" spans="1:19" x14ac:dyDescent="0.25">
      <c r="A2609">
        <v>2608</v>
      </c>
      <c r="B2609">
        <v>41</v>
      </c>
      <c r="C2609" t="s">
        <v>19</v>
      </c>
      <c r="D2609" t="s">
        <v>73</v>
      </c>
      <c r="E2609" t="s">
        <v>43</v>
      </c>
      <c r="F2609" s="1">
        <v>36</v>
      </c>
      <c r="G2609" t="s">
        <v>101</v>
      </c>
      <c r="H2609" t="s">
        <v>92</v>
      </c>
      <c r="I2609" t="s">
        <v>86</v>
      </c>
      <c r="J2609" t="s">
        <v>39</v>
      </c>
      <c r="K2609" s="2">
        <v>3.1</v>
      </c>
      <c r="L2609" t="s">
        <v>152</v>
      </c>
      <c r="M2609" t="s">
        <v>34</v>
      </c>
      <c r="N2609" t="s">
        <v>28</v>
      </c>
      <c r="O2609" t="s">
        <v>152</v>
      </c>
      <c r="P2609" t="s">
        <v>152</v>
      </c>
      <c r="Q2609" s="3">
        <v>38</v>
      </c>
      <c r="R2609" t="s">
        <v>46</v>
      </c>
      <c r="S2609" t="s">
        <v>97</v>
      </c>
    </row>
    <row r="2610" spans="1:19" x14ac:dyDescent="0.25">
      <c r="A2610">
        <v>2609</v>
      </c>
      <c r="B2610">
        <v>42</v>
      </c>
      <c r="C2610" t="s">
        <v>19</v>
      </c>
      <c r="D2610" t="s">
        <v>102</v>
      </c>
      <c r="E2610" t="s">
        <v>65</v>
      </c>
      <c r="F2610" s="1">
        <v>68</v>
      </c>
      <c r="G2610" t="s">
        <v>91</v>
      </c>
      <c r="H2610" t="s">
        <v>23</v>
      </c>
      <c r="I2610" t="s">
        <v>121</v>
      </c>
      <c r="J2610" t="s">
        <v>58</v>
      </c>
      <c r="K2610" s="2">
        <v>4.2</v>
      </c>
      <c r="L2610" t="s">
        <v>152</v>
      </c>
      <c r="M2610" t="s">
        <v>46</v>
      </c>
      <c r="N2610" t="s">
        <v>72</v>
      </c>
      <c r="O2610" t="s">
        <v>152</v>
      </c>
      <c r="P2610" t="s">
        <v>152</v>
      </c>
      <c r="Q2610" s="3">
        <v>48</v>
      </c>
      <c r="R2610" t="s">
        <v>27</v>
      </c>
      <c r="S2610" t="s">
        <v>30</v>
      </c>
    </row>
    <row r="2611" spans="1:19" x14ac:dyDescent="0.25">
      <c r="A2611">
        <v>2610</v>
      </c>
      <c r="B2611">
        <v>66</v>
      </c>
      <c r="C2611" t="s">
        <v>19</v>
      </c>
      <c r="D2611" t="s">
        <v>132</v>
      </c>
      <c r="E2611" t="s">
        <v>69</v>
      </c>
      <c r="F2611" s="1">
        <v>95</v>
      </c>
      <c r="G2611" t="s">
        <v>74</v>
      </c>
      <c r="H2611" t="s">
        <v>45</v>
      </c>
      <c r="I2611" t="s">
        <v>94</v>
      </c>
      <c r="J2611" t="s">
        <v>54</v>
      </c>
      <c r="K2611" s="2">
        <v>3</v>
      </c>
      <c r="L2611" t="s">
        <v>152</v>
      </c>
      <c r="M2611" t="s">
        <v>27</v>
      </c>
      <c r="N2611" t="s">
        <v>76</v>
      </c>
      <c r="O2611" t="s">
        <v>152</v>
      </c>
      <c r="P2611" t="s">
        <v>152</v>
      </c>
      <c r="Q2611" s="3">
        <v>18</v>
      </c>
      <c r="R2611" t="s">
        <v>59</v>
      </c>
      <c r="S2611" t="s">
        <v>77</v>
      </c>
    </row>
    <row r="2612" spans="1:19" x14ac:dyDescent="0.25">
      <c r="A2612">
        <v>2611</v>
      </c>
      <c r="B2612">
        <v>66</v>
      </c>
      <c r="C2612" t="s">
        <v>19</v>
      </c>
      <c r="D2612" t="s">
        <v>36</v>
      </c>
      <c r="E2612" t="s">
        <v>21</v>
      </c>
      <c r="F2612" s="1">
        <v>93</v>
      </c>
      <c r="G2612" t="s">
        <v>66</v>
      </c>
      <c r="H2612" t="s">
        <v>45</v>
      </c>
      <c r="I2612" t="s">
        <v>84</v>
      </c>
      <c r="J2612" t="s">
        <v>39</v>
      </c>
      <c r="K2612" s="2">
        <v>3.1</v>
      </c>
      <c r="L2612" t="s">
        <v>152</v>
      </c>
      <c r="M2612" t="s">
        <v>34</v>
      </c>
      <c r="N2612" t="s">
        <v>28</v>
      </c>
      <c r="O2612" t="s">
        <v>152</v>
      </c>
      <c r="P2612" t="s">
        <v>152</v>
      </c>
      <c r="Q2612" s="3">
        <v>25</v>
      </c>
      <c r="R2612" t="s">
        <v>35</v>
      </c>
      <c r="S2612" t="s">
        <v>60</v>
      </c>
    </row>
    <row r="2613" spans="1:19" x14ac:dyDescent="0.25">
      <c r="A2613">
        <v>2612</v>
      </c>
      <c r="B2613">
        <v>33</v>
      </c>
      <c r="C2613" t="s">
        <v>19</v>
      </c>
      <c r="D2613" t="s">
        <v>102</v>
      </c>
      <c r="E2613" t="s">
        <v>65</v>
      </c>
      <c r="F2613" s="1">
        <v>99</v>
      </c>
      <c r="G2613" t="s">
        <v>151</v>
      </c>
      <c r="H2613" t="s">
        <v>23</v>
      </c>
      <c r="I2613" t="s">
        <v>33</v>
      </c>
      <c r="J2613" t="s">
        <v>58</v>
      </c>
      <c r="K2613" s="2">
        <v>4.2</v>
      </c>
      <c r="L2613" t="s">
        <v>152</v>
      </c>
      <c r="M2613" t="s">
        <v>35</v>
      </c>
      <c r="N2613" t="s">
        <v>72</v>
      </c>
      <c r="O2613" t="s">
        <v>152</v>
      </c>
      <c r="P2613" t="s">
        <v>152</v>
      </c>
      <c r="Q2613" s="3">
        <v>4</v>
      </c>
      <c r="R2613" t="s">
        <v>35</v>
      </c>
      <c r="S2613" t="s">
        <v>30</v>
      </c>
    </row>
    <row r="2614" spans="1:19" x14ac:dyDescent="0.25">
      <c r="A2614">
        <v>2613</v>
      </c>
      <c r="B2614">
        <v>55</v>
      </c>
      <c r="C2614" t="s">
        <v>19</v>
      </c>
      <c r="D2614" t="s">
        <v>89</v>
      </c>
      <c r="E2614" t="s">
        <v>69</v>
      </c>
      <c r="F2614" s="1">
        <v>22</v>
      </c>
      <c r="G2614" t="s">
        <v>62</v>
      </c>
      <c r="H2614" t="s">
        <v>45</v>
      </c>
      <c r="I2614" t="s">
        <v>49</v>
      </c>
      <c r="J2614" t="s">
        <v>25</v>
      </c>
      <c r="K2614" s="2">
        <v>3.8</v>
      </c>
      <c r="L2614" t="s">
        <v>152</v>
      </c>
      <c r="M2614" t="s">
        <v>35</v>
      </c>
      <c r="N2614" t="s">
        <v>47</v>
      </c>
      <c r="O2614" t="s">
        <v>152</v>
      </c>
      <c r="P2614" t="s">
        <v>152</v>
      </c>
      <c r="Q2614" s="3">
        <v>27</v>
      </c>
      <c r="R2614" t="s">
        <v>29</v>
      </c>
      <c r="S2614" t="s">
        <v>60</v>
      </c>
    </row>
    <row r="2615" spans="1:19" x14ac:dyDescent="0.25">
      <c r="A2615">
        <v>2614</v>
      </c>
      <c r="B2615">
        <v>58</v>
      </c>
      <c r="C2615" t="s">
        <v>19</v>
      </c>
      <c r="D2615" t="s">
        <v>143</v>
      </c>
      <c r="E2615" t="s">
        <v>69</v>
      </c>
      <c r="F2615" s="1">
        <v>88</v>
      </c>
      <c r="G2615" t="s">
        <v>147</v>
      </c>
      <c r="H2615" t="s">
        <v>45</v>
      </c>
      <c r="I2615" t="s">
        <v>81</v>
      </c>
      <c r="J2615" t="s">
        <v>58</v>
      </c>
      <c r="K2615" s="2">
        <v>2.9</v>
      </c>
      <c r="L2615" t="s">
        <v>152</v>
      </c>
      <c r="M2615" t="s">
        <v>35</v>
      </c>
      <c r="N2615" t="s">
        <v>28</v>
      </c>
      <c r="O2615" t="s">
        <v>152</v>
      </c>
      <c r="P2615" t="s">
        <v>152</v>
      </c>
      <c r="Q2615" s="3">
        <v>14</v>
      </c>
      <c r="R2615" t="s">
        <v>34</v>
      </c>
      <c r="S2615" t="s">
        <v>88</v>
      </c>
    </row>
    <row r="2616" spans="1:19" x14ac:dyDescent="0.25">
      <c r="A2616">
        <v>2615</v>
      </c>
      <c r="B2616">
        <v>18</v>
      </c>
      <c r="C2616" t="s">
        <v>19</v>
      </c>
      <c r="D2616" t="s">
        <v>102</v>
      </c>
      <c r="E2616" t="s">
        <v>65</v>
      </c>
      <c r="F2616" s="1">
        <v>65</v>
      </c>
      <c r="G2616" t="s">
        <v>114</v>
      </c>
      <c r="H2616" t="s">
        <v>45</v>
      </c>
      <c r="I2616" t="s">
        <v>49</v>
      </c>
      <c r="J2616" t="s">
        <v>39</v>
      </c>
      <c r="K2616" s="2">
        <v>4.2</v>
      </c>
      <c r="L2616" t="s">
        <v>152</v>
      </c>
      <c r="M2616" t="s">
        <v>27</v>
      </c>
      <c r="N2616" t="s">
        <v>28</v>
      </c>
      <c r="O2616" t="s">
        <v>152</v>
      </c>
      <c r="P2616" t="s">
        <v>152</v>
      </c>
      <c r="Q2616" s="3">
        <v>36</v>
      </c>
      <c r="R2616" t="s">
        <v>34</v>
      </c>
      <c r="S2616" t="s">
        <v>30</v>
      </c>
    </row>
    <row r="2617" spans="1:19" x14ac:dyDescent="0.25">
      <c r="A2617">
        <v>2616</v>
      </c>
      <c r="B2617">
        <v>49</v>
      </c>
      <c r="C2617" t="s">
        <v>19</v>
      </c>
      <c r="D2617" t="s">
        <v>113</v>
      </c>
      <c r="E2617" t="s">
        <v>21</v>
      </c>
      <c r="F2617" s="1">
        <v>62</v>
      </c>
      <c r="G2617" t="s">
        <v>117</v>
      </c>
      <c r="H2617" t="s">
        <v>45</v>
      </c>
      <c r="I2617" t="s">
        <v>33</v>
      </c>
      <c r="J2617" t="s">
        <v>58</v>
      </c>
      <c r="K2617" s="2">
        <v>3.1</v>
      </c>
      <c r="L2617" t="s">
        <v>152</v>
      </c>
      <c r="M2617" t="s">
        <v>29</v>
      </c>
      <c r="N2617" t="s">
        <v>72</v>
      </c>
      <c r="O2617" t="s">
        <v>152</v>
      </c>
      <c r="P2617" t="s">
        <v>152</v>
      </c>
      <c r="Q2617" s="3">
        <v>6</v>
      </c>
      <c r="R2617" t="s">
        <v>59</v>
      </c>
      <c r="S2617" t="s">
        <v>60</v>
      </c>
    </row>
    <row r="2618" spans="1:19" x14ac:dyDescent="0.25">
      <c r="A2618">
        <v>2617</v>
      </c>
      <c r="B2618">
        <v>61</v>
      </c>
      <c r="C2618" t="s">
        <v>19</v>
      </c>
      <c r="D2618" t="s">
        <v>42</v>
      </c>
      <c r="E2618" t="s">
        <v>43</v>
      </c>
      <c r="F2618" s="1">
        <v>55</v>
      </c>
      <c r="G2618" t="s">
        <v>142</v>
      </c>
      <c r="H2618" t="s">
        <v>92</v>
      </c>
      <c r="I2618" t="s">
        <v>75</v>
      </c>
      <c r="J2618" t="s">
        <v>39</v>
      </c>
      <c r="K2618" s="2">
        <v>3.6</v>
      </c>
      <c r="L2618" t="s">
        <v>152</v>
      </c>
      <c r="M2618" t="s">
        <v>34</v>
      </c>
      <c r="N2618" t="s">
        <v>28</v>
      </c>
      <c r="O2618" t="s">
        <v>152</v>
      </c>
      <c r="P2618" t="s">
        <v>152</v>
      </c>
      <c r="Q2618" s="3">
        <v>46</v>
      </c>
      <c r="R2618" t="s">
        <v>35</v>
      </c>
      <c r="S2618" t="s">
        <v>50</v>
      </c>
    </row>
    <row r="2619" spans="1:19" x14ac:dyDescent="0.25">
      <c r="A2619">
        <v>2618</v>
      </c>
      <c r="B2619">
        <v>31</v>
      </c>
      <c r="C2619" t="s">
        <v>19</v>
      </c>
      <c r="D2619" t="s">
        <v>61</v>
      </c>
      <c r="E2619" t="s">
        <v>21</v>
      </c>
      <c r="F2619" s="1">
        <v>97</v>
      </c>
      <c r="G2619" t="s">
        <v>135</v>
      </c>
      <c r="H2619" t="s">
        <v>38</v>
      </c>
      <c r="I2619" t="s">
        <v>33</v>
      </c>
      <c r="J2619" t="s">
        <v>39</v>
      </c>
      <c r="K2619" s="2">
        <v>4.8</v>
      </c>
      <c r="L2619" t="s">
        <v>152</v>
      </c>
      <c r="M2619" t="s">
        <v>34</v>
      </c>
      <c r="N2619" t="s">
        <v>55</v>
      </c>
      <c r="O2619" t="s">
        <v>152</v>
      </c>
      <c r="P2619" t="s">
        <v>152</v>
      </c>
      <c r="Q2619" s="3">
        <v>29</v>
      </c>
      <c r="R2619" t="s">
        <v>34</v>
      </c>
      <c r="S2619" t="s">
        <v>50</v>
      </c>
    </row>
    <row r="2620" spans="1:19" x14ac:dyDescent="0.25">
      <c r="A2620">
        <v>2619</v>
      </c>
      <c r="B2620">
        <v>70</v>
      </c>
      <c r="C2620" t="s">
        <v>19</v>
      </c>
      <c r="D2620" t="s">
        <v>68</v>
      </c>
      <c r="E2620" t="s">
        <v>69</v>
      </c>
      <c r="F2620" s="1">
        <v>77</v>
      </c>
      <c r="G2620" t="s">
        <v>62</v>
      </c>
      <c r="H2620" t="s">
        <v>23</v>
      </c>
      <c r="I2620" t="s">
        <v>110</v>
      </c>
      <c r="J2620" t="s">
        <v>58</v>
      </c>
      <c r="K2620" s="2">
        <v>4.0999999999999996</v>
      </c>
      <c r="L2620" t="s">
        <v>152</v>
      </c>
      <c r="M2620" t="s">
        <v>27</v>
      </c>
      <c r="N2620" t="s">
        <v>28</v>
      </c>
      <c r="O2620" t="s">
        <v>152</v>
      </c>
      <c r="P2620" t="s">
        <v>152</v>
      </c>
      <c r="Q2620" s="3">
        <v>12</v>
      </c>
      <c r="R2620" t="s">
        <v>29</v>
      </c>
      <c r="S2620" t="s">
        <v>88</v>
      </c>
    </row>
    <row r="2621" spans="1:19" x14ac:dyDescent="0.25">
      <c r="A2621">
        <v>2620</v>
      </c>
      <c r="B2621">
        <v>68</v>
      </c>
      <c r="C2621" t="s">
        <v>19</v>
      </c>
      <c r="D2621" t="s">
        <v>95</v>
      </c>
      <c r="E2621" t="s">
        <v>21</v>
      </c>
      <c r="F2621" s="1">
        <v>40</v>
      </c>
      <c r="G2621" t="s">
        <v>139</v>
      </c>
      <c r="H2621" t="s">
        <v>23</v>
      </c>
      <c r="I2621" t="s">
        <v>126</v>
      </c>
      <c r="J2621" t="s">
        <v>25</v>
      </c>
      <c r="K2621" s="2">
        <v>3.9</v>
      </c>
      <c r="L2621" t="s">
        <v>152</v>
      </c>
      <c r="M2621" t="s">
        <v>27</v>
      </c>
      <c r="N2621" t="s">
        <v>40</v>
      </c>
      <c r="O2621" t="s">
        <v>152</v>
      </c>
      <c r="P2621" t="s">
        <v>152</v>
      </c>
      <c r="Q2621" s="3">
        <v>47</v>
      </c>
      <c r="R2621" t="s">
        <v>27</v>
      </c>
      <c r="S2621" t="s">
        <v>41</v>
      </c>
    </row>
    <row r="2622" spans="1:19" x14ac:dyDescent="0.25">
      <c r="A2622">
        <v>2621</v>
      </c>
      <c r="B2622">
        <v>27</v>
      </c>
      <c r="C2622" t="s">
        <v>19</v>
      </c>
      <c r="D2622" t="s">
        <v>20</v>
      </c>
      <c r="E2622" t="s">
        <v>21</v>
      </c>
      <c r="F2622" s="1">
        <v>23</v>
      </c>
      <c r="G2622" t="s">
        <v>123</v>
      </c>
      <c r="H2622" t="s">
        <v>38</v>
      </c>
      <c r="I2622" t="s">
        <v>93</v>
      </c>
      <c r="J2622" t="s">
        <v>25</v>
      </c>
      <c r="K2622" s="2">
        <v>3</v>
      </c>
      <c r="L2622" t="s">
        <v>152</v>
      </c>
      <c r="M2622" t="s">
        <v>29</v>
      </c>
      <c r="N2622" t="s">
        <v>55</v>
      </c>
      <c r="O2622" t="s">
        <v>152</v>
      </c>
      <c r="P2622" t="s">
        <v>152</v>
      </c>
      <c r="Q2622" s="3">
        <v>28</v>
      </c>
      <c r="R2622" t="s">
        <v>59</v>
      </c>
      <c r="S2622" t="s">
        <v>50</v>
      </c>
    </row>
    <row r="2623" spans="1:19" x14ac:dyDescent="0.25">
      <c r="A2623">
        <v>2622</v>
      </c>
      <c r="B2623">
        <v>48</v>
      </c>
      <c r="C2623" t="s">
        <v>19</v>
      </c>
      <c r="D2623" t="s">
        <v>73</v>
      </c>
      <c r="E2623" t="s">
        <v>43</v>
      </c>
      <c r="F2623" s="1">
        <v>46</v>
      </c>
      <c r="G2623" t="s">
        <v>32</v>
      </c>
      <c r="H2623" t="s">
        <v>45</v>
      </c>
      <c r="I2623" t="s">
        <v>118</v>
      </c>
      <c r="J2623" t="s">
        <v>25</v>
      </c>
      <c r="K2623" s="2">
        <v>3</v>
      </c>
      <c r="L2623" t="s">
        <v>152</v>
      </c>
      <c r="M2623" t="s">
        <v>46</v>
      </c>
      <c r="N2623" t="s">
        <v>28</v>
      </c>
      <c r="O2623" t="s">
        <v>152</v>
      </c>
      <c r="P2623" t="s">
        <v>152</v>
      </c>
      <c r="Q2623" s="3">
        <v>21</v>
      </c>
      <c r="R2623" t="s">
        <v>34</v>
      </c>
      <c r="S2623" t="s">
        <v>50</v>
      </c>
    </row>
    <row r="2624" spans="1:19" x14ac:dyDescent="0.25">
      <c r="A2624">
        <v>2623</v>
      </c>
      <c r="B2624">
        <v>63</v>
      </c>
      <c r="C2624" t="s">
        <v>19</v>
      </c>
      <c r="D2624" t="s">
        <v>132</v>
      </c>
      <c r="E2624" t="s">
        <v>69</v>
      </c>
      <c r="F2624" s="1">
        <v>75</v>
      </c>
      <c r="G2624" t="s">
        <v>83</v>
      </c>
      <c r="H2624" t="s">
        <v>45</v>
      </c>
      <c r="I2624" t="s">
        <v>134</v>
      </c>
      <c r="J2624" t="s">
        <v>39</v>
      </c>
      <c r="K2624" s="2">
        <v>4.9000000000000004</v>
      </c>
      <c r="L2624" t="s">
        <v>152</v>
      </c>
      <c r="M2624" t="s">
        <v>29</v>
      </c>
      <c r="N2624" t="s">
        <v>72</v>
      </c>
      <c r="O2624" t="s">
        <v>152</v>
      </c>
      <c r="P2624" t="s">
        <v>152</v>
      </c>
      <c r="Q2624" s="3">
        <v>15</v>
      </c>
      <c r="R2624" t="s">
        <v>27</v>
      </c>
      <c r="S2624" t="s">
        <v>50</v>
      </c>
    </row>
    <row r="2625" spans="1:19" x14ac:dyDescent="0.25">
      <c r="A2625">
        <v>2624</v>
      </c>
      <c r="B2625">
        <v>49</v>
      </c>
      <c r="C2625" t="s">
        <v>19</v>
      </c>
      <c r="D2625" t="s">
        <v>73</v>
      </c>
      <c r="E2625" t="s">
        <v>43</v>
      </c>
      <c r="F2625" s="1">
        <v>76</v>
      </c>
      <c r="G2625" t="s">
        <v>37</v>
      </c>
      <c r="H2625" t="s">
        <v>45</v>
      </c>
      <c r="I2625" t="s">
        <v>81</v>
      </c>
      <c r="J2625" t="s">
        <v>58</v>
      </c>
      <c r="K2625" s="2">
        <v>4.8</v>
      </c>
      <c r="L2625" t="s">
        <v>152</v>
      </c>
      <c r="M2625" t="s">
        <v>35</v>
      </c>
      <c r="N2625" t="s">
        <v>47</v>
      </c>
      <c r="O2625" t="s">
        <v>152</v>
      </c>
      <c r="P2625" t="s">
        <v>152</v>
      </c>
      <c r="Q2625" s="3">
        <v>38</v>
      </c>
      <c r="R2625" t="s">
        <v>35</v>
      </c>
      <c r="S2625" t="s">
        <v>50</v>
      </c>
    </row>
    <row r="2626" spans="1:19" x14ac:dyDescent="0.25">
      <c r="A2626">
        <v>2625</v>
      </c>
      <c r="B2626">
        <v>19</v>
      </c>
      <c r="C2626" t="s">
        <v>19</v>
      </c>
      <c r="D2626" t="s">
        <v>82</v>
      </c>
      <c r="E2626" t="s">
        <v>21</v>
      </c>
      <c r="F2626" s="1">
        <v>59</v>
      </c>
      <c r="G2626" t="s">
        <v>147</v>
      </c>
      <c r="H2626" t="s">
        <v>45</v>
      </c>
      <c r="I2626" t="s">
        <v>126</v>
      </c>
      <c r="J2626" t="s">
        <v>54</v>
      </c>
      <c r="K2626" s="2">
        <v>3.3</v>
      </c>
      <c r="L2626" t="s">
        <v>152</v>
      </c>
      <c r="M2626" t="s">
        <v>59</v>
      </c>
      <c r="N2626" t="s">
        <v>55</v>
      </c>
      <c r="O2626" t="s">
        <v>152</v>
      </c>
      <c r="P2626" t="s">
        <v>152</v>
      </c>
      <c r="Q2626" s="3">
        <v>19</v>
      </c>
      <c r="R2626" t="s">
        <v>27</v>
      </c>
      <c r="S2626" t="s">
        <v>50</v>
      </c>
    </row>
    <row r="2627" spans="1:19" x14ac:dyDescent="0.25">
      <c r="A2627">
        <v>2626</v>
      </c>
      <c r="B2627">
        <v>30</v>
      </c>
      <c r="C2627" t="s">
        <v>19</v>
      </c>
      <c r="D2627" t="s">
        <v>87</v>
      </c>
      <c r="E2627" t="s">
        <v>21</v>
      </c>
      <c r="F2627" s="1">
        <v>51</v>
      </c>
      <c r="G2627" t="s">
        <v>112</v>
      </c>
      <c r="H2627" t="s">
        <v>23</v>
      </c>
      <c r="I2627" t="s">
        <v>109</v>
      </c>
      <c r="J2627" t="s">
        <v>54</v>
      </c>
      <c r="K2627" s="2">
        <v>2.7</v>
      </c>
      <c r="L2627" t="s">
        <v>152</v>
      </c>
      <c r="M2627" t="s">
        <v>34</v>
      </c>
      <c r="N2627" t="s">
        <v>55</v>
      </c>
      <c r="O2627" t="s">
        <v>152</v>
      </c>
      <c r="P2627" t="s">
        <v>152</v>
      </c>
      <c r="Q2627" s="3">
        <v>31</v>
      </c>
      <c r="R2627" t="s">
        <v>27</v>
      </c>
      <c r="S2627" t="s">
        <v>41</v>
      </c>
    </row>
    <row r="2628" spans="1:19" x14ac:dyDescent="0.25">
      <c r="A2628">
        <v>2627</v>
      </c>
      <c r="B2628">
        <v>50</v>
      </c>
      <c r="C2628" t="s">
        <v>19</v>
      </c>
      <c r="D2628" t="s">
        <v>102</v>
      </c>
      <c r="E2628" t="s">
        <v>65</v>
      </c>
      <c r="F2628" s="1">
        <v>46</v>
      </c>
      <c r="G2628" t="s">
        <v>44</v>
      </c>
      <c r="H2628" t="s">
        <v>92</v>
      </c>
      <c r="I2628" t="s">
        <v>67</v>
      </c>
      <c r="J2628" t="s">
        <v>58</v>
      </c>
      <c r="K2628" s="2">
        <v>4.2</v>
      </c>
      <c r="L2628" t="s">
        <v>152</v>
      </c>
      <c r="M2628" t="s">
        <v>34</v>
      </c>
      <c r="N2628" t="s">
        <v>28</v>
      </c>
      <c r="O2628" t="s">
        <v>152</v>
      </c>
      <c r="P2628" t="s">
        <v>152</v>
      </c>
      <c r="Q2628" s="3">
        <v>30</v>
      </c>
      <c r="R2628" t="s">
        <v>27</v>
      </c>
      <c r="S2628" t="s">
        <v>97</v>
      </c>
    </row>
    <row r="2629" spans="1:19" x14ac:dyDescent="0.25">
      <c r="A2629">
        <v>2628</v>
      </c>
      <c r="B2629">
        <v>66</v>
      </c>
      <c r="C2629" t="s">
        <v>19</v>
      </c>
      <c r="D2629" t="s">
        <v>56</v>
      </c>
      <c r="E2629" t="s">
        <v>21</v>
      </c>
      <c r="F2629" s="1">
        <v>26</v>
      </c>
      <c r="G2629" t="s">
        <v>70</v>
      </c>
      <c r="H2629" t="s">
        <v>23</v>
      </c>
      <c r="I2629" t="s">
        <v>67</v>
      </c>
      <c r="J2629" t="s">
        <v>58</v>
      </c>
      <c r="K2629" s="2">
        <v>3.6</v>
      </c>
      <c r="L2629" t="s">
        <v>152</v>
      </c>
      <c r="M2629" t="s">
        <v>46</v>
      </c>
      <c r="N2629" t="s">
        <v>47</v>
      </c>
      <c r="O2629" t="s">
        <v>152</v>
      </c>
      <c r="P2629" t="s">
        <v>152</v>
      </c>
      <c r="Q2629" s="3">
        <v>40</v>
      </c>
      <c r="R2629" t="s">
        <v>34</v>
      </c>
      <c r="S2629" t="s">
        <v>60</v>
      </c>
    </row>
    <row r="2630" spans="1:19" x14ac:dyDescent="0.25">
      <c r="A2630">
        <v>2629</v>
      </c>
      <c r="B2630">
        <v>25</v>
      </c>
      <c r="C2630" t="s">
        <v>19</v>
      </c>
      <c r="D2630" t="s">
        <v>104</v>
      </c>
      <c r="E2630" t="s">
        <v>21</v>
      </c>
      <c r="F2630" s="1">
        <v>51</v>
      </c>
      <c r="G2630" t="s">
        <v>52</v>
      </c>
      <c r="H2630" t="s">
        <v>45</v>
      </c>
      <c r="I2630" t="s">
        <v>67</v>
      </c>
      <c r="J2630" t="s">
        <v>54</v>
      </c>
      <c r="K2630" s="2">
        <v>3.8</v>
      </c>
      <c r="L2630" t="s">
        <v>152</v>
      </c>
      <c r="M2630" t="s">
        <v>29</v>
      </c>
      <c r="N2630" t="s">
        <v>47</v>
      </c>
      <c r="O2630" t="s">
        <v>152</v>
      </c>
      <c r="P2630" t="s">
        <v>152</v>
      </c>
      <c r="Q2630" s="3">
        <v>42</v>
      </c>
      <c r="R2630" t="s">
        <v>27</v>
      </c>
      <c r="S2630" t="s">
        <v>77</v>
      </c>
    </row>
    <row r="2631" spans="1:19" x14ac:dyDescent="0.25">
      <c r="A2631">
        <v>2630</v>
      </c>
      <c r="B2631">
        <v>61</v>
      </c>
      <c r="C2631" t="s">
        <v>19</v>
      </c>
      <c r="D2631" t="s">
        <v>119</v>
      </c>
      <c r="E2631" t="s">
        <v>69</v>
      </c>
      <c r="F2631" s="1">
        <v>44</v>
      </c>
      <c r="G2631" t="s">
        <v>83</v>
      </c>
      <c r="H2631" t="s">
        <v>45</v>
      </c>
      <c r="I2631" t="s">
        <v>100</v>
      </c>
      <c r="J2631" t="s">
        <v>25</v>
      </c>
      <c r="K2631" s="2">
        <v>3.8</v>
      </c>
      <c r="L2631" t="s">
        <v>152</v>
      </c>
      <c r="M2631" t="s">
        <v>29</v>
      </c>
      <c r="N2631" t="s">
        <v>40</v>
      </c>
      <c r="O2631" t="s">
        <v>152</v>
      </c>
      <c r="P2631" t="s">
        <v>152</v>
      </c>
      <c r="Q2631" s="3">
        <v>25</v>
      </c>
      <c r="R2631" t="s">
        <v>29</v>
      </c>
      <c r="S2631" t="s">
        <v>50</v>
      </c>
    </row>
    <row r="2632" spans="1:19" x14ac:dyDescent="0.25">
      <c r="A2632">
        <v>2631</v>
      </c>
      <c r="B2632">
        <v>29</v>
      </c>
      <c r="C2632" t="s">
        <v>19</v>
      </c>
      <c r="D2632" t="s">
        <v>87</v>
      </c>
      <c r="E2632" t="s">
        <v>21</v>
      </c>
      <c r="F2632" s="1">
        <v>82</v>
      </c>
      <c r="G2632" t="s">
        <v>32</v>
      </c>
      <c r="H2632" t="s">
        <v>38</v>
      </c>
      <c r="I2632" t="s">
        <v>71</v>
      </c>
      <c r="J2632" t="s">
        <v>39</v>
      </c>
      <c r="K2632" s="2">
        <v>4.2</v>
      </c>
      <c r="L2632" t="s">
        <v>152</v>
      </c>
      <c r="M2632" t="s">
        <v>34</v>
      </c>
      <c r="N2632" t="s">
        <v>40</v>
      </c>
      <c r="O2632" t="s">
        <v>152</v>
      </c>
      <c r="P2632" t="s">
        <v>152</v>
      </c>
      <c r="Q2632" s="3">
        <v>20</v>
      </c>
      <c r="R2632" t="s">
        <v>35</v>
      </c>
      <c r="S2632" t="s">
        <v>60</v>
      </c>
    </row>
    <row r="2633" spans="1:19" x14ac:dyDescent="0.25">
      <c r="A2633">
        <v>2632</v>
      </c>
      <c r="B2633">
        <v>53</v>
      </c>
      <c r="C2633" t="s">
        <v>19</v>
      </c>
      <c r="D2633" t="s">
        <v>87</v>
      </c>
      <c r="E2633" t="s">
        <v>21</v>
      </c>
      <c r="F2633" s="1">
        <v>44</v>
      </c>
      <c r="G2633" t="s">
        <v>139</v>
      </c>
      <c r="H2633" t="s">
        <v>38</v>
      </c>
      <c r="I2633" t="s">
        <v>84</v>
      </c>
      <c r="J2633" t="s">
        <v>54</v>
      </c>
      <c r="K2633" s="2">
        <v>2.7</v>
      </c>
      <c r="L2633" t="s">
        <v>152</v>
      </c>
      <c r="M2633" t="s">
        <v>46</v>
      </c>
      <c r="N2633" t="s">
        <v>28</v>
      </c>
      <c r="O2633" t="s">
        <v>152</v>
      </c>
      <c r="P2633" t="s">
        <v>152</v>
      </c>
      <c r="Q2633" s="3">
        <v>3</v>
      </c>
      <c r="R2633" t="s">
        <v>35</v>
      </c>
      <c r="S2633" t="s">
        <v>41</v>
      </c>
    </row>
    <row r="2634" spans="1:19" x14ac:dyDescent="0.25">
      <c r="A2634">
        <v>2633</v>
      </c>
      <c r="B2634">
        <v>24</v>
      </c>
      <c r="C2634" t="s">
        <v>19</v>
      </c>
      <c r="D2634" t="s">
        <v>119</v>
      </c>
      <c r="E2634" t="s">
        <v>69</v>
      </c>
      <c r="F2634" s="1">
        <v>27</v>
      </c>
      <c r="G2634" t="s">
        <v>120</v>
      </c>
      <c r="H2634" t="s">
        <v>45</v>
      </c>
      <c r="I2634" t="s">
        <v>94</v>
      </c>
      <c r="J2634" t="s">
        <v>58</v>
      </c>
      <c r="K2634" s="2">
        <v>5</v>
      </c>
      <c r="L2634" t="s">
        <v>152</v>
      </c>
      <c r="M2634" t="s">
        <v>29</v>
      </c>
      <c r="N2634" t="s">
        <v>47</v>
      </c>
      <c r="O2634" t="s">
        <v>152</v>
      </c>
      <c r="P2634" t="s">
        <v>152</v>
      </c>
      <c r="Q2634" s="3">
        <v>14</v>
      </c>
      <c r="R2634" t="s">
        <v>35</v>
      </c>
      <c r="S2634" t="s">
        <v>50</v>
      </c>
    </row>
    <row r="2635" spans="1:19" x14ac:dyDescent="0.25">
      <c r="A2635">
        <v>2634</v>
      </c>
      <c r="B2635">
        <v>51</v>
      </c>
      <c r="C2635" t="s">
        <v>19</v>
      </c>
      <c r="D2635" t="s">
        <v>89</v>
      </c>
      <c r="E2635" t="s">
        <v>69</v>
      </c>
      <c r="F2635" s="1">
        <v>90</v>
      </c>
      <c r="G2635" t="s">
        <v>120</v>
      </c>
      <c r="H2635" t="s">
        <v>45</v>
      </c>
      <c r="I2635" t="s">
        <v>75</v>
      </c>
      <c r="J2635" t="s">
        <v>58</v>
      </c>
      <c r="K2635" s="2">
        <v>4.7</v>
      </c>
      <c r="L2635" t="s">
        <v>152</v>
      </c>
      <c r="M2635" t="s">
        <v>46</v>
      </c>
      <c r="N2635" t="s">
        <v>47</v>
      </c>
      <c r="O2635" t="s">
        <v>152</v>
      </c>
      <c r="P2635" t="s">
        <v>152</v>
      </c>
      <c r="Q2635" s="3">
        <v>32</v>
      </c>
      <c r="R2635" t="s">
        <v>27</v>
      </c>
      <c r="S2635" t="s">
        <v>30</v>
      </c>
    </row>
    <row r="2636" spans="1:19" x14ac:dyDescent="0.25">
      <c r="A2636">
        <v>2635</v>
      </c>
      <c r="B2636">
        <v>26</v>
      </c>
      <c r="C2636" t="s">
        <v>19</v>
      </c>
      <c r="D2636" t="s">
        <v>42</v>
      </c>
      <c r="E2636" t="s">
        <v>43</v>
      </c>
      <c r="F2636" s="1">
        <v>58</v>
      </c>
      <c r="G2636" t="s">
        <v>98</v>
      </c>
      <c r="H2636" t="s">
        <v>38</v>
      </c>
      <c r="I2636" t="s">
        <v>94</v>
      </c>
      <c r="J2636" t="s">
        <v>54</v>
      </c>
      <c r="K2636" s="2">
        <v>3.2</v>
      </c>
      <c r="L2636" t="s">
        <v>152</v>
      </c>
      <c r="M2636" t="s">
        <v>35</v>
      </c>
      <c r="N2636" t="s">
        <v>76</v>
      </c>
      <c r="O2636" t="s">
        <v>152</v>
      </c>
      <c r="P2636" t="s">
        <v>152</v>
      </c>
      <c r="Q2636" s="3">
        <v>20</v>
      </c>
      <c r="R2636" t="s">
        <v>46</v>
      </c>
      <c r="S2636" t="s">
        <v>97</v>
      </c>
    </row>
    <row r="2637" spans="1:19" x14ac:dyDescent="0.25">
      <c r="A2637">
        <v>2636</v>
      </c>
      <c r="B2637">
        <v>59</v>
      </c>
      <c r="C2637" t="s">
        <v>19</v>
      </c>
      <c r="D2637" t="s">
        <v>104</v>
      </c>
      <c r="E2637" t="s">
        <v>21</v>
      </c>
      <c r="F2637" s="1">
        <v>80</v>
      </c>
      <c r="G2637" t="s">
        <v>112</v>
      </c>
      <c r="H2637" t="s">
        <v>92</v>
      </c>
      <c r="I2637" t="s">
        <v>100</v>
      </c>
      <c r="J2637" t="s">
        <v>39</v>
      </c>
      <c r="K2637" s="2">
        <v>2.9</v>
      </c>
      <c r="L2637" t="s">
        <v>152</v>
      </c>
      <c r="M2637" t="s">
        <v>46</v>
      </c>
      <c r="N2637" t="s">
        <v>72</v>
      </c>
      <c r="O2637" t="s">
        <v>152</v>
      </c>
      <c r="P2637" t="s">
        <v>152</v>
      </c>
      <c r="Q2637" s="3">
        <v>34</v>
      </c>
      <c r="R2637" t="s">
        <v>46</v>
      </c>
      <c r="S2637" t="s">
        <v>30</v>
      </c>
    </row>
    <row r="2638" spans="1:19" x14ac:dyDescent="0.25">
      <c r="A2638">
        <v>2637</v>
      </c>
      <c r="B2638">
        <v>41</v>
      </c>
      <c r="C2638" t="s">
        <v>19</v>
      </c>
      <c r="D2638" t="s">
        <v>102</v>
      </c>
      <c r="E2638" t="s">
        <v>65</v>
      </c>
      <c r="F2638" s="1">
        <v>40</v>
      </c>
      <c r="G2638" t="s">
        <v>140</v>
      </c>
      <c r="H2638" t="s">
        <v>38</v>
      </c>
      <c r="I2638" t="s">
        <v>136</v>
      </c>
      <c r="J2638" t="s">
        <v>25</v>
      </c>
      <c r="K2638" s="2">
        <v>4.2</v>
      </c>
      <c r="L2638" t="s">
        <v>152</v>
      </c>
      <c r="M2638" t="s">
        <v>46</v>
      </c>
      <c r="N2638" t="s">
        <v>76</v>
      </c>
      <c r="O2638" t="s">
        <v>152</v>
      </c>
      <c r="P2638" t="s">
        <v>152</v>
      </c>
      <c r="Q2638" s="3">
        <v>6</v>
      </c>
      <c r="R2638" t="s">
        <v>29</v>
      </c>
      <c r="S2638" t="s">
        <v>50</v>
      </c>
    </row>
    <row r="2639" spans="1:19" x14ac:dyDescent="0.25">
      <c r="A2639">
        <v>2638</v>
      </c>
      <c r="B2639">
        <v>20</v>
      </c>
      <c r="C2639" t="s">
        <v>19</v>
      </c>
      <c r="D2639" t="s">
        <v>95</v>
      </c>
      <c r="E2639" t="s">
        <v>21</v>
      </c>
      <c r="F2639" s="1">
        <v>23</v>
      </c>
      <c r="G2639" t="s">
        <v>90</v>
      </c>
      <c r="H2639" t="s">
        <v>45</v>
      </c>
      <c r="I2639" t="s">
        <v>136</v>
      </c>
      <c r="J2639" t="s">
        <v>39</v>
      </c>
      <c r="K2639" s="2">
        <v>3.7</v>
      </c>
      <c r="L2639" t="s">
        <v>152</v>
      </c>
      <c r="M2639" t="s">
        <v>27</v>
      </c>
      <c r="N2639" t="s">
        <v>76</v>
      </c>
      <c r="O2639" t="s">
        <v>152</v>
      </c>
      <c r="P2639" t="s">
        <v>152</v>
      </c>
      <c r="Q2639" s="3">
        <v>2</v>
      </c>
      <c r="R2639" t="s">
        <v>46</v>
      </c>
      <c r="S2639" t="s">
        <v>50</v>
      </c>
    </row>
    <row r="2640" spans="1:19" x14ac:dyDescent="0.25">
      <c r="A2640">
        <v>2639</v>
      </c>
      <c r="B2640">
        <v>22</v>
      </c>
      <c r="C2640" t="s">
        <v>19</v>
      </c>
      <c r="D2640" t="s">
        <v>56</v>
      </c>
      <c r="E2640" t="s">
        <v>21</v>
      </c>
      <c r="F2640" s="1">
        <v>34</v>
      </c>
      <c r="G2640" t="s">
        <v>78</v>
      </c>
      <c r="H2640" t="s">
        <v>38</v>
      </c>
      <c r="I2640" t="s">
        <v>94</v>
      </c>
      <c r="J2640" t="s">
        <v>39</v>
      </c>
      <c r="K2640" s="2">
        <v>4.2</v>
      </c>
      <c r="L2640" t="s">
        <v>152</v>
      </c>
      <c r="M2640" t="s">
        <v>46</v>
      </c>
      <c r="N2640" t="s">
        <v>76</v>
      </c>
      <c r="O2640" t="s">
        <v>152</v>
      </c>
      <c r="P2640" t="s">
        <v>152</v>
      </c>
      <c r="Q2640" s="3">
        <v>35</v>
      </c>
      <c r="R2640" t="s">
        <v>27</v>
      </c>
      <c r="S2640" t="s">
        <v>50</v>
      </c>
    </row>
    <row r="2641" spans="1:19" x14ac:dyDescent="0.25">
      <c r="A2641">
        <v>2640</v>
      </c>
      <c r="B2641">
        <v>18</v>
      </c>
      <c r="C2641" t="s">
        <v>19</v>
      </c>
      <c r="D2641" t="s">
        <v>20</v>
      </c>
      <c r="E2641" t="s">
        <v>21</v>
      </c>
      <c r="F2641" s="1">
        <v>35</v>
      </c>
      <c r="G2641" t="s">
        <v>83</v>
      </c>
      <c r="H2641" t="s">
        <v>92</v>
      </c>
      <c r="I2641" t="s">
        <v>71</v>
      </c>
      <c r="J2641" t="s">
        <v>25</v>
      </c>
      <c r="K2641" s="2">
        <v>2.6</v>
      </c>
      <c r="L2641" t="s">
        <v>152</v>
      </c>
      <c r="M2641" t="s">
        <v>59</v>
      </c>
      <c r="N2641" t="s">
        <v>40</v>
      </c>
      <c r="O2641" t="s">
        <v>152</v>
      </c>
      <c r="P2641" t="s">
        <v>152</v>
      </c>
      <c r="Q2641" s="3">
        <v>33</v>
      </c>
      <c r="R2641" t="s">
        <v>59</v>
      </c>
      <c r="S2641" t="s">
        <v>60</v>
      </c>
    </row>
    <row r="2642" spans="1:19" x14ac:dyDescent="0.25">
      <c r="A2642">
        <v>2641</v>
      </c>
      <c r="B2642">
        <v>30</v>
      </c>
      <c r="C2642" t="s">
        <v>19</v>
      </c>
      <c r="D2642" t="s">
        <v>87</v>
      </c>
      <c r="E2642" t="s">
        <v>21</v>
      </c>
      <c r="F2642" s="1">
        <v>75</v>
      </c>
      <c r="G2642" t="s">
        <v>116</v>
      </c>
      <c r="H2642" t="s">
        <v>23</v>
      </c>
      <c r="I2642" t="s">
        <v>79</v>
      </c>
      <c r="J2642" t="s">
        <v>54</v>
      </c>
      <c r="K2642" s="2">
        <v>4</v>
      </c>
      <c r="L2642" t="s">
        <v>152</v>
      </c>
      <c r="M2642" t="s">
        <v>59</v>
      </c>
      <c r="N2642" t="s">
        <v>76</v>
      </c>
      <c r="O2642" t="s">
        <v>152</v>
      </c>
      <c r="P2642" t="s">
        <v>152</v>
      </c>
      <c r="Q2642" s="3">
        <v>45</v>
      </c>
      <c r="R2642" t="s">
        <v>29</v>
      </c>
      <c r="S2642" t="s">
        <v>77</v>
      </c>
    </row>
    <row r="2643" spans="1:19" x14ac:dyDescent="0.25">
      <c r="A2643">
        <v>2642</v>
      </c>
      <c r="B2643">
        <v>25</v>
      </c>
      <c r="C2643" t="s">
        <v>19</v>
      </c>
      <c r="D2643" t="s">
        <v>89</v>
      </c>
      <c r="E2643" t="s">
        <v>69</v>
      </c>
      <c r="F2643" s="1">
        <v>60</v>
      </c>
      <c r="G2643" t="s">
        <v>129</v>
      </c>
      <c r="H2643" t="s">
        <v>92</v>
      </c>
      <c r="I2643" t="s">
        <v>79</v>
      </c>
      <c r="J2643" t="s">
        <v>25</v>
      </c>
      <c r="K2643" s="2">
        <v>2.7</v>
      </c>
      <c r="L2643" t="s">
        <v>152</v>
      </c>
      <c r="M2643" t="s">
        <v>59</v>
      </c>
      <c r="N2643" t="s">
        <v>47</v>
      </c>
      <c r="O2643" t="s">
        <v>152</v>
      </c>
      <c r="P2643" t="s">
        <v>152</v>
      </c>
      <c r="Q2643" s="3">
        <v>20</v>
      </c>
      <c r="R2643" t="s">
        <v>34</v>
      </c>
      <c r="S2643" t="s">
        <v>97</v>
      </c>
    </row>
    <row r="2644" spans="1:19" x14ac:dyDescent="0.25">
      <c r="A2644">
        <v>2643</v>
      </c>
      <c r="B2644">
        <v>39</v>
      </c>
      <c r="C2644" t="s">
        <v>19</v>
      </c>
      <c r="D2644" t="s">
        <v>133</v>
      </c>
      <c r="E2644" t="s">
        <v>69</v>
      </c>
      <c r="F2644" s="1">
        <v>87</v>
      </c>
      <c r="G2644" t="s">
        <v>146</v>
      </c>
      <c r="H2644" t="s">
        <v>23</v>
      </c>
      <c r="I2644" t="s">
        <v>100</v>
      </c>
      <c r="J2644" t="s">
        <v>54</v>
      </c>
      <c r="K2644" s="2">
        <v>4</v>
      </c>
      <c r="L2644" t="s">
        <v>152</v>
      </c>
      <c r="M2644" t="s">
        <v>59</v>
      </c>
      <c r="N2644" t="s">
        <v>76</v>
      </c>
      <c r="O2644" t="s">
        <v>152</v>
      </c>
      <c r="P2644" t="s">
        <v>152</v>
      </c>
      <c r="Q2644" s="3">
        <v>48</v>
      </c>
      <c r="R2644" t="s">
        <v>34</v>
      </c>
      <c r="S2644" t="s">
        <v>50</v>
      </c>
    </row>
    <row r="2645" spans="1:19" x14ac:dyDescent="0.25">
      <c r="A2645">
        <v>2644</v>
      </c>
      <c r="B2645">
        <v>49</v>
      </c>
      <c r="C2645" t="s">
        <v>19</v>
      </c>
      <c r="D2645" t="s">
        <v>143</v>
      </c>
      <c r="E2645" t="s">
        <v>69</v>
      </c>
      <c r="F2645" s="1">
        <v>41</v>
      </c>
      <c r="G2645" t="s">
        <v>128</v>
      </c>
      <c r="H2645" t="s">
        <v>38</v>
      </c>
      <c r="I2645" t="s">
        <v>67</v>
      </c>
      <c r="J2645" t="s">
        <v>39</v>
      </c>
      <c r="K2645" s="2">
        <v>2.9</v>
      </c>
      <c r="L2645" t="s">
        <v>152</v>
      </c>
      <c r="M2645" t="s">
        <v>27</v>
      </c>
      <c r="N2645" t="s">
        <v>47</v>
      </c>
      <c r="O2645" t="s">
        <v>152</v>
      </c>
      <c r="P2645" t="s">
        <v>152</v>
      </c>
      <c r="Q2645" s="3">
        <v>37</v>
      </c>
      <c r="R2645" t="s">
        <v>35</v>
      </c>
      <c r="S2645" t="s">
        <v>88</v>
      </c>
    </row>
    <row r="2646" spans="1:19" x14ac:dyDescent="0.25">
      <c r="A2646">
        <v>2645</v>
      </c>
      <c r="B2646">
        <v>25</v>
      </c>
      <c r="C2646" t="s">
        <v>19</v>
      </c>
      <c r="D2646" t="s">
        <v>95</v>
      </c>
      <c r="E2646" t="s">
        <v>21</v>
      </c>
      <c r="F2646" s="1">
        <v>83</v>
      </c>
      <c r="G2646" t="s">
        <v>130</v>
      </c>
      <c r="H2646" t="s">
        <v>45</v>
      </c>
      <c r="I2646" t="s">
        <v>49</v>
      </c>
      <c r="J2646" t="s">
        <v>39</v>
      </c>
      <c r="K2646" s="2">
        <v>3.3</v>
      </c>
      <c r="L2646" t="s">
        <v>152</v>
      </c>
      <c r="M2646" t="s">
        <v>46</v>
      </c>
      <c r="N2646" t="s">
        <v>55</v>
      </c>
      <c r="O2646" t="s">
        <v>152</v>
      </c>
      <c r="P2646" t="s">
        <v>152</v>
      </c>
      <c r="Q2646" s="3">
        <v>4</v>
      </c>
      <c r="R2646" t="s">
        <v>34</v>
      </c>
      <c r="S2646" t="s">
        <v>97</v>
      </c>
    </row>
    <row r="2647" spans="1:19" x14ac:dyDescent="0.25">
      <c r="A2647">
        <v>2646</v>
      </c>
      <c r="B2647">
        <v>23</v>
      </c>
      <c r="C2647" t="s">
        <v>19</v>
      </c>
      <c r="D2647" t="s">
        <v>119</v>
      </c>
      <c r="E2647" t="s">
        <v>69</v>
      </c>
      <c r="F2647" s="1">
        <v>81</v>
      </c>
      <c r="G2647" t="s">
        <v>62</v>
      </c>
      <c r="H2647" t="s">
        <v>23</v>
      </c>
      <c r="I2647" t="s">
        <v>79</v>
      </c>
      <c r="J2647" t="s">
        <v>39</v>
      </c>
      <c r="K2647" s="2">
        <v>4</v>
      </c>
      <c r="L2647" t="s">
        <v>152</v>
      </c>
      <c r="M2647" t="s">
        <v>34</v>
      </c>
      <c r="N2647" t="s">
        <v>76</v>
      </c>
      <c r="O2647" t="s">
        <v>152</v>
      </c>
      <c r="P2647" t="s">
        <v>152</v>
      </c>
      <c r="Q2647" s="3">
        <v>24</v>
      </c>
      <c r="R2647" t="s">
        <v>34</v>
      </c>
      <c r="S2647" t="s">
        <v>77</v>
      </c>
    </row>
    <row r="2648" spans="1:19" x14ac:dyDescent="0.25">
      <c r="A2648">
        <v>2647</v>
      </c>
      <c r="B2648">
        <v>33</v>
      </c>
      <c r="C2648" t="s">
        <v>19</v>
      </c>
      <c r="D2648" t="s">
        <v>113</v>
      </c>
      <c r="E2648" t="s">
        <v>21</v>
      </c>
      <c r="F2648" s="1">
        <v>56</v>
      </c>
      <c r="G2648" t="s">
        <v>130</v>
      </c>
      <c r="H2648" t="s">
        <v>38</v>
      </c>
      <c r="I2648" t="s">
        <v>93</v>
      </c>
      <c r="J2648" t="s">
        <v>54</v>
      </c>
      <c r="K2648" s="2">
        <v>3.9</v>
      </c>
      <c r="L2648" t="s">
        <v>152</v>
      </c>
      <c r="M2648" t="s">
        <v>35</v>
      </c>
      <c r="N2648" t="s">
        <v>47</v>
      </c>
      <c r="O2648" t="s">
        <v>152</v>
      </c>
      <c r="P2648" t="s">
        <v>152</v>
      </c>
      <c r="Q2648" s="3">
        <v>4</v>
      </c>
      <c r="R2648" t="s">
        <v>59</v>
      </c>
      <c r="S2648" t="s">
        <v>97</v>
      </c>
    </row>
    <row r="2649" spans="1:19" x14ac:dyDescent="0.25">
      <c r="A2649">
        <v>2648</v>
      </c>
      <c r="B2649">
        <v>60</v>
      </c>
      <c r="C2649" t="s">
        <v>19</v>
      </c>
      <c r="D2649" t="s">
        <v>73</v>
      </c>
      <c r="E2649" t="s">
        <v>43</v>
      </c>
      <c r="F2649" s="1">
        <v>58</v>
      </c>
      <c r="G2649" t="s">
        <v>131</v>
      </c>
      <c r="H2649" t="s">
        <v>45</v>
      </c>
      <c r="I2649" t="s">
        <v>108</v>
      </c>
      <c r="J2649" t="s">
        <v>54</v>
      </c>
      <c r="K2649" s="2">
        <v>3.3</v>
      </c>
      <c r="L2649" t="s">
        <v>152</v>
      </c>
      <c r="M2649" t="s">
        <v>59</v>
      </c>
      <c r="N2649" t="s">
        <v>72</v>
      </c>
      <c r="O2649" t="s">
        <v>152</v>
      </c>
      <c r="P2649" t="s">
        <v>152</v>
      </c>
      <c r="Q2649" s="3">
        <v>25</v>
      </c>
      <c r="R2649" t="s">
        <v>59</v>
      </c>
      <c r="S2649" t="s">
        <v>50</v>
      </c>
    </row>
    <row r="2650" spans="1:19" x14ac:dyDescent="0.25">
      <c r="A2650">
        <v>2649</v>
      </c>
      <c r="B2650">
        <v>51</v>
      </c>
      <c r="C2650" t="s">
        <v>19</v>
      </c>
      <c r="D2650" t="s">
        <v>95</v>
      </c>
      <c r="E2650" t="s">
        <v>21</v>
      </c>
      <c r="F2650" s="1">
        <v>84</v>
      </c>
      <c r="G2650" t="s">
        <v>115</v>
      </c>
      <c r="H2650" t="s">
        <v>45</v>
      </c>
      <c r="I2650" t="s">
        <v>24</v>
      </c>
      <c r="J2650" t="s">
        <v>39</v>
      </c>
      <c r="K2650" s="2">
        <v>3.9</v>
      </c>
      <c r="L2650" t="s">
        <v>152</v>
      </c>
      <c r="M2650" t="s">
        <v>29</v>
      </c>
      <c r="N2650" t="s">
        <v>47</v>
      </c>
      <c r="O2650" t="s">
        <v>152</v>
      </c>
      <c r="P2650" t="s">
        <v>152</v>
      </c>
      <c r="Q2650" s="3">
        <v>14</v>
      </c>
      <c r="R2650" t="s">
        <v>46</v>
      </c>
      <c r="S2650" t="s">
        <v>77</v>
      </c>
    </row>
    <row r="2651" spans="1:19" x14ac:dyDescent="0.25">
      <c r="A2651">
        <v>2650</v>
      </c>
      <c r="B2651">
        <v>23</v>
      </c>
      <c r="C2651" t="s">
        <v>19</v>
      </c>
      <c r="D2651" t="s">
        <v>143</v>
      </c>
      <c r="E2651" t="s">
        <v>69</v>
      </c>
      <c r="F2651" s="1">
        <v>21</v>
      </c>
      <c r="G2651" t="s">
        <v>148</v>
      </c>
      <c r="H2651" t="s">
        <v>45</v>
      </c>
      <c r="I2651" t="s">
        <v>136</v>
      </c>
      <c r="J2651" t="s">
        <v>58</v>
      </c>
      <c r="K2651" s="2">
        <v>3.9</v>
      </c>
      <c r="L2651" t="s">
        <v>152</v>
      </c>
      <c r="M2651" t="s">
        <v>27</v>
      </c>
      <c r="N2651" t="s">
        <v>76</v>
      </c>
      <c r="O2651" t="s">
        <v>152</v>
      </c>
      <c r="P2651" t="s">
        <v>152</v>
      </c>
      <c r="Q2651" s="3">
        <v>14</v>
      </c>
      <c r="R2651" t="s">
        <v>34</v>
      </c>
      <c r="S2651" t="s">
        <v>30</v>
      </c>
    </row>
    <row r="2652" spans="1:19" x14ac:dyDescent="0.25">
      <c r="A2652">
        <v>2651</v>
      </c>
      <c r="B2652">
        <v>20</v>
      </c>
      <c r="C2652" t="s">
        <v>19</v>
      </c>
      <c r="D2652" t="s">
        <v>125</v>
      </c>
      <c r="E2652" t="s">
        <v>21</v>
      </c>
      <c r="F2652" s="1">
        <v>35</v>
      </c>
      <c r="G2652" t="s">
        <v>48</v>
      </c>
      <c r="H2652" t="s">
        <v>23</v>
      </c>
      <c r="I2652" t="s">
        <v>33</v>
      </c>
      <c r="J2652" t="s">
        <v>54</v>
      </c>
      <c r="K2652" s="2">
        <v>4.2</v>
      </c>
      <c r="L2652" t="s">
        <v>152</v>
      </c>
      <c r="M2652" t="s">
        <v>46</v>
      </c>
      <c r="N2652" t="s">
        <v>55</v>
      </c>
      <c r="O2652" t="s">
        <v>152</v>
      </c>
      <c r="P2652" t="s">
        <v>152</v>
      </c>
      <c r="Q2652" s="3">
        <v>46</v>
      </c>
      <c r="R2652" t="s">
        <v>27</v>
      </c>
      <c r="S2652" t="s">
        <v>97</v>
      </c>
    </row>
    <row r="2653" spans="1:19" x14ac:dyDescent="0.25">
      <c r="A2653">
        <v>2652</v>
      </c>
      <c r="B2653">
        <v>51</v>
      </c>
      <c r="C2653" t="s">
        <v>19</v>
      </c>
      <c r="D2653" t="s">
        <v>51</v>
      </c>
      <c r="E2653" t="s">
        <v>43</v>
      </c>
      <c r="F2653" s="1">
        <v>43</v>
      </c>
      <c r="G2653" t="s">
        <v>122</v>
      </c>
      <c r="H2653" t="s">
        <v>45</v>
      </c>
      <c r="I2653" t="s">
        <v>109</v>
      </c>
      <c r="J2653" t="s">
        <v>54</v>
      </c>
      <c r="K2653" s="2">
        <v>4.5999999999999996</v>
      </c>
      <c r="L2653" t="s">
        <v>152</v>
      </c>
      <c r="M2653" t="s">
        <v>29</v>
      </c>
      <c r="N2653" t="s">
        <v>76</v>
      </c>
      <c r="O2653" t="s">
        <v>152</v>
      </c>
      <c r="P2653" t="s">
        <v>152</v>
      </c>
      <c r="Q2653" s="3">
        <v>27</v>
      </c>
      <c r="R2653" t="s">
        <v>46</v>
      </c>
      <c r="S2653" t="s">
        <v>60</v>
      </c>
    </row>
    <row r="2654" spans="1:19" x14ac:dyDescent="0.25">
      <c r="A2654">
        <v>2653</v>
      </c>
      <c r="B2654">
        <v>23</v>
      </c>
      <c r="C2654" t="s">
        <v>153</v>
      </c>
      <c r="D2654" t="s">
        <v>61</v>
      </c>
      <c r="E2654" t="s">
        <v>21</v>
      </c>
      <c r="F2654" s="1">
        <v>20</v>
      </c>
      <c r="G2654" t="s">
        <v>128</v>
      </c>
      <c r="H2654" t="s">
        <v>23</v>
      </c>
      <c r="I2654" t="s">
        <v>109</v>
      </c>
      <c r="J2654" t="s">
        <v>54</v>
      </c>
      <c r="K2654" s="2">
        <v>3.3</v>
      </c>
      <c r="L2654" t="s">
        <v>152</v>
      </c>
      <c r="M2654" t="s">
        <v>59</v>
      </c>
      <c r="N2654" t="s">
        <v>72</v>
      </c>
      <c r="O2654" t="s">
        <v>152</v>
      </c>
      <c r="P2654" t="s">
        <v>152</v>
      </c>
      <c r="Q2654" s="3">
        <v>46</v>
      </c>
      <c r="R2654" t="s">
        <v>27</v>
      </c>
      <c r="S2654" t="s">
        <v>88</v>
      </c>
    </row>
    <row r="2655" spans="1:19" x14ac:dyDescent="0.25">
      <c r="A2655">
        <v>2654</v>
      </c>
      <c r="B2655">
        <v>67</v>
      </c>
      <c r="C2655" t="s">
        <v>153</v>
      </c>
      <c r="D2655" t="s">
        <v>20</v>
      </c>
      <c r="E2655" t="s">
        <v>21</v>
      </c>
      <c r="F2655" s="1">
        <v>36</v>
      </c>
      <c r="G2655" t="s">
        <v>150</v>
      </c>
      <c r="H2655" t="s">
        <v>23</v>
      </c>
      <c r="I2655" t="s">
        <v>93</v>
      </c>
      <c r="J2655" t="s">
        <v>58</v>
      </c>
      <c r="K2655" s="2">
        <v>4.8</v>
      </c>
      <c r="L2655" t="s">
        <v>152</v>
      </c>
      <c r="M2655" t="s">
        <v>27</v>
      </c>
      <c r="N2655" t="s">
        <v>28</v>
      </c>
      <c r="O2655" t="s">
        <v>152</v>
      </c>
      <c r="P2655" t="s">
        <v>152</v>
      </c>
      <c r="Q2655" s="3">
        <v>24</v>
      </c>
      <c r="R2655" t="s">
        <v>29</v>
      </c>
      <c r="S2655" t="s">
        <v>97</v>
      </c>
    </row>
    <row r="2656" spans="1:19" x14ac:dyDescent="0.25">
      <c r="A2656">
        <v>2655</v>
      </c>
      <c r="B2656">
        <v>23</v>
      </c>
      <c r="C2656" t="s">
        <v>153</v>
      </c>
      <c r="D2656" t="s">
        <v>64</v>
      </c>
      <c r="E2656" t="s">
        <v>65</v>
      </c>
      <c r="F2656" s="1">
        <v>70</v>
      </c>
      <c r="G2656" t="s">
        <v>135</v>
      </c>
      <c r="H2656" t="s">
        <v>38</v>
      </c>
      <c r="I2656" t="s">
        <v>71</v>
      </c>
      <c r="J2656" t="s">
        <v>58</v>
      </c>
      <c r="K2656" s="2">
        <v>4.0999999999999996</v>
      </c>
      <c r="L2656" t="s">
        <v>152</v>
      </c>
      <c r="M2656" t="s">
        <v>59</v>
      </c>
      <c r="N2656" t="s">
        <v>47</v>
      </c>
      <c r="O2656" t="s">
        <v>152</v>
      </c>
      <c r="P2656" t="s">
        <v>152</v>
      </c>
      <c r="Q2656" s="3">
        <v>4</v>
      </c>
      <c r="R2656" t="s">
        <v>46</v>
      </c>
      <c r="S2656" t="s">
        <v>50</v>
      </c>
    </row>
    <row r="2657" spans="1:19" x14ac:dyDescent="0.25">
      <c r="A2657">
        <v>2656</v>
      </c>
      <c r="B2657">
        <v>26</v>
      </c>
      <c r="C2657" t="s">
        <v>153</v>
      </c>
      <c r="D2657" t="s">
        <v>89</v>
      </c>
      <c r="E2657" t="s">
        <v>69</v>
      </c>
      <c r="F2657" s="1">
        <v>83</v>
      </c>
      <c r="G2657" t="s">
        <v>52</v>
      </c>
      <c r="H2657" t="s">
        <v>45</v>
      </c>
      <c r="I2657" t="s">
        <v>24</v>
      </c>
      <c r="J2657" t="s">
        <v>54</v>
      </c>
      <c r="K2657" s="2">
        <v>3.4</v>
      </c>
      <c r="L2657" t="s">
        <v>152</v>
      </c>
      <c r="M2657" t="s">
        <v>27</v>
      </c>
      <c r="N2657" t="s">
        <v>55</v>
      </c>
      <c r="O2657" t="s">
        <v>152</v>
      </c>
      <c r="P2657" t="s">
        <v>152</v>
      </c>
      <c r="Q2657" s="3">
        <v>2</v>
      </c>
      <c r="R2657" t="s">
        <v>27</v>
      </c>
      <c r="S2657" t="s">
        <v>30</v>
      </c>
    </row>
    <row r="2658" spans="1:19" x14ac:dyDescent="0.25">
      <c r="A2658">
        <v>2657</v>
      </c>
      <c r="B2658">
        <v>52</v>
      </c>
      <c r="C2658" t="s">
        <v>153</v>
      </c>
      <c r="D2658" t="s">
        <v>61</v>
      </c>
      <c r="E2658" t="s">
        <v>21</v>
      </c>
      <c r="F2658" s="1">
        <v>76</v>
      </c>
      <c r="G2658" t="s">
        <v>116</v>
      </c>
      <c r="H2658" t="s">
        <v>23</v>
      </c>
      <c r="I2658" t="s">
        <v>134</v>
      </c>
      <c r="J2658" t="s">
        <v>25</v>
      </c>
      <c r="K2658" s="2">
        <v>3.6</v>
      </c>
      <c r="L2658" t="s">
        <v>152</v>
      </c>
      <c r="M2658" t="s">
        <v>34</v>
      </c>
      <c r="N2658" t="s">
        <v>28</v>
      </c>
      <c r="O2658" t="s">
        <v>152</v>
      </c>
      <c r="P2658" t="s">
        <v>152</v>
      </c>
      <c r="Q2658" s="3">
        <v>29</v>
      </c>
      <c r="R2658" t="s">
        <v>34</v>
      </c>
      <c r="S2658" t="s">
        <v>30</v>
      </c>
    </row>
    <row r="2659" spans="1:19" x14ac:dyDescent="0.25">
      <c r="A2659">
        <v>2658</v>
      </c>
      <c r="B2659">
        <v>52</v>
      </c>
      <c r="C2659" t="s">
        <v>153</v>
      </c>
      <c r="D2659" t="s">
        <v>82</v>
      </c>
      <c r="E2659" t="s">
        <v>21</v>
      </c>
      <c r="F2659" s="1">
        <v>81</v>
      </c>
      <c r="G2659" t="s">
        <v>105</v>
      </c>
      <c r="H2659" t="s">
        <v>45</v>
      </c>
      <c r="I2659" t="s">
        <v>71</v>
      </c>
      <c r="J2659" t="s">
        <v>54</v>
      </c>
      <c r="K2659" s="2">
        <v>2.7</v>
      </c>
      <c r="L2659" t="s">
        <v>152</v>
      </c>
      <c r="M2659" t="s">
        <v>46</v>
      </c>
      <c r="N2659" t="s">
        <v>28</v>
      </c>
      <c r="O2659" t="s">
        <v>152</v>
      </c>
      <c r="P2659" t="s">
        <v>152</v>
      </c>
      <c r="Q2659" s="3">
        <v>7</v>
      </c>
      <c r="R2659" t="s">
        <v>27</v>
      </c>
      <c r="S2659" t="s">
        <v>30</v>
      </c>
    </row>
    <row r="2660" spans="1:19" x14ac:dyDescent="0.25">
      <c r="A2660">
        <v>2659</v>
      </c>
      <c r="B2660">
        <v>52</v>
      </c>
      <c r="C2660" t="s">
        <v>153</v>
      </c>
      <c r="D2660" t="s">
        <v>68</v>
      </c>
      <c r="E2660" t="s">
        <v>69</v>
      </c>
      <c r="F2660" s="1">
        <v>47</v>
      </c>
      <c r="G2660" t="s">
        <v>123</v>
      </c>
      <c r="H2660" t="s">
        <v>92</v>
      </c>
      <c r="I2660" t="s">
        <v>126</v>
      </c>
      <c r="J2660" t="s">
        <v>54</v>
      </c>
      <c r="K2660" s="2">
        <v>3.2</v>
      </c>
      <c r="L2660" t="s">
        <v>152</v>
      </c>
      <c r="M2660" t="s">
        <v>34</v>
      </c>
      <c r="N2660" t="s">
        <v>47</v>
      </c>
      <c r="O2660" t="s">
        <v>152</v>
      </c>
      <c r="P2660" t="s">
        <v>152</v>
      </c>
      <c r="Q2660" s="3">
        <v>39</v>
      </c>
      <c r="R2660" t="s">
        <v>46</v>
      </c>
      <c r="S2660" t="s">
        <v>88</v>
      </c>
    </row>
    <row r="2661" spans="1:19" x14ac:dyDescent="0.25">
      <c r="A2661">
        <v>2660</v>
      </c>
      <c r="B2661">
        <v>35</v>
      </c>
      <c r="C2661" t="s">
        <v>153</v>
      </c>
      <c r="D2661" t="s">
        <v>137</v>
      </c>
      <c r="E2661" t="s">
        <v>43</v>
      </c>
      <c r="F2661" s="1">
        <v>35</v>
      </c>
      <c r="G2661" t="s">
        <v>111</v>
      </c>
      <c r="H2661" t="s">
        <v>23</v>
      </c>
      <c r="I2661" t="s">
        <v>24</v>
      </c>
      <c r="J2661" t="s">
        <v>54</v>
      </c>
      <c r="K2661" s="2">
        <v>4.4000000000000004</v>
      </c>
      <c r="L2661" t="s">
        <v>152</v>
      </c>
      <c r="M2661" t="s">
        <v>34</v>
      </c>
      <c r="N2661" t="s">
        <v>72</v>
      </c>
      <c r="O2661" t="s">
        <v>152</v>
      </c>
      <c r="P2661" t="s">
        <v>152</v>
      </c>
      <c r="Q2661" s="3">
        <v>46</v>
      </c>
      <c r="R2661" t="s">
        <v>27</v>
      </c>
      <c r="S2661" t="s">
        <v>30</v>
      </c>
    </row>
    <row r="2662" spans="1:19" x14ac:dyDescent="0.25">
      <c r="A2662">
        <v>2661</v>
      </c>
      <c r="B2662">
        <v>24</v>
      </c>
      <c r="C2662" t="s">
        <v>153</v>
      </c>
      <c r="D2662" t="s">
        <v>95</v>
      </c>
      <c r="E2662" t="s">
        <v>21</v>
      </c>
      <c r="F2662" s="1">
        <v>85</v>
      </c>
      <c r="G2662" t="s">
        <v>131</v>
      </c>
      <c r="H2662" t="s">
        <v>23</v>
      </c>
      <c r="I2662" t="s">
        <v>134</v>
      </c>
      <c r="J2662" t="s">
        <v>39</v>
      </c>
      <c r="K2662" s="2">
        <v>4.9000000000000004</v>
      </c>
      <c r="L2662" t="s">
        <v>152</v>
      </c>
      <c r="M2662" t="s">
        <v>59</v>
      </c>
      <c r="N2662" t="s">
        <v>28</v>
      </c>
      <c r="O2662" t="s">
        <v>152</v>
      </c>
      <c r="P2662" t="s">
        <v>152</v>
      </c>
      <c r="Q2662" s="3">
        <v>44</v>
      </c>
      <c r="R2662" t="s">
        <v>29</v>
      </c>
      <c r="S2662" t="s">
        <v>50</v>
      </c>
    </row>
    <row r="2663" spans="1:19" x14ac:dyDescent="0.25">
      <c r="A2663">
        <v>2662</v>
      </c>
      <c r="B2663">
        <v>43</v>
      </c>
      <c r="C2663" t="s">
        <v>153</v>
      </c>
      <c r="D2663" t="s">
        <v>137</v>
      </c>
      <c r="E2663" t="s">
        <v>43</v>
      </c>
      <c r="F2663" s="1">
        <v>96</v>
      </c>
      <c r="G2663" t="s">
        <v>151</v>
      </c>
      <c r="H2663" t="s">
        <v>92</v>
      </c>
      <c r="I2663" t="s">
        <v>79</v>
      </c>
      <c r="J2663" t="s">
        <v>58</v>
      </c>
      <c r="K2663" s="2">
        <v>4.8</v>
      </c>
      <c r="L2663" t="s">
        <v>152</v>
      </c>
      <c r="M2663" t="s">
        <v>59</v>
      </c>
      <c r="N2663" t="s">
        <v>28</v>
      </c>
      <c r="O2663" t="s">
        <v>152</v>
      </c>
      <c r="P2663" t="s">
        <v>152</v>
      </c>
      <c r="Q2663" s="3">
        <v>20</v>
      </c>
      <c r="R2663" t="s">
        <v>34</v>
      </c>
      <c r="S2663" t="s">
        <v>50</v>
      </c>
    </row>
    <row r="2664" spans="1:19" x14ac:dyDescent="0.25">
      <c r="A2664">
        <v>2663</v>
      </c>
      <c r="B2664">
        <v>25</v>
      </c>
      <c r="C2664" t="s">
        <v>153</v>
      </c>
      <c r="D2664" t="s">
        <v>87</v>
      </c>
      <c r="E2664" t="s">
        <v>21</v>
      </c>
      <c r="F2664" s="1">
        <v>98</v>
      </c>
      <c r="G2664" t="s">
        <v>145</v>
      </c>
      <c r="H2664" t="s">
        <v>45</v>
      </c>
      <c r="I2664" t="s">
        <v>109</v>
      </c>
      <c r="J2664" t="s">
        <v>54</v>
      </c>
      <c r="K2664" s="2">
        <v>2.8</v>
      </c>
      <c r="L2664" t="s">
        <v>152</v>
      </c>
      <c r="M2664" t="s">
        <v>46</v>
      </c>
      <c r="N2664" t="s">
        <v>72</v>
      </c>
      <c r="O2664" t="s">
        <v>152</v>
      </c>
      <c r="P2664" t="s">
        <v>152</v>
      </c>
      <c r="Q2664" s="3">
        <v>44</v>
      </c>
      <c r="R2664" t="s">
        <v>46</v>
      </c>
      <c r="S2664" t="s">
        <v>30</v>
      </c>
    </row>
    <row r="2665" spans="1:19" x14ac:dyDescent="0.25">
      <c r="A2665">
        <v>2664</v>
      </c>
      <c r="B2665">
        <v>46</v>
      </c>
      <c r="C2665" t="s">
        <v>153</v>
      </c>
      <c r="D2665" t="s">
        <v>51</v>
      </c>
      <c r="E2665" t="s">
        <v>43</v>
      </c>
      <c r="F2665" s="1">
        <v>52</v>
      </c>
      <c r="G2665" t="s">
        <v>150</v>
      </c>
      <c r="H2665" t="s">
        <v>23</v>
      </c>
      <c r="I2665" t="s">
        <v>67</v>
      </c>
      <c r="J2665" t="s">
        <v>58</v>
      </c>
      <c r="K2665" s="2">
        <v>2.9</v>
      </c>
      <c r="L2665" t="s">
        <v>152</v>
      </c>
      <c r="M2665" t="s">
        <v>27</v>
      </c>
      <c r="N2665" t="s">
        <v>40</v>
      </c>
      <c r="O2665" t="s">
        <v>152</v>
      </c>
      <c r="P2665" t="s">
        <v>152</v>
      </c>
      <c r="Q2665" s="3">
        <v>23</v>
      </c>
      <c r="R2665" t="s">
        <v>34</v>
      </c>
      <c r="S2665" t="s">
        <v>50</v>
      </c>
    </row>
    <row r="2666" spans="1:19" x14ac:dyDescent="0.25">
      <c r="A2666">
        <v>2665</v>
      </c>
      <c r="B2666">
        <v>22</v>
      </c>
      <c r="C2666" t="s">
        <v>153</v>
      </c>
      <c r="D2666" t="s">
        <v>106</v>
      </c>
      <c r="E2666" t="s">
        <v>69</v>
      </c>
      <c r="F2666" s="1">
        <v>84</v>
      </c>
      <c r="G2666" t="s">
        <v>115</v>
      </c>
      <c r="H2666" t="s">
        <v>23</v>
      </c>
      <c r="I2666" t="s">
        <v>67</v>
      </c>
      <c r="J2666" t="s">
        <v>25</v>
      </c>
      <c r="K2666" s="2">
        <v>3.2</v>
      </c>
      <c r="L2666" t="s">
        <v>152</v>
      </c>
      <c r="M2666" t="s">
        <v>59</v>
      </c>
      <c r="N2666" t="s">
        <v>76</v>
      </c>
      <c r="O2666" t="s">
        <v>152</v>
      </c>
      <c r="P2666" t="s">
        <v>152</v>
      </c>
      <c r="Q2666" s="3">
        <v>37</v>
      </c>
      <c r="R2666" t="s">
        <v>46</v>
      </c>
      <c r="S2666" t="s">
        <v>41</v>
      </c>
    </row>
    <row r="2667" spans="1:19" x14ac:dyDescent="0.25">
      <c r="A2667">
        <v>2666</v>
      </c>
      <c r="B2667">
        <v>70</v>
      </c>
      <c r="C2667" t="s">
        <v>153</v>
      </c>
      <c r="D2667" t="s">
        <v>113</v>
      </c>
      <c r="E2667" t="s">
        <v>21</v>
      </c>
      <c r="F2667" s="1">
        <v>71</v>
      </c>
      <c r="G2667" t="s">
        <v>62</v>
      </c>
      <c r="H2667" t="s">
        <v>23</v>
      </c>
      <c r="I2667" t="s">
        <v>108</v>
      </c>
      <c r="J2667" t="s">
        <v>25</v>
      </c>
      <c r="K2667" s="2">
        <v>3.5</v>
      </c>
      <c r="L2667" t="s">
        <v>152</v>
      </c>
      <c r="M2667" t="s">
        <v>29</v>
      </c>
      <c r="N2667" t="s">
        <v>76</v>
      </c>
      <c r="O2667" t="s">
        <v>152</v>
      </c>
      <c r="P2667" t="s">
        <v>152</v>
      </c>
      <c r="Q2667" s="3">
        <v>4</v>
      </c>
      <c r="R2667" t="s">
        <v>29</v>
      </c>
      <c r="S2667" t="s">
        <v>41</v>
      </c>
    </row>
    <row r="2668" spans="1:19" x14ac:dyDescent="0.25">
      <c r="A2668">
        <v>2667</v>
      </c>
      <c r="B2668">
        <v>49</v>
      </c>
      <c r="C2668" t="s">
        <v>153</v>
      </c>
      <c r="D2668" t="s">
        <v>42</v>
      </c>
      <c r="E2668" t="s">
        <v>43</v>
      </c>
      <c r="F2668" s="1">
        <v>95</v>
      </c>
      <c r="G2668" t="s">
        <v>123</v>
      </c>
      <c r="H2668" t="s">
        <v>38</v>
      </c>
      <c r="I2668" t="s">
        <v>110</v>
      </c>
      <c r="J2668" t="s">
        <v>25</v>
      </c>
      <c r="K2668" s="2">
        <v>4.0999999999999996</v>
      </c>
      <c r="L2668" t="s">
        <v>152</v>
      </c>
      <c r="M2668" t="s">
        <v>34</v>
      </c>
      <c r="N2668" t="s">
        <v>76</v>
      </c>
      <c r="O2668" t="s">
        <v>152</v>
      </c>
      <c r="P2668" t="s">
        <v>152</v>
      </c>
      <c r="Q2668" s="3">
        <v>14</v>
      </c>
      <c r="R2668" t="s">
        <v>29</v>
      </c>
      <c r="S2668" t="s">
        <v>30</v>
      </c>
    </row>
    <row r="2669" spans="1:19" x14ac:dyDescent="0.25">
      <c r="A2669">
        <v>2668</v>
      </c>
      <c r="B2669">
        <v>48</v>
      </c>
      <c r="C2669" t="s">
        <v>153</v>
      </c>
      <c r="D2669" t="s">
        <v>137</v>
      </c>
      <c r="E2669" t="s">
        <v>43</v>
      </c>
      <c r="F2669" s="1">
        <v>47</v>
      </c>
      <c r="G2669" t="s">
        <v>128</v>
      </c>
      <c r="H2669" t="s">
        <v>45</v>
      </c>
      <c r="I2669" t="s">
        <v>121</v>
      </c>
      <c r="J2669" t="s">
        <v>54</v>
      </c>
      <c r="K2669" s="2">
        <v>4.0999999999999996</v>
      </c>
      <c r="L2669" t="s">
        <v>152</v>
      </c>
      <c r="M2669" t="s">
        <v>29</v>
      </c>
      <c r="N2669" t="s">
        <v>40</v>
      </c>
      <c r="O2669" t="s">
        <v>152</v>
      </c>
      <c r="P2669" t="s">
        <v>152</v>
      </c>
      <c r="Q2669" s="3">
        <v>31</v>
      </c>
      <c r="R2669" t="s">
        <v>35</v>
      </c>
      <c r="S2669" t="s">
        <v>30</v>
      </c>
    </row>
    <row r="2670" spans="1:19" x14ac:dyDescent="0.25">
      <c r="A2670">
        <v>2669</v>
      </c>
      <c r="B2670">
        <v>59</v>
      </c>
      <c r="C2670" t="s">
        <v>153</v>
      </c>
      <c r="D2670" t="s">
        <v>64</v>
      </c>
      <c r="E2670" t="s">
        <v>65</v>
      </c>
      <c r="F2670" s="1">
        <v>75</v>
      </c>
      <c r="G2670" t="s">
        <v>105</v>
      </c>
      <c r="H2670" t="s">
        <v>45</v>
      </c>
      <c r="I2670" t="s">
        <v>94</v>
      </c>
      <c r="J2670" t="s">
        <v>54</v>
      </c>
      <c r="K2670" s="2">
        <v>4.8</v>
      </c>
      <c r="L2670" t="s">
        <v>152</v>
      </c>
      <c r="M2670" t="s">
        <v>29</v>
      </c>
      <c r="N2670" t="s">
        <v>47</v>
      </c>
      <c r="O2670" t="s">
        <v>152</v>
      </c>
      <c r="P2670" t="s">
        <v>152</v>
      </c>
      <c r="Q2670" s="3">
        <v>9</v>
      </c>
      <c r="R2670" t="s">
        <v>46</v>
      </c>
      <c r="S2670" t="s">
        <v>60</v>
      </c>
    </row>
    <row r="2671" spans="1:19" x14ac:dyDescent="0.25">
      <c r="A2671">
        <v>2670</v>
      </c>
      <c r="B2671">
        <v>39</v>
      </c>
      <c r="C2671" t="s">
        <v>153</v>
      </c>
      <c r="D2671" t="s">
        <v>133</v>
      </c>
      <c r="E2671" t="s">
        <v>69</v>
      </c>
      <c r="F2671" s="1">
        <v>28</v>
      </c>
      <c r="G2671" t="s">
        <v>115</v>
      </c>
      <c r="H2671" t="s">
        <v>23</v>
      </c>
      <c r="I2671" t="s">
        <v>86</v>
      </c>
      <c r="J2671" t="s">
        <v>39</v>
      </c>
      <c r="K2671" s="2">
        <v>2.8</v>
      </c>
      <c r="L2671" t="s">
        <v>152</v>
      </c>
      <c r="M2671" t="s">
        <v>46</v>
      </c>
      <c r="N2671" t="s">
        <v>40</v>
      </c>
      <c r="O2671" t="s">
        <v>152</v>
      </c>
      <c r="P2671" t="s">
        <v>152</v>
      </c>
      <c r="Q2671" s="3">
        <v>31</v>
      </c>
      <c r="R2671" t="s">
        <v>27</v>
      </c>
      <c r="S2671" t="s">
        <v>41</v>
      </c>
    </row>
    <row r="2672" spans="1:19" x14ac:dyDescent="0.25">
      <c r="A2672">
        <v>2671</v>
      </c>
      <c r="B2672">
        <v>30</v>
      </c>
      <c r="C2672" t="s">
        <v>153</v>
      </c>
      <c r="D2672" t="s">
        <v>89</v>
      </c>
      <c r="E2672" t="s">
        <v>69</v>
      </c>
      <c r="F2672" s="1">
        <v>44</v>
      </c>
      <c r="G2672" t="s">
        <v>138</v>
      </c>
      <c r="H2672" t="s">
        <v>45</v>
      </c>
      <c r="I2672" t="s">
        <v>134</v>
      </c>
      <c r="J2672" t="s">
        <v>58</v>
      </c>
      <c r="K2672" s="2">
        <v>4.7</v>
      </c>
      <c r="L2672" t="s">
        <v>152</v>
      </c>
      <c r="M2672" t="s">
        <v>29</v>
      </c>
      <c r="N2672" t="s">
        <v>28</v>
      </c>
      <c r="O2672" t="s">
        <v>152</v>
      </c>
      <c r="P2672" t="s">
        <v>152</v>
      </c>
      <c r="Q2672" s="3">
        <v>26</v>
      </c>
      <c r="R2672" t="s">
        <v>34</v>
      </c>
      <c r="S2672" t="s">
        <v>77</v>
      </c>
    </row>
    <row r="2673" spans="1:19" x14ac:dyDescent="0.25">
      <c r="A2673">
        <v>2672</v>
      </c>
      <c r="B2673">
        <v>37</v>
      </c>
      <c r="C2673" t="s">
        <v>153</v>
      </c>
      <c r="D2673" t="s">
        <v>42</v>
      </c>
      <c r="E2673" t="s">
        <v>43</v>
      </c>
      <c r="F2673" s="1">
        <v>64</v>
      </c>
      <c r="G2673" t="s">
        <v>90</v>
      </c>
      <c r="H2673" t="s">
        <v>92</v>
      </c>
      <c r="I2673" t="s">
        <v>24</v>
      </c>
      <c r="J2673" t="s">
        <v>25</v>
      </c>
      <c r="K2673" s="2">
        <v>4.8</v>
      </c>
      <c r="L2673" t="s">
        <v>152</v>
      </c>
      <c r="M2673" t="s">
        <v>35</v>
      </c>
      <c r="N2673" t="s">
        <v>72</v>
      </c>
      <c r="O2673" t="s">
        <v>152</v>
      </c>
      <c r="P2673" t="s">
        <v>152</v>
      </c>
      <c r="Q2673" s="3">
        <v>41</v>
      </c>
      <c r="R2673" t="s">
        <v>46</v>
      </c>
      <c r="S2673" t="s">
        <v>97</v>
      </c>
    </row>
    <row r="2674" spans="1:19" x14ac:dyDescent="0.25">
      <c r="A2674">
        <v>2673</v>
      </c>
      <c r="B2674">
        <v>56</v>
      </c>
      <c r="C2674" t="s">
        <v>153</v>
      </c>
      <c r="D2674" t="s">
        <v>137</v>
      </c>
      <c r="E2674" t="s">
        <v>43</v>
      </c>
      <c r="F2674" s="1">
        <v>28</v>
      </c>
      <c r="G2674" t="s">
        <v>66</v>
      </c>
      <c r="H2674" t="s">
        <v>45</v>
      </c>
      <c r="I2674" t="s">
        <v>33</v>
      </c>
      <c r="J2674" t="s">
        <v>39</v>
      </c>
      <c r="K2674" s="2">
        <v>2.9</v>
      </c>
      <c r="L2674" t="s">
        <v>152</v>
      </c>
      <c r="M2674" t="s">
        <v>59</v>
      </c>
      <c r="N2674" t="s">
        <v>55</v>
      </c>
      <c r="O2674" t="s">
        <v>152</v>
      </c>
      <c r="P2674" t="s">
        <v>152</v>
      </c>
      <c r="Q2674" s="3">
        <v>13</v>
      </c>
      <c r="R2674" t="s">
        <v>35</v>
      </c>
      <c r="S2674" t="s">
        <v>50</v>
      </c>
    </row>
    <row r="2675" spans="1:19" x14ac:dyDescent="0.25">
      <c r="A2675">
        <v>2674</v>
      </c>
      <c r="B2675">
        <v>67</v>
      </c>
      <c r="C2675" t="s">
        <v>153</v>
      </c>
      <c r="D2675" t="s">
        <v>104</v>
      </c>
      <c r="E2675" t="s">
        <v>21</v>
      </c>
      <c r="F2675" s="1">
        <v>21</v>
      </c>
      <c r="G2675" t="s">
        <v>107</v>
      </c>
      <c r="H2675" t="s">
        <v>45</v>
      </c>
      <c r="I2675" t="s">
        <v>79</v>
      </c>
      <c r="J2675" t="s">
        <v>54</v>
      </c>
      <c r="K2675" s="2">
        <v>2.6</v>
      </c>
      <c r="L2675" t="s">
        <v>152</v>
      </c>
      <c r="M2675" t="s">
        <v>35</v>
      </c>
      <c r="N2675" t="s">
        <v>72</v>
      </c>
      <c r="O2675" t="s">
        <v>152</v>
      </c>
      <c r="P2675" t="s">
        <v>152</v>
      </c>
      <c r="Q2675" s="3">
        <v>4</v>
      </c>
      <c r="R2675" t="s">
        <v>35</v>
      </c>
      <c r="S2675" t="s">
        <v>88</v>
      </c>
    </row>
    <row r="2676" spans="1:19" x14ac:dyDescent="0.25">
      <c r="A2676">
        <v>2675</v>
      </c>
      <c r="B2676">
        <v>40</v>
      </c>
      <c r="C2676" t="s">
        <v>153</v>
      </c>
      <c r="D2676" t="s">
        <v>124</v>
      </c>
      <c r="E2676" t="s">
        <v>69</v>
      </c>
      <c r="F2676" s="1">
        <v>41</v>
      </c>
      <c r="G2676" t="s">
        <v>103</v>
      </c>
      <c r="H2676" t="s">
        <v>38</v>
      </c>
      <c r="I2676" t="s">
        <v>63</v>
      </c>
      <c r="J2676" t="s">
        <v>58</v>
      </c>
      <c r="K2676" s="2">
        <v>3.3</v>
      </c>
      <c r="L2676" t="s">
        <v>152</v>
      </c>
      <c r="M2676" t="s">
        <v>59</v>
      </c>
      <c r="N2676" t="s">
        <v>28</v>
      </c>
      <c r="O2676" t="s">
        <v>152</v>
      </c>
      <c r="P2676" t="s">
        <v>152</v>
      </c>
      <c r="Q2676" s="3">
        <v>15</v>
      </c>
      <c r="R2676" t="s">
        <v>35</v>
      </c>
      <c r="S2676" t="s">
        <v>97</v>
      </c>
    </row>
    <row r="2677" spans="1:19" x14ac:dyDescent="0.25">
      <c r="A2677">
        <v>2676</v>
      </c>
      <c r="B2677">
        <v>24</v>
      </c>
      <c r="C2677" t="s">
        <v>153</v>
      </c>
      <c r="D2677" t="s">
        <v>61</v>
      </c>
      <c r="E2677" t="s">
        <v>21</v>
      </c>
      <c r="F2677" s="1">
        <v>38</v>
      </c>
      <c r="G2677" t="s">
        <v>141</v>
      </c>
      <c r="H2677" t="s">
        <v>45</v>
      </c>
      <c r="I2677" t="s">
        <v>100</v>
      </c>
      <c r="J2677" t="s">
        <v>25</v>
      </c>
      <c r="K2677" s="2">
        <v>3.4</v>
      </c>
      <c r="L2677" t="s">
        <v>152</v>
      </c>
      <c r="M2677" t="s">
        <v>35</v>
      </c>
      <c r="N2677" t="s">
        <v>40</v>
      </c>
      <c r="O2677" t="s">
        <v>152</v>
      </c>
      <c r="P2677" t="s">
        <v>152</v>
      </c>
      <c r="Q2677" s="3">
        <v>38</v>
      </c>
      <c r="R2677" t="s">
        <v>35</v>
      </c>
      <c r="S2677" t="s">
        <v>77</v>
      </c>
    </row>
    <row r="2678" spans="1:19" x14ac:dyDescent="0.25">
      <c r="A2678">
        <v>2677</v>
      </c>
      <c r="B2678">
        <v>43</v>
      </c>
      <c r="C2678" t="s">
        <v>153</v>
      </c>
      <c r="D2678" t="s">
        <v>132</v>
      </c>
      <c r="E2678" t="s">
        <v>69</v>
      </c>
      <c r="F2678" s="1">
        <v>77</v>
      </c>
      <c r="G2678" t="s">
        <v>22</v>
      </c>
      <c r="H2678" t="s">
        <v>45</v>
      </c>
      <c r="I2678" t="s">
        <v>33</v>
      </c>
      <c r="J2678" t="s">
        <v>39</v>
      </c>
      <c r="K2678" s="2">
        <v>3.6</v>
      </c>
      <c r="L2678" t="s">
        <v>152</v>
      </c>
      <c r="M2678" t="s">
        <v>29</v>
      </c>
      <c r="N2678" t="s">
        <v>40</v>
      </c>
      <c r="O2678" t="s">
        <v>152</v>
      </c>
      <c r="P2678" t="s">
        <v>152</v>
      </c>
      <c r="Q2678" s="3">
        <v>3</v>
      </c>
      <c r="R2678" t="s">
        <v>35</v>
      </c>
      <c r="S2678" t="s">
        <v>30</v>
      </c>
    </row>
    <row r="2679" spans="1:19" x14ac:dyDescent="0.25">
      <c r="A2679">
        <v>2678</v>
      </c>
      <c r="B2679">
        <v>45</v>
      </c>
      <c r="C2679" t="s">
        <v>153</v>
      </c>
      <c r="D2679" t="s">
        <v>61</v>
      </c>
      <c r="E2679" t="s">
        <v>21</v>
      </c>
      <c r="F2679" s="1">
        <v>43</v>
      </c>
      <c r="G2679" t="s">
        <v>139</v>
      </c>
      <c r="H2679" t="s">
        <v>23</v>
      </c>
      <c r="I2679" t="s">
        <v>79</v>
      </c>
      <c r="J2679" t="s">
        <v>39</v>
      </c>
      <c r="K2679" s="2">
        <v>3.8</v>
      </c>
      <c r="L2679" t="s">
        <v>152</v>
      </c>
      <c r="M2679" t="s">
        <v>59</v>
      </c>
      <c r="N2679" t="s">
        <v>47</v>
      </c>
      <c r="O2679" t="s">
        <v>152</v>
      </c>
      <c r="P2679" t="s">
        <v>152</v>
      </c>
      <c r="Q2679" s="3">
        <v>6</v>
      </c>
      <c r="R2679" t="s">
        <v>46</v>
      </c>
      <c r="S2679" t="s">
        <v>97</v>
      </c>
    </row>
    <row r="2680" spans="1:19" x14ac:dyDescent="0.25">
      <c r="A2680">
        <v>2679</v>
      </c>
      <c r="B2680">
        <v>33</v>
      </c>
      <c r="C2680" t="s">
        <v>153</v>
      </c>
      <c r="D2680" t="s">
        <v>133</v>
      </c>
      <c r="E2680" t="s">
        <v>69</v>
      </c>
      <c r="F2680" s="1">
        <v>91</v>
      </c>
      <c r="G2680" t="s">
        <v>57</v>
      </c>
      <c r="H2680" t="s">
        <v>45</v>
      </c>
      <c r="I2680" t="s">
        <v>136</v>
      </c>
      <c r="J2680" t="s">
        <v>39</v>
      </c>
      <c r="K2680" s="2">
        <v>3.4</v>
      </c>
      <c r="L2680" t="s">
        <v>152</v>
      </c>
      <c r="M2680" t="s">
        <v>35</v>
      </c>
      <c r="N2680" t="s">
        <v>72</v>
      </c>
      <c r="O2680" t="s">
        <v>152</v>
      </c>
      <c r="P2680" t="s">
        <v>152</v>
      </c>
      <c r="Q2680" s="3">
        <v>34</v>
      </c>
      <c r="R2680" t="s">
        <v>27</v>
      </c>
      <c r="S2680" t="s">
        <v>77</v>
      </c>
    </row>
    <row r="2681" spans="1:19" x14ac:dyDescent="0.25">
      <c r="A2681">
        <v>2680</v>
      </c>
      <c r="B2681">
        <v>53</v>
      </c>
      <c r="C2681" t="s">
        <v>153</v>
      </c>
      <c r="D2681" t="s">
        <v>61</v>
      </c>
      <c r="E2681" t="s">
        <v>21</v>
      </c>
      <c r="F2681" s="1">
        <v>68</v>
      </c>
      <c r="G2681" t="s">
        <v>57</v>
      </c>
      <c r="H2681" t="s">
        <v>38</v>
      </c>
      <c r="I2681" t="s">
        <v>134</v>
      </c>
      <c r="J2681" t="s">
        <v>39</v>
      </c>
      <c r="K2681" s="2">
        <v>3.8</v>
      </c>
      <c r="L2681" t="s">
        <v>152</v>
      </c>
      <c r="M2681" t="s">
        <v>59</v>
      </c>
      <c r="N2681" t="s">
        <v>28</v>
      </c>
      <c r="O2681" t="s">
        <v>152</v>
      </c>
      <c r="P2681" t="s">
        <v>152</v>
      </c>
      <c r="Q2681" s="3">
        <v>7</v>
      </c>
      <c r="R2681" t="s">
        <v>59</v>
      </c>
      <c r="S2681" t="s">
        <v>60</v>
      </c>
    </row>
    <row r="2682" spans="1:19" x14ac:dyDescent="0.25">
      <c r="A2682">
        <v>2681</v>
      </c>
      <c r="B2682">
        <v>44</v>
      </c>
      <c r="C2682" t="s">
        <v>153</v>
      </c>
      <c r="D2682" t="s">
        <v>125</v>
      </c>
      <c r="E2682" t="s">
        <v>21</v>
      </c>
      <c r="F2682" s="1">
        <v>37</v>
      </c>
      <c r="G2682" t="s">
        <v>145</v>
      </c>
      <c r="H2682" t="s">
        <v>23</v>
      </c>
      <c r="I2682" t="s">
        <v>126</v>
      </c>
      <c r="J2682" t="s">
        <v>58</v>
      </c>
      <c r="K2682" s="2">
        <v>3.3</v>
      </c>
      <c r="L2682" t="s">
        <v>152</v>
      </c>
      <c r="M2682" t="s">
        <v>46</v>
      </c>
      <c r="N2682" t="s">
        <v>47</v>
      </c>
      <c r="O2682" t="s">
        <v>152</v>
      </c>
      <c r="P2682" t="s">
        <v>152</v>
      </c>
      <c r="Q2682" s="3">
        <v>21</v>
      </c>
      <c r="R2682" t="s">
        <v>29</v>
      </c>
      <c r="S2682" t="s">
        <v>50</v>
      </c>
    </row>
    <row r="2683" spans="1:19" x14ac:dyDescent="0.25">
      <c r="A2683">
        <v>2682</v>
      </c>
      <c r="B2683">
        <v>23</v>
      </c>
      <c r="C2683" t="s">
        <v>153</v>
      </c>
      <c r="D2683" t="s">
        <v>73</v>
      </c>
      <c r="E2683" t="s">
        <v>43</v>
      </c>
      <c r="F2683" s="1">
        <v>23</v>
      </c>
      <c r="G2683" t="s">
        <v>37</v>
      </c>
      <c r="H2683" t="s">
        <v>23</v>
      </c>
      <c r="I2683" t="s">
        <v>79</v>
      </c>
      <c r="J2683" t="s">
        <v>54</v>
      </c>
      <c r="K2683" s="2">
        <v>4.8</v>
      </c>
      <c r="L2683" t="s">
        <v>152</v>
      </c>
      <c r="M2683" t="s">
        <v>34</v>
      </c>
      <c r="N2683" t="s">
        <v>55</v>
      </c>
      <c r="O2683" t="s">
        <v>152</v>
      </c>
      <c r="P2683" t="s">
        <v>152</v>
      </c>
      <c r="Q2683" s="3">
        <v>17</v>
      </c>
      <c r="R2683" t="s">
        <v>59</v>
      </c>
      <c r="S2683" t="s">
        <v>88</v>
      </c>
    </row>
    <row r="2684" spans="1:19" x14ac:dyDescent="0.25">
      <c r="A2684">
        <v>2683</v>
      </c>
      <c r="B2684">
        <v>59</v>
      </c>
      <c r="C2684" t="s">
        <v>153</v>
      </c>
      <c r="D2684" t="s">
        <v>51</v>
      </c>
      <c r="E2684" t="s">
        <v>43</v>
      </c>
      <c r="F2684" s="1">
        <v>65</v>
      </c>
      <c r="G2684" t="s">
        <v>98</v>
      </c>
      <c r="H2684" t="s">
        <v>23</v>
      </c>
      <c r="I2684" t="s">
        <v>33</v>
      </c>
      <c r="J2684" t="s">
        <v>25</v>
      </c>
      <c r="K2684" s="2">
        <v>3.9</v>
      </c>
      <c r="L2684" t="s">
        <v>152</v>
      </c>
      <c r="M2684" t="s">
        <v>29</v>
      </c>
      <c r="N2684" t="s">
        <v>72</v>
      </c>
      <c r="O2684" t="s">
        <v>152</v>
      </c>
      <c r="P2684" t="s">
        <v>152</v>
      </c>
      <c r="Q2684" s="3">
        <v>5</v>
      </c>
      <c r="R2684" t="s">
        <v>29</v>
      </c>
      <c r="S2684" t="s">
        <v>97</v>
      </c>
    </row>
    <row r="2685" spans="1:19" x14ac:dyDescent="0.25">
      <c r="A2685">
        <v>2684</v>
      </c>
      <c r="B2685">
        <v>68</v>
      </c>
      <c r="C2685" t="s">
        <v>153</v>
      </c>
      <c r="D2685" t="s">
        <v>132</v>
      </c>
      <c r="E2685" t="s">
        <v>69</v>
      </c>
      <c r="F2685" s="1">
        <v>30</v>
      </c>
      <c r="G2685" t="s">
        <v>57</v>
      </c>
      <c r="H2685" t="s">
        <v>45</v>
      </c>
      <c r="I2685" t="s">
        <v>126</v>
      </c>
      <c r="J2685" t="s">
        <v>54</v>
      </c>
      <c r="K2685" s="2">
        <v>4.2</v>
      </c>
      <c r="L2685" t="s">
        <v>152</v>
      </c>
      <c r="M2685" t="s">
        <v>35</v>
      </c>
      <c r="N2685" t="s">
        <v>47</v>
      </c>
      <c r="O2685" t="s">
        <v>152</v>
      </c>
      <c r="P2685" t="s">
        <v>152</v>
      </c>
      <c r="Q2685" s="3">
        <v>21</v>
      </c>
      <c r="R2685" t="s">
        <v>35</v>
      </c>
      <c r="S2685" t="s">
        <v>30</v>
      </c>
    </row>
    <row r="2686" spans="1:19" x14ac:dyDescent="0.25">
      <c r="A2686">
        <v>2685</v>
      </c>
      <c r="B2686">
        <v>46</v>
      </c>
      <c r="C2686" t="s">
        <v>153</v>
      </c>
      <c r="D2686" t="s">
        <v>82</v>
      </c>
      <c r="E2686" t="s">
        <v>21</v>
      </c>
      <c r="F2686" s="1">
        <v>45</v>
      </c>
      <c r="G2686" t="s">
        <v>149</v>
      </c>
      <c r="H2686" t="s">
        <v>45</v>
      </c>
      <c r="I2686" t="s">
        <v>24</v>
      </c>
      <c r="J2686" t="s">
        <v>54</v>
      </c>
      <c r="K2686" s="2">
        <v>4.7</v>
      </c>
      <c r="L2686" t="s">
        <v>152</v>
      </c>
      <c r="M2686" t="s">
        <v>29</v>
      </c>
      <c r="N2686" t="s">
        <v>40</v>
      </c>
      <c r="O2686" t="s">
        <v>152</v>
      </c>
      <c r="P2686" t="s">
        <v>152</v>
      </c>
      <c r="Q2686" s="3">
        <v>42</v>
      </c>
      <c r="R2686" t="s">
        <v>27</v>
      </c>
      <c r="S2686" t="s">
        <v>77</v>
      </c>
    </row>
    <row r="2687" spans="1:19" x14ac:dyDescent="0.25">
      <c r="A2687">
        <v>2686</v>
      </c>
      <c r="B2687">
        <v>56</v>
      </c>
      <c r="C2687" t="s">
        <v>153</v>
      </c>
      <c r="D2687" t="s">
        <v>137</v>
      </c>
      <c r="E2687" t="s">
        <v>43</v>
      </c>
      <c r="F2687" s="1">
        <v>25</v>
      </c>
      <c r="G2687" t="s">
        <v>141</v>
      </c>
      <c r="H2687" t="s">
        <v>45</v>
      </c>
      <c r="I2687" t="s">
        <v>24</v>
      </c>
      <c r="J2687" t="s">
        <v>25</v>
      </c>
      <c r="K2687" s="2">
        <v>2.7</v>
      </c>
      <c r="L2687" t="s">
        <v>152</v>
      </c>
      <c r="M2687" t="s">
        <v>29</v>
      </c>
      <c r="N2687" t="s">
        <v>28</v>
      </c>
      <c r="O2687" t="s">
        <v>152</v>
      </c>
      <c r="P2687" t="s">
        <v>152</v>
      </c>
      <c r="Q2687" s="3">
        <v>49</v>
      </c>
      <c r="R2687" t="s">
        <v>27</v>
      </c>
      <c r="S2687" t="s">
        <v>60</v>
      </c>
    </row>
    <row r="2688" spans="1:19" x14ac:dyDescent="0.25">
      <c r="A2688">
        <v>2687</v>
      </c>
      <c r="B2688">
        <v>40</v>
      </c>
      <c r="C2688" t="s">
        <v>153</v>
      </c>
      <c r="D2688" t="s">
        <v>125</v>
      </c>
      <c r="E2688" t="s">
        <v>21</v>
      </c>
      <c r="F2688" s="1">
        <v>72</v>
      </c>
      <c r="G2688" t="s">
        <v>142</v>
      </c>
      <c r="H2688" t="s">
        <v>45</v>
      </c>
      <c r="I2688" t="s">
        <v>94</v>
      </c>
      <c r="J2688" t="s">
        <v>25</v>
      </c>
      <c r="K2688" s="2">
        <v>3.8</v>
      </c>
      <c r="L2688" t="s">
        <v>152</v>
      </c>
      <c r="M2688" t="s">
        <v>29</v>
      </c>
      <c r="N2688" t="s">
        <v>72</v>
      </c>
      <c r="O2688" t="s">
        <v>152</v>
      </c>
      <c r="P2688" t="s">
        <v>152</v>
      </c>
      <c r="Q2688" s="3">
        <v>33</v>
      </c>
      <c r="R2688" t="s">
        <v>35</v>
      </c>
      <c r="S2688" t="s">
        <v>30</v>
      </c>
    </row>
    <row r="2689" spans="1:19" x14ac:dyDescent="0.25">
      <c r="A2689">
        <v>2688</v>
      </c>
      <c r="B2689">
        <v>61</v>
      </c>
      <c r="C2689" t="s">
        <v>153</v>
      </c>
      <c r="D2689" t="s">
        <v>82</v>
      </c>
      <c r="E2689" t="s">
        <v>21</v>
      </c>
      <c r="F2689" s="1">
        <v>75</v>
      </c>
      <c r="G2689" t="s">
        <v>80</v>
      </c>
      <c r="H2689" t="s">
        <v>45</v>
      </c>
      <c r="I2689" t="s">
        <v>53</v>
      </c>
      <c r="J2689" t="s">
        <v>58</v>
      </c>
      <c r="K2689" s="2">
        <v>3.6</v>
      </c>
      <c r="L2689" t="s">
        <v>152</v>
      </c>
      <c r="M2689" t="s">
        <v>35</v>
      </c>
      <c r="N2689" t="s">
        <v>72</v>
      </c>
      <c r="O2689" t="s">
        <v>152</v>
      </c>
      <c r="P2689" t="s">
        <v>152</v>
      </c>
      <c r="Q2689" s="3">
        <v>12</v>
      </c>
      <c r="R2689" t="s">
        <v>59</v>
      </c>
      <c r="S2689" t="s">
        <v>77</v>
      </c>
    </row>
    <row r="2690" spans="1:19" x14ac:dyDescent="0.25">
      <c r="A2690">
        <v>2689</v>
      </c>
      <c r="B2690">
        <v>53</v>
      </c>
      <c r="C2690" t="s">
        <v>153</v>
      </c>
      <c r="D2690" t="s">
        <v>68</v>
      </c>
      <c r="E2690" t="s">
        <v>69</v>
      </c>
      <c r="F2690" s="1">
        <v>63</v>
      </c>
      <c r="G2690" t="s">
        <v>66</v>
      </c>
      <c r="H2690" t="s">
        <v>92</v>
      </c>
      <c r="I2690" t="s">
        <v>49</v>
      </c>
      <c r="J2690" t="s">
        <v>39</v>
      </c>
      <c r="K2690" s="2">
        <v>2.9</v>
      </c>
      <c r="L2690" t="s">
        <v>152</v>
      </c>
      <c r="M2690" t="s">
        <v>35</v>
      </c>
      <c r="N2690" t="s">
        <v>72</v>
      </c>
      <c r="O2690" t="s">
        <v>152</v>
      </c>
      <c r="P2690" t="s">
        <v>152</v>
      </c>
      <c r="Q2690" s="3">
        <v>18</v>
      </c>
      <c r="R2690" t="s">
        <v>27</v>
      </c>
      <c r="S2690" t="s">
        <v>97</v>
      </c>
    </row>
    <row r="2691" spans="1:19" x14ac:dyDescent="0.25">
      <c r="A2691">
        <v>2690</v>
      </c>
      <c r="B2691">
        <v>29</v>
      </c>
      <c r="C2691" t="s">
        <v>153</v>
      </c>
      <c r="D2691" t="s">
        <v>20</v>
      </c>
      <c r="E2691" t="s">
        <v>21</v>
      </c>
      <c r="F2691" s="1">
        <v>35</v>
      </c>
      <c r="G2691" t="s">
        <v>52</v>
      </c>
      <c r="H2691" t="s">
        <v>45</v>
      </c>
      <c r="I2691" t="s">
        <v>121</v>
      </c>
      <c r="J2691" t="s">
        <v>58</v>
      </c>
      <c r="K2691" s="2">
        <v>3.9</v>
      </c>
      <c r="L2691" t="s">
        <v>152</v>
      </c>
      <c r="M2691" t="s">
        <v>27</v>
      </c>
      <c r="N2691" t="s">
        <v>55</v>
      </c>
      <c r="O2691" t="s">
        <v>152</v>
      </c>
      <c r="P2691" t="s">
        <v>152</v>
      </c>
      <c r="Q2691" s="3">
        <v>47</v>
      </c>
      <c r="R2691" t="s">
        <v>46</v>
      </c>
      <c r="S2691" t="s">
        <v>60</v>
      </c>
    </row>
    <row r="2692" spans="1:19" x14ac:dyDescent="0.25">
      <c r="A2692">
        <v>2691</v>
      </c>
      <c r="B2692">
        <v>44</v>
      </c>
      <c r="C2692" t="s">
        <v>153</v>
      </c>
      <c r="D2692" t="s">
        <v>133</v>
      </c>
      <c r="E2692" t="s">
        <v>69</v>
      </c>
      <c r="F2692" s="1">
        <v>32</v>
      </c>
      <c r="G2692" t="s">
        <v>130</v>
      </c>
      <c r="H2692" t="s">
        <v>23</v>
      </c>
      <c r="I2692" t="s">
        <v>134</v>
      </c>
      <c r="J2692" t="s">
        <v>54</v>
      </c>
      <c r="K2692" s="2">
        <v>4.7</v>
      </c>
      <c r="L2692" t="s">
        <v>152</v>
      </c>
      <c r="M2692" t="s">
        <v>29</v>
      </c>
      <c r="N2692" t="s">
        <v>40</v>
      </c>
      <c r="O2692" t="s">
        <v>152</v>
      </c>
      <c r="P2692" t="s">
        <v>152</v>
      </c>
      <c r="Q2692" s="3">
        <v>18</v>
      </c>
      <c r="R2692" t="s">
        <v>34</v>
      </c>
      <c r="S2692" t="s">
        <v>41</v>
      </c>
    </row>
    <row r="2693" spans="1:19" x14ac:dyDescent="0.25">
      <c r="A2693">
        <v>2692</v>
      </c>
      <c r="B2693">
        <v>43</v>
      </c>
      <c r="C2693" t="s">
        <v>153</v>
      </c>
      <c r="D2693" t="s">
        <v>95</v>
      </c>
      <c r="E2693" t="s">
        <v>21</v>
      </c>
      <c r="F2693" s="1">
        <v>25</v>
      </c>
      <c r="G2693" t="s">
        <v>145</v>
      </c>
      <c r="H2693" t="s">
        <v>23</v>
      </c>
      <c r="I2693" t="s">
        <v>144</v>
      </c>
      <c r="J2693" t="s">
        <v>25</v>
      </c>
      <c r="K2693" s="2">
        <v>3.3</v>
      </c>
      <c r="L2693" t="s">
        <v>152</v>
      </c>
      <c r="M2693" t="s">
        <v>34</v>
      </c>
      <c r="N2693" t="s">
        <v>72</v>
      </c>
      <c r="O2693" t="s">
        <v>152</v>
      </c>
      <c r="P2693" t="s">
        <v>152</v>
      </c>
      <c r="Q2693" s="3">
        <v>48</v>
      </c>
      <c r="R2693" t="s">
        <v>35</v>
      </c>
      <c r="S2693" t="s">
        <v>88</v>
      </c>
    </row>
    <row r="2694" spans="1:19" x14ac:dyDescent="0.25">
      <c r="A2694">
        <v>2693</v>
      </c>
      <c r="B2694">
        <v>40</v>
      </c>
      <c r="C2694" t="s">
        <v>153</v>
      </c>
      <c r="D2694" t="s">
        <v>51</v>
      </c>
      <c r="E2694" t="s">
        <v>43</v>
      </c>
      <c r="F2694" s="1">
        <v>90</v>
      </c>
      <c r="G2694" t="s">
        <v>149</v>
      </c>
      <c r="H2694" t="s">
        <v>92</v>
      </c>
      <c r="I2694" t="s">
        <v>84</v>
      </c>
      <c r="J2694" t="s">
        <v>39</v>
      </c>
      <c r="K2694" s="2">
        <v>4.2</v>
      </c>
      <c r="L2694" t="s">
        <v>152</v>
      </c>
      <c r="M2694" t="s">
        <v>29</v>
      </c>
      <c r="N2694" t="s">
        <v>40</v>
      </c>
      <c r="O2694" t="s">
        <v>152</v>
      </c>
      <c r="P2694" t="s">
        <v>152</v>
      </c>
      <c r="Q2694" s="3">
        <v>18</v>
      </c>
      <c r="R2694" t="s">
        <v>59</v>
      </c>
      <c r="S2694" t="s">
        <v>97</v>
      </c>
    </row>
    <row r="2695" spans="1:19" x14ac:dyDescent="0.25">
      <c r="A2695">
        <v>2694</v>
      </c>
      <c r="B2695">
        <v>55</v>
      </c>
      <c r="C2695" t="s">
        <v>153</v>
      </c>
      <c r="D2695" t="s">
        <v>137</v>
      </c>
      <c r="E2695" t="s">
        <v>43</v>
      </c>
      <c r="F2695" s="1">
        <v>70</v>
      </c>
      <c r="G2695" t="s">
        <v>78</v>
      </c>
      <c r="H2695" t="s">
        <v>23</v>
      </c>
      <c r="I2695" t="s">
        <v>93</v>
      </c>
      <c r="J2695" t="s">
        <v>54</v>
      </c>
      <c r="K2695" s="2">
        <v>2.6</v>
      </c>
      <c r="L2695" t="s">
        <v>152</v>
      </c>
      <c r="M2695" t="s">
        <v>59</v>
      </c>
      <c r="N2695" t="s">
        <v>55</v>
      </c>
      <c r="O2695" t="s">
        <v>152</v>
      </c>
      <c r="P2695" t="s">
        <v>152</v>
      </c>
      <c r="Q2695" s="3">
        <v>46</v>
      </c>
      <c r="R2695" t="s">
        <v>35</v>
      </c>
      <c r="S2695" t="s">
        <v>60</v>
      </c>
    </row>
    <row r="2696" spans="1:19" x14ac:dyDescent="0.25">
      <c r="A2696">
        <v>2695</v>
      </c>
      <c r="B2696">
        <v>66</v>
      </c>
      <c r="C2696" t="s">
        <v>153</v>
      </c>
      <c r="D2696" t="s">
        <v>89</v>
      </c>
      <c r="E2696" t="s">
        <v>69</v>
      </c>
      <c r="F2696" s="1">
        <v>27</v>
      </c>
      <c r="G2696" t="s">
        <v>62</v>
      </c>
      <c r="H2696" t="s">
        <v>45</v>
      </c>
      <c r="I2696" t="s">
        <v>79</v>
      </c>
      <c r="J2696" t="s">
        <v>39</v>
      </c>
      <c r="K2696" s="2">
        <v>4.9000000000000004</v>
      </c>
      <c r="L2696" t="s">
        <v>152</v>
      </c>
      <c r="M2696" t="s">
        <v>29</v>
      </c>
      <c r="N2696" t="s">
        <v>28</v>
      </c>
      <c r="O2696" t="s">
        <v>152</v>
      </c>
      <c r="P2696" t="s">
        <v>152</v>
      </c>
      <c r="Q2696" s="3">
        <v>34</v>
      </c>
      <c r="R2696" t="s">
        <v>27</v>
      </c>
      <c r="S2696" t="s">
        <v>97</v>
      </c>
    </row>
    <row r="2697" spans="1:19" x14ac:dyDescent="0.25">
      <c r="A2697">
        <v>2696</v>
      </c>
      <c r="B2697">
        <v>50</v>
      </c>
      <c r="C2697" t="s">
        <v>153</v>
      </c>
      <c r="D2697" t="s">
        <v>124</v>
      </c>
      <c r="E2697" t="s">
        <v>69</v>
      </c>
      <c r="F2697" s="1">
        <v>92</v>
      </c>
      <c r="G2697" t="s">
        <v>122</v>
      </c>
      <c r="H2697" t="s">
        <v>45</v>
      </c>
      <c r="I2697" t="s">
        <v>121</v>
      </c>
      <c r="J2697" t="s">
        <v>58</v>
      </c>
      <c r="K2697" s="2">
        <v>3.6</v>
      </c>
      <c r="L2697" t="s">
        <v>152</v>
      </c>
      <c r="M2697" t="s">
        <v>59</v>
      </c>
      <c r="N2697" t="s">
        <v>55</v>
      </c>
      <c r="O2697" t="s">
        <v>152</v>
      </c>
      <c r="P2697" t="s">
        <v>152</v>
      </c>
      <c r="Q2697" s="3">
        <v>10</v>
      </c>
      <c r="R2697" t="s">
        <v>46</v>
      </c>
      <c r="S2697" t="s">
        <v>77</v>
      </c>
    </row>
    <row r="2698" spans="1:19" x14ac:dyDescent="0.25">
      <c r="A2698">
        <v>2697</v>
      </c>
      <c r="B2698">
        <v>57</v>
      </c>
      <c r="C2698" t="s">
        <v>153</v>
      </c>
      <c r="D2698" t="s">
        <v>64</v>
      </c>
      <c r="E2698" t="s">
        <v>65</v>
      </c>
      <c r="F2698" s="1">
        <v>20</v>
      </c>
      <c r="G2698" t="s">
        <v>147</v>
      </c>
      <c r="H2698" t="s">
        <v>45</v>
      </c>
      <c r="I2698" t="s">
        <v>53</v>
      </c>
      <c r="J2698" t="s">
        <v>39</v>
      </c>
      <c r="K2698" s="2">
        <v>4.7</v>
      </c>
      <c r="L2698" t="s">
        <v>152</v>
      </c>
      <c r="M2698" t="s">
        <v>27</v>
      </c>
      <c r="N2698" t="s">
        <v>40</v>
      </c>
      <c r="O2698" t="s">
        <v>152</v>
      </c>
      <c r="P2698" t="s">
        <v>152</v>
      </c>
      <c r="Q2698" s="3">
        <v>12</v>
      </c>
      <c r="R2698" t="s">
        <v>59</v>
      </c>
      <c r="S2698" t="s">
        <v>88</v>
      </c>
    </row>
    <row r="2699" spans="1:19" x14ac:dyDescent="0.25">
      <c r="A2699">
        <v>2698</v>
      </c>
      <c r="B2699">
        <v>42</v>
      </c>
      <c r="C2699" t="s">
        <v>153</v>
      </c>
      <c r="D2699" t="s">
        <v>102</v>
      </c>
      <c r="E2699" t="s">
        <v>65</v>
      </c>
      <c r="F2699" s="1">
        <v>52</v>
      </c>
      <c r="G2699" t="s">
        <v>80</v>
      </c>
      <c r="H2699" t="s">
        <v>23</v>
      </c>
      <c r="I2699" t="s">
        <v>108</v>
      </c>
      <c r="J2699" t="s">
        <v>25</v>
      </c>
      <c r="K2699" s="2">
        <v>3.2</v>
      </c>
      <c r="L2699" t="s">
        <v>152</v>
      </c>
      <c r="M2699" t="s">
        <v>27</v>
      </c>
      <c r="N2699" t="s">
        <v>55</v>
      </c>
      <c r="O2699" t="s">
        <v>152</v>
      </c>
      <c r="P2699" t="s">
        <v>152</v>
      </c>
      <c r="Q2699" s="3">
        <v>36</v>
      </c>
      <c r="R2699" t="s">
        <v>34</v>
      </c>
      <c r="S2699" t="s">
        <v>60</v>
      </c>
    </row>
    <row r="2700" spans="1:19" x14ac:dyDescent="0.25">
      <c r="A2700">
        <v>2699</v>
      </c>
      <c r="B2700">
        <v>55</v>
      </c>
      <c r="C2700" t="s">
        <v>153</v>
      </c>
      <c r="D2700" t="s">
        <v>104</v>
      </c>
      <c r="E2700" t="s">
        <v>21</v>
      </c>
      <c r="F2700" s="1">
        <v>57</v>
      </c>
      <c r="G2700" t="s">
        <v>141</v>
      </c>
      <c r="H2700" t="s">
        <v>45</v>
      </c>
      <c r="I2700" t="s">
        <v>136</v>
      </c>
      <c r="J2700" t="s">
        <v>54</v>
      </c>
      <c r="K2700" s="2">
        <v>3.6</v>
      </c>
      <c r="L2700" t="s">
        <v>152</v>
      </c>
      <c r="M2700" t="s">
        <v>29</v>
      </c>
      <c r="N2700" t="s">
        <v>76</v>
      </c>
      <c r="O2700" t="s">
        <v>152</v>
      </c>
      <c r="P2700" t="s">
        <v>152</v>
      </c>
      <c r="Q2700" s="3">
        <v>34</v>
      </c>
      <c r="R2700" t="s">
        <v>29</v>
      </c>
      <c r="S2700" t="s">
        <v>60</v>
      </c>
    </row>
    <row r="2701" spans="1:19" x14ac:dyDescent="0.25">
      <c r="A2701">
        <v>2700</v>
      </c>
      <c r="B2701">
        <v>25</v>
      </c>
      <c r="C2701" t="s">
        <v>153</v>
      </c>
      <c r="D2701" t="s">
        <v>137</v>
      </c>
      <c r="E2701" t="s">
        <v>43</v>
      </c>
      <c r="F2701" s="1">
        <v>96</v>
      </c>
      <c r="G2701" t="s">
        <v>140</v>
      </c>
      <c r="H2701" t="s">
        <v>45</v>
      </c>
      <c r="I2701" t="s">
        <v>84</v>
      </c>
      <c r="J2701" t="s">
        <v>58</v>
      </c>
      <c r="K2701" s="2">
        <v>3.6</v>
      </c>
      <c r="L2701" t="s">
        <v>152</v>
      </c>
      <c r="M2701" t="s">
        <v>29</v>
      </c>
      <c r="N2701" t="s">
        <v>72</v>
      </c>
      <c r="O2701" t="s">
        <v>152</v>
      </c>
      <c r="P2701" t="s">
        <v>152</v>
      </c>
      <c r="Q2701" s="3">
        <v>49</v>
      </c>
      <c r="R2701" t="s">
        <v>59</v>
      </c>
      <c r="S2701" t="s">
        <v>50</v>
      </c>
    </row>
    <row r="2702" spans="1:19" x14ac:dyDescent="0.25">
      <c r="A2702">
        <v>2701</v>
      </c>
      <c r="B2702">
        <v>22</v>
      </c>
      <c r="C2702" t="s">
        <v>153</v>
      </c>
      <c r="D2702" t="s">
        <v>113</v>
      </c>
      <c r="E2702" t="s">
        <v>21</v>
      </c>
      <c r="F2702" s="1">
        <v>68</v>
      </c>
      <c r="G2702" t="s">
        <v>99</v>
      </c>
      <c r="H2702" t="s">
        <v>92</v>
      </c>
      <c r="I2702" t="s">
        <v>79</v>
      </c>
      <c r="J2702" t="s">
        <v>25</v>
      </c>
      <c r="K2702" s="2">
        <v>3.2</v>
      </c>
      <c r="L2702" t="s">
        <v>152</v>
      </c>
      <c r="M2702" t="s">
        <v>34</v>
      </c>
      <c r="N2702" t="s">
        <v>55</v>
      </c>
      <c r="O2702" t="s">
        <v>152</v>
      </c>
      <c r="P2702" t="s">
        <v>152</v>
      </c>
      <c r="Q2702" s="3">
        <v>36</v>
      </c>
      <c r="R2702" t="s">
        <v>35</v>
      </c>
      <c r="S2702" t="s">
        <v>41</v>
      </c>
    </row>
    <row r="2703" spans="1:19" x14ac:dyDescent="0.25">
      <c r="A2703">
        <v>2702</v>
      </c>
      <c r="B2703">
        <v>49</v>
      </c>
      <c r="C2703" t="s">
        <v>153</v>
      </c>
      <c r="D2703" t="s">
        <v>31</v>
      </c>
      <c r="E2703" t="s">
        <v>21</v>
      </c>
      <c r="F2703" s="1">
        <v>30</v>
      </c>
      <c r="G2703" t="s">
        <v>135</v>
      </c>
      <c r="H2703" t="s">
        <v>23</v>
      </c>
      <c r="I2703" t="s">
        <v>67</v>
      </c>
      <c r="J2703" t="s">
        <v>54</v>
      </c>
      <c r="K2703" s="2">
        <v>2.8</v>
      </c>
      <c r="L2703" t="s">
        <v>152</v>
      </c>
      <c r="M2703" t="s">
        <v>34</v>
      </c>
      <c r="N2703" t="s">
        <v>76</v>
      </c>
      <c r="O2703" t="s">
        <v>152</v>
      </c>
      <c r="P2703" t="s">
        <v>152</v>
      </c>
      <c r="Q2703" s="3">
        <v>18</v>
      </c>
      <c r="R2703" t="s">
        <v>34</v>
      </c>
      <c r="S2703" t="s">
        <v>30</v>
      </c>
    </row>
    <row r="2704" spans="1:19" x14ac:dyDescent="0.25">
      <c r="A2704">
        <v>2703</v>
      </c>
      <c r="B2704">
        <v>70</v>
      </c>
      <c r="C2704" t="s">
        <v>153</v>
      </c>
      <c r="D2704" t="s">
        <v>73</v>
      </c>
      <c r="E2704" t="s">
        <v>43</v>
      </c>
      <c r="F2704" s="1">
        <v>37</v>
      </c>
      <c r="G2704" t="s">
        <v>105</v>
      </c>
      <c r="H2704" t="s">
        <v>23</v>
      </c>
      <c r="I2704" t="s">
        <v>24</v>
      </c>
      <c r="J2704" t="s">
        <v>58</v>
      </c>
      <c r="K2704" s="2">
        <v>4</v>
      </c>
      <c r="L2704" t="s">
        <v>152</v>
      </c>
      <c r="M2704" t="s">
        <v>46</v>
      </c>
      <c r="N2704" t="s">
        <v>47</v>
      </c>
      <c r="O2704" t="s">
        <v>152</v>
      </c>
      <c r="P2704" t="s">
        <v>152</v>
      </c>
      <c r="Q2704" s="3">
        <v>39</v>
      </c>
      <c r="R2704" t="s">
        <v>59</v>
      </c>
      <c r="S2704" t="s">
        <v>30</v>
      </c>
    </row>
    <row r="2705" spans="1:19" x14ac:dyDescent="0.25">
      <c r="A2705">
        <v>2704</v>
      </c>
      <c r="B2705">
        <v>56</v>
      </c>
      <c r="C2705" t="s">
        <v>153</v>
      </c>
      <c r="D2705" t="s">
        <v>119</v>
      </c>
      <c r="E2705" t="s">
        <v>69</v>
      </c>
      <c r="F2705" s="1">
        <v>42</v>
      </c>
      <c r="G2705" t="s">
        <v>122</v>
      </c>
      <c r="H2705" t="s">
        <v>92</v>
      </c>
      <c r="I2705" t="s">
        <v>79</v>
      </c>
      <c r="J2705" t="s">
        <v>25</v>
      </c>
      <c r="K2705" s="2">
        <v>4.4000000000000004</v>
      </c>
      <c r="L2705" t="s">
        <v>152</v>
      </c>
      <c r="M2705" t="s">
        <v>34</v>
      </c>
      <c r="N2705" t="s">
        <v>40</v>
      </c>
      <c r="O2705" t="s">
        <v>152</v>
      </c>
      <c r="P2705" t="s">
        <v>152</v>
      </c>
      <c r="Q2705" s="3">
        <v>34</v>
      </c>
      <c r="R2705" t="s">
        <v>46</v>
      </c>
      <c r="S2705" t="s">
        <v>41</v>
      </c>
    </row>
    <row r="2706" spans="1:19" x14ac:dyDescent="0.25">
      <c r="A2706">
        <v>2705</v>
      </c>
      <c r="B2706">
        <v>52</v>
      </c>
      <c r="C2706" t="s">
        <v>153</v>
      </c>
      <c r="D2706" t="s">
        <v>82</v>
      </c>
      <c r="E2706" t="s">
        <v>21</v>
      </c>
      <c r="F2706" s="1">
        <v>54</v>
      </c>
      <c r="G2706" t="s">
        <v>122</v>
      </c>
      <c r="H2706" t="s">
        <v>23</v>
      </c>
      <c r="I2706" t="s">
        <v>118</v>
      </c>
      <c r="J2706" t="s">
        <v>39</v>
      </c>
      <c r="K2706" s="2">
        <v>3.4</v>
      </c>
      <c r="L2706" t="s">
        <v>152</v>
      </c>
      <c r="M2706" t="s">
        <v>27</v>
      </c>
      <c r="N2706" t="s">
        <v>47</v>
      </c>
      <c r="O2706" t="s">
        <v>152</v>
      </c>
      <c r="P2706" t="s">
        <v>152</v>
      </c>
      <c r="Q2706" s="3">
        <v>35</v>
      </c>
      <c r="R2706" t="s">
        <v>59</v>
      </c>
      <c r="S2706" t="s">
        <v>41</v>
      </c>
    </row>
    <row r="2707" spans="1:19" x14ac:dyDescent="0.25">
      <c r="A2707">
        <v>2706</v>
      </c>
      <c r="B2707">
        <v>65</v>
      </c>
      <c r="C2707" t="s">
        <v>153</v>
      </c>
      <c r="D2707" t="s">
        <v>102</v>
      </c>
      <c r="E2707" t="s">
        <v>65</v>
      </c>
      <c r="F2707" s="1">
        <v>81</v>
      </c>
      <c r="G2707" t="s">
        <v>149</v>
      </c>
      <c r="H2707" t="s">
        <v>38</v>
      </c>
      <c r="I2707" t="s">
        <v>49</v>
      </c>
      <c r="J2707" t="s">
        <v>39</v>
      </c>
      <c r="K2707" s="2">
        <v>5</v>
      </c>
      <c r="L2707" t="s">
        <v>152</v>
      </c>
      <c r="M2707" t="s">
        <v>59</v>
      </c>
      <c r="N2707" t="s">
        <v>76</v>
      </c>
      <c r="O2707" t="s">
        <v>152</v>
      </c>
      <c r="P2707" t="s">
        <v>152</v>
      </c>
      <c r="Q2707" s="3">
        <v>1</v>
      </c>
      <c r="R2707" t="s">
        <v>27</v>
      </c>
      <c r="S2707" t="s">
        <v>77</v>
      </c>
    </row>
    <row r="2708" spans="1:19" x14ac:dyDescent="0.25">
      <c r="A2708">
        <v>2707</v>
      </c>
      <c r="B2708">
        <v>24</v>
      </c>
      <c r="C2708" t="s">
        <v>153</v>
      </c>
      <c r="D2708" t="s">
        <v>73</v>
      </c>
      <c r="E2708" t="s">
        <v>43</v>
      </c>
      <c r="F2708" s="1">
        <v>40</v>
      </c>
      <c r="G2708" t="s">
        <v>90</v>
      </c>
      <c r="H2708" t="s">
        <v>38</v>
      </c>
      <c r="I2708" t="s">
        <v>144</v>
      </c>
      <c r="J2708" t="s">
        <v>39</v>
      </c>
      <c r="K2708" s="2">
        <v>3.1</v>
      </c>
      <c r="L2708" t="s">
        <v>152</v>
      </c>
      <c r="M2708" t="s">
        <v>34</v>
      </c>
      <c r="N2708" t="s">
        <v>28</v>
      </c>
      <c r="O2708" t="s">
        <v>152</v>
      </c>
      <c r="P2708" t="s">
        <v>152</v>
      </c>
      <c r="Q2708" s="3">
        <v>48</v>
      </c>
      <c r="R2708" t="s">
        <v>59</v>
      </c>
      <c r="S2708" t="s">
        <v>60</v>
      </c>
    </row>
    <row r="2709" spans="1:19" x14ac:dyDescent="0.25">
      <c r="A2709">
        <v>2708</v>
      </c>
      <c r="B2709">
        <v>32</v>
      </c>
      <c r="C2709" t="s">
        <v>153</v>
      </c>
      <c r="D2709" t="s">
        <v>132</v>
      </c>
      <c r="E2709" t="s">
        <v>69</v>
      </c>
      <c r="F2709" s="1">
        <v>88</v>
      </c>
      <c r="G2709" t="s">
        <v>145</v>
      </c>
      <c r="H2709" t="s">
        <v>45</v>
      </c>
      <c r="I2709" t="s">
        <v>71</v>
      </c>
      <c r="J2709" t="s">
        <v>58</v>
      </c>
      <c r="K2709" s="2">
        <v>4.2</v>
      </c>
      <c r="L2709" t="s">
        <v>152</v>
      </c>
      <c r="M2709" t="s">
        <v>35</v>
      </c>
      <c r="N2709" t="s">
        <v>55</v>
      </c>
      <c r="O2709" t="s">
        <v>152</v>
      </c>
      <c r="P2709" t="s">
        <v>152</v>
      </c>
      <c r="Q2709" s="3">
        <v>19</v>
      </c>
      <c r="R2709" t="s">
        <v>35</v>
      </c>
      <c r="S2709" t="s">
        <v>41</v>
      </c>
    </row>
    <row r="2710" spans="1:19" x14ac:dyDescent="0.25">
      <c r="A2710">
        <v>2709</v>
      </c>
      <c r="B2710">
        <v>57</v>
      </c>
      <c r="C2710" t="s">
        <v>153</v>
      </c>
      <c r="D2710" t="s">
        <v>82</v>
      </c>
      <c r="E2710" t="s">
        <v>21</v>
      </c>
      <c r="F2710" s="1">
        <v>94</v>
      </c>
      <c r="G2710" t="s">
        <v>90</v>
      </c>
      <c r="H2710" t="s">
        <v>45</v>
      </c>
      <c r="I2710" t="s">
        <v>86</v>
      </c>
      <c r="J2710" t="s">
        <v>54</v>
      </c>
      <c r="K2710" s="2">
        <v>3.3</v>
      </c>
      <c r="L2710" t="s">
        <v>152</v>
      </c>
      <c r="M2710" t="s">
        <v>59</v>
      </c>
      <c r="N2710" t="s">
        <v>76</v>
      </c>
      <c r="O2710" t="s">
        <v>152</v>
      </c>
      <c r="P2710" t="s">
        <v>152</v>
      </c>
      <c r="Q2710" s="3">
        <v>44</v>
      </c>
      <c r="R2710" t="s">
        <v>59</v>
      </c>
      <c r="S2710" t="s">
        <v>41</v>
      </c>
    </row>
    <row r="2711" spans="1:19" x14ac:dyDescent="0.25">
      <c r="A2711">
        <v>2710</v>
      </c>
      <c r="B2711">
        <v>35</v>
      </c>
      <c r="C2711" t="s">
        <v>153</v>
      </c>
      <c r="D2711" t="s">
        <v>56</v>
      </c>
      <c r="E2711" t="s">
        <v>21</v>
      </c>
      <c r="F2711" s="1">
        <v>54</v>
      </c>
      <c r="G2711" t="s">
        <v>115</v>
      </c>
      <c r="H2711" t="s">
        <v>38</v>
      </c>
      <c r="I2711" t="s">
        <v>109</v>
      </c>
      <c r="J2711" t="s">
        <v>25</v>
      </c>
      <c r="K2711" s="2">
        <v>2.9</v>
      </c>
      <c r="L2711" t="s">
        <v>152</v>
      </c>
      <c r="M2711" t="s">
        <v>59</v>
      </c>
      <c r="N2711" t="s">
        <v>55</v>
      </c>
      <c r="O2711" t="s">
        <v>152</v>
      </c>
      <c r="P2711" t="s">
        <v>152</v>
      </c>
      <c r="Q2711" s="3">
        <v>9</v>
      </c>
      <c r="R2711" t="s">
        <v>27</v>
      </c>
      <c r="S2711" t="s">
        <v>77</v>
      </c>
    </row>
    <row r="2712" spans="1:19" x14ac:dyDescent="0.25">
      <c r="A2712">
        <v>2711</v>
      </c>
      <c r="B2712">
        <v>69</v>
      </c>
      <c r="C2712" t="s">
        <v>153</v>
      </c>
      <c r="D2712" t="s">
        <v>102</v>
      </c>
      <c r="E2712" t="s">
        <v>65</v>
      </c>
      <c r="F2712" s="1">
        <v>51</v>
      </c>
      <c r="G2712" t="s">
        <v>150</v>
      </c>
      <c r="H2712" t="s">
        <v>23</v>
      </c>
      <c r="I2712" t="s">
        <v>75</v>
      </c>
      <c r="J2712" t="s">
        <v>54</v>
      </c>
      <c r="K2712" s="2">
        <v>4.7</v>
      </c>
      <c r="L2712" t="s">
        <v>152</v>
      </c>
      <c r="M2712" t="s">
        <v>59</v>
      </c>
      <c r="N2712" t="s">
        <v>55</v>
      </c>
      <c r="O2712" t="s">
        <v>152</v>
      </c>
      <c r="P2712" t="s">
        <v>152</v>
      </c>
      <c r="Q2712" s="3">
        <v>3</v>
      </c>
      <c r="R2712" t="s">
        <v>34</v>
      </c>
      <c r="S2712" t="s">
        <v>30</v>
      </c>
    </row>
    <row r="2713" spans="1:19" x14ac:dyDescent="0.25">
      <c r="A2713">
        <v>2712</v>
      </c>
      <c r="B2713">
        <v>30</v>
      </c>
      <c r="C2713" t="s">
        <v>153</v>
      </c>
      <c r="D2713" t="s">
        <v>89</v>
      </c>
      <c r="E2713" t="s">
        <v>69</v>
      </c>
      <c r="F2713" s="1">
        <v>22</v>
      </c>
      <c r="G2713" t="s">
        <v>145</v>
      </c>
      <c r="H2713" t="s">
        <v>23</v>
      </c>
      <c r="I2713" t="s">
        <v>108</v>
      </c>
      <c r="J2713" t="s">
        <v>39</v>
      </c>
      <c r="K2713" s="2">
        <v>4</v>
      </c>
      <c r="L2713" t="s">
        <v>152</v>
      </c>
      <c r="M2713" t="s">
        <v>27</v>
      </c>
      <c r="N2713" t="s">
        <v>55</v>
      </c>
      <c r="O2713" t="s">
        <v>152</v>
      </c>
      <c r="P2713" t="s">
        <v>152</v>
      </c>
      <c r="Q2713" s="3">
        <v>50</v>
      </c>
      <c r="R2713" t="s">
        <v>29</v>
      </c>
      <c r="S2713" t="s">
        <v>88</v>
      </c>
    </row>
    <row r="2714" spans="1:19" x14ac:dyDescent="0.25">
      <c r="A2714">
        <v>2713</v>
      </c>
      <c r="B2714">
        <v>37</v>
      </c>
      <c r="C2714" t="s">
        <v>153</v>
      </c>
      <c r="D2714" t="s">
        <v>102</v>
      </c>
      <c r="E2714" t="s">
        <v>65</v>
      </c>
      <c r="F2714" s="1">
        <v>95</v>
      </c>
      <c r="G2714" t="s">
        <v>114</v>
      </c>
      <c r="H2714" t="s">
        <v>23</v>
      </c>
      <c r="I2714" t="s">
        <v>110</v>
      </c>
      <c r="J2714" t="s">
        <v>58</v>
      </c>
      <c r="K2714" s="2">
        <v>4.5999999999999996</v>
      </c>
      <c r="L2714" t="s">
        <v>152</v>
      </c>
      <c r="M2714" t="s">
        <v>27</v>
      </c>
      <c r="N2714" t="s">
        <v>55</v>
      </c>
      <c r="O2714" t="s">
        <v>152</v>
      </c>
      <c r="P2714" t="s">
        <v>152</v>
      </c>
      <c r="Q2714" s="3">
        <v>7</v>
      </c>
      <c r="R2714" t="s">
        <v>59</v>
      </c>
      <c r="S2714" t="s">
        <v>60</v>
      </c>
    </row>
    <row r="2715" spans="1:19" x14ac:dyDescent="0.25">
      <c r="A2715">
        <v>2714</v>
      </c>
      <c r="B2715">
        <v>19</v>
      </c>
      <c r="C2715" t="s">
        <v>153</v>
      </c>
      <c r="D2715" t="s">
        <v>64</v>
      </c>
      <c r="E2715" t="s">
        <v>65</v>
      </c>
      <c r="F2715" s="1">
        <v>57</v>
      </c>
      <c r="G2715" t="s">
        <v>91</v>
      </c>
      <c r="H2715" t="s">
        <v>45</v>
      </c>
      <c r="I2715" t="s">
        <v>136</v>
      </c>
      <c r="J2715" t="s">
        <v>58</v>
      </c>
      <c r="K2715" s="2">
        <v>3.8</v>
      </c>
      <c r="L2715" t="s">
        <v>152</v>
      </c>
      <c r="M2715" t="s">
        <v>46</v>
      </c>
      <c r="N2715" t="s">
        <v>72</v>
      </c>
      <c r="O2715" t="s">
        <v>152</v>
      </c>
      <c r="P2715" t="s">
        <v>152</v>
      </c>
      <c r="Q2715" s="3">
        <v>20</v>
      </c>
      <c r="R2715" t="s">
        <v>59</v>
      </c>
      <c r="S2715" t="s">
        <v>50</v>
      </c>
    </row>
    <row r="2716" spans="1:19" x14ac:dyDescent="0.25">
      <c r="A2716">
        <v>2715</v>
      </c>
      <c r="B2716">
        <v>53</v>
      </c>
      <c r="C2716" t="s">
        <v>153</v>
      </c>
      <c r="D2716" t="s">
        <v>31</v>
      </c>
      <c r="E2716" t="s">
        <v>21</v>
      </c>
      <c r="F2716" s="1">
        <v>45</v>
      </c>
      <c r="G2716" t="s">
        <v>146</v>
      </c>
      <c r="H2716" t="s">
        <v>38</v>
      </c>
      <c r="I2716" t="s">
        <v>79</v>
      </c>
      <c r="J2716" t="s">
        <v>25</v>
      </c>
      <c r="K2716" s="2">
        <v>3.6</v>
      </c>
      <c r="L2716" t="s">
        <v>152</v>
      </c>
      <c r="M2716" t="s">
        <v>59</v>
      </c>
      <c r="N2716" t="s">
        <v>76</v>
      </c>
      <c r="O2716" t="s">
        <v>152</v>
      </c>
      <c r="P2716" t="s">
        <v>152</v>
      </c>
      <c r="Q2716" s="3">
        <v>16</v>
      </c>
      <c r="R2716" t="s">
        <v>27</v>
      </c>
      <c r="S2716" t="s">
        <v>77</v>
      </c>
    </row>
    <row r="2717" spans="1:19" x14ac:dyDescent="0.25">
      <c r="A2717">
        <v>2716</v>
      </c>
      <c r="B2717">
        <v>25</v>
      </c>
      <c r="C2717" t="s">
        <v>153</v>
      </c>
      <c r="D2717" t="s">
        <v>51</v>
      </c>
      <c r="E2717" t="s">
        <v>43</v>
      </c>
      <c r="F2717" s="1">
        <v>92</v>
      </c>
      <c r="G2717" t="s">
        <v>91</v>
      </c>
      <c r="H2717" t="s">
        <v>92</v>
      </c>
      <c r="I2717" t="s">
        <v>71</v>
      </c>
      <c r="J2717" t="s">
        <v>25</v>
      </c>
      <c r="K2717" s="2">
        <v>4.0999999999999996</v>
      </c>
      <c r="L2717" t="s">
        <v>152</v>
      </c>
      <c r="M2717" t="s">
        <v>59</v>
      </c>
      <c r="N2717" t="s">
        <v>28</v>
      </c>
      <c r="O2717" t="s">
        <v>152</v>
      </c>
      <c r="P2717" t="s">
        <v>152</v>
      </c>
      <c r="Q2717" s="3">
        <v>29</v>
      </c>
      <c r="R2717" t="s">
        <v>46</v>
      </c>
      <c r="S2717" t="s">
        <v>30</v>
      </c>
    </row>
    <row r="2718" spans="1:19" x14ac:dyDescent="0.25">
      <c r="A2718">
        <v>2717</v>
      </c>
      <c r="B2718">
        <v>47</v>
      </c>
      <c r="C2718" t="s">
        <v>153</v>
      </c>
      <c r="D2718" t="s">
        <v>73</v>
      </c>
      <c r="E2718" t="s">
        <v>43</v>
      </c>
      <c r="F2718" s="1">
        <v>40</v>
      </c>
      <c r="G2718" t="s">
        <v>112</v>
      </c>
      <c r="H2718" t="s">
        <v>23</v>
      </c>
      <c r="I2718" t="s">
        <v>94</v>
      </c>
      <c r="J2718" t="s">
        <v>39</v>
      </c>
      <c r="K2718" s="2">
        <v>2.7</v>
      </c>
      <c r="L2718" t="s">
        <v>152</v>
      </c>
      <c r="M2718" t="s">
        <v>59</v>
      </c>
      <c r="N2718" t="s">
        <v>76</v>
      </c>
      <c r="O2718" t="s">
        <v>152</v>
      </c>
      <c r="P2718" t="s">
        <v>152</v>
      </c>
      <c r="Q2718" s="3">
        <v>21</v>
      </c>
      <c r="R2718" t="s">
        <v>59</v>
      </c>
      <c r="S2718" t="s">
        <v>41</v>
      </c>
    </row>
    <row r="2719" spans="1:19" x14ac:dyDescent="0.25">
      <c r="A2719">
        <v>2718</v>
      </c>
      <c r="B2719">
        <v>18</v>
      </c>
      <c r="C2719" t="s">
        <v>153</v>
      </c>
      <c r="D2719" t="s">
        <v>89</v>
      </c>
      <c r="E2719" t="s">
        <v>69</v>
      </c>
      <c r="F2719" s="1">
        <v>62</v>
      </c>
      <c r="G2719" t="s">
        <v>145</v>
      </c>
      <c r="H2719" t="s">
        <v>92</v>
      </c>
      <c r="I2719" t="s">
        <v>118</v>
      </c>
      <c r="J2719" t="s">
        <v>25</v>
      </c>
      <c r="K2719" s="2">
        <v>4.3</v>
      </c>
      <c r="L2719" t="s">
        <v>152</v>
      </c>
      <c r="M2719" t="s">
        <v>59</v>
      </c>
      <c r="N2719" t="s">
        <v>40</v>
      </c>
      <c r="O2719" t="s">
        <v>152</v>
      </c>
      <c r="P2719" t="s">
        <v>152</v>
      </c>
      <c r="Q2719" s="3">
        <v>19</v>
      </c>
      <c r="R2719" t="s">
        <v>27</v>
      </c>
      <c r="S2719" t="s">
        <v>97</v>
      </c>
    </row>
    <row r="2720" spans="1:19" x14ac:dyDescent="0.25">
      <c r="A2720">
        <v>2719</v>
      </c>
      <c r="B2720">
        <v>22</v>
      </c>
      <c r="C2720" t="s">
        <v>153</v>
      </c>
      <c r="D2720" t="s">
        <v>61</v>
      </c>
      <c r="E2720" t="s">
        <v>21</v>
      </c>
      <c r="F2720" s="1">
        <v>90</v>
      </c>
      <c r="G2720" t="s">
        <v>141</v>
      </c>
      <c r="H2720" t="s">
        <v>45</v>
      </c>
      <c r="I2720" t="s">
        <v>100</v>
      </c>
      <c r="J2720" t="s">
        <v>25</v>
      </c>
      <c r="K2720" s="2">
        <v>4.9000000000000004</v>
      </c>
      <c r="L2720" t="s">
        <v>152</v>
      </c>
      <c r="M2720" t="s">
        <v>27</v>
      </c>
      <c r="N2720" t="s">
        <v>47</v>
      </c>
      <c r="O2720" t="s">
        <v>152</v>
      </c>
      <c r="P2720" t="s">
        <v>152</v>
      </c>
      <c r="Q2720" s="3">
        <v>10</v>
      </c>
      <c r="R2720" t="s">
        <v>29</v>
      </c>
      <c r="S2720" t="s">
        <v>77</v>
      </c>
    </row>
    <row r="2721" spans="1:19" x14ac:dyDescent="0.25">
      <c r="A2721">
        <v>2720</v>
      </c>
      <c r="B2721">
        <v>69</v>
      </c>
      <c r="C2721" t="s">
        <v>153</v>
      </c>
      <c r="D2721" t="s">
        <v>104</v>
      </c>
      <c r="E2721" t="s">
        <v>21</v>
      </c>
      <c r="F2721" s="1">
        <v>82</v>
      </c>
      <c r="G2721" t="s">
        <v>62</v>
      </c>
      <c r="H2721" t="s">
        <v>38</v>
      </c>
      <c r="I2721" t="s">
        <v>100</v>
      </c>
      <c r="J2721" t="s">
        <v>58</v>
      </c>
      <c r="K2721" s="2">
        <v>4.2</v>
      </c>
      <c r="L2721" t="s">
        <v>152</v>
      </c>
      <c r="M2721" t="s">
        <v>29</v>
      </c>
      <c r="N2721" t="s">
        <v>40</v>
      </c>
      <c r="O2721" t="s">
        <v>152</v>
      </c>
      <c r="P2721" t="s">
        <v>152</v>
      </c>
      <c r="Q2721" s="3">
        <v>4</v>
      </c>
      <c r="R2721" t="s">
        <v>34</v>
      </c>
      <c r="S2721" t="s">
        <v>88</v>
      </c>
    </row>
    <row r="2722" spans="1:19" x14ac:dyDescent="0.25">
      <c r="A2722">
        <v>2721</v>
      </c>
      <c r="B2722">
        <v>55</v>
      </c>
      <c r="C2722" t="s">
        <v>153</v>
      </c>
      <c r="D2722" t="s">
        <v>119</v>
      </c>
      <c r="E2722" t="s">
        <v>69</v>
      </c>
      <c r="F2722" s="1">
        <v>52</v>
      </c>
      <c r="G2722" t="s">
        <v>128</v>
      </c>
      <c r="H2722" t="s">
        <v>45</v>
      </c>
      <c r="I2722" t="s">
        <v>100</v>
      </c>
      <c r="J2722" t="s">
        <v>39</v>
      </c>
      <c r="K2722" s="2">
        <v>2.8</v>
      </c>
      <c r="L2722" t="s">
        <v>152</v>
      </c>
      <c r="M2722" t="s">
        <v>59</v>
      </c>
      <c r="N2722" t="s">
        <v>76</v>
      </c>
      <c r="O2722" t="s">
        <v>152</v>
      </c>
      <c r="P2722" t="s">
        <v>152</v>
      </c>
      <c r="Q2722" s="3">
        <v>45</v>
      </c>
      <c r="R2722" t="s">
        <v>34</v>
      </c>
      <c r="S2722" t="s">
        <v>60</v>
      </c>
    </row>
    <row r="2723" spans="1:19" x14ac:dyDescent="0.25">
      <c r="A2723">
        <v>2722</v>
      </c>
      <c r="B2723">
        <v>19</v>
      </c>
      <c r="C2723" t="s">
        <v>153</v>
      </c>
      <c r="D2723" t="s">
        <v>42</v>
      </c>
      <c r="E2723" t="s">
        <v>43</v>
      </c>
      <c r="F2723" s="1">
        <v>70</v>
      </c>
      <c r="G2723" t="s">
        <v>148</v>
      </c>
      <c r="H2723" t="s">
        <v>38</v>
      </c>
      <c r="I2723" t="s">
        <v>86</v>
      </c>
      <c r="J2723" t="s">
        <v>39</v>
      </c>
      <c r="K2723" s="2">
        <v>4.9000000000000004</v>
      </c>
      <c r="L2723" t="s">
        <v>152</v>
      </c>
      <c r="M2723" t="s">
        <v>35</v>
      </c>
      <c r="N2723" t="s">
        <v>40</v>
      </c>
      <c r="O2723" t="s">
        <v>152</v>
      </c>
      <c r="P2723" t="s">
        <v>152</v>
      </c>
      <c r="Q2723" s="3">
        <v>17</v>
      </c>
      <c r="R2723" t="s">
        <v>46</v>
      </c>
      <c r="S2723" t="s">
        <v>30</v>
      </c>
    </row>
    <row r="2724" spans="1:19" x14ac:dyDescent="0.25">
      <c r="A2724">
        <v>2723</v>
      </c>
      <c r="B2724">
        <v>23</v>
      </c>
      <c r="C2724" t="s">
        <v>153</v>
      </c>
      <c r="D2724" t="s">
        <v>124</v>
      </c>
      <c r="E2724" t="s">
        <v>69</v>
      </c>
      <c r="F2724" s="1">
        <v>83</v>
      </c>
      <c r="G2724" t="s">
        <v>32</v>
      </c>
      <c r="H2724" t="s">
        <v>45</v>
      </c>
      <c r="I2724" t="s">
        <v>96</v>
      </c>
      <c r="J2724" t="s">
        <v>39</v>
      </c>
      <c r="K2724" s="2">
        <v>2.8</v>
      </c>
      <c r="L2724" t="s">
        <v>152</v>
      </c>
      <c r="M2724" t="s">
        <v>46</v>
      </c>
      <c r="N2724" t="s">
        <v>72</v>
      </c>
      <c r="O2724" t="s">
        <v>152</v>
      </c>
      <c r="P2724" t="s">
        <v>152</v>
      </c>
      <c r="Q2724" s="3">
        <v>22</v>
      </c>
      <c r="R2724" t="s">
        <v>46</v>
      </c>
      <c r="S2724" t="s">
        <v>30</v>
      </c>
    </row>
    <row r="2725" spans="1:19" x14ac:dyDescent="0.25">
      <c r="A2725">
        <v>2724</v>
      </c>
      <c r="B2725">
        <v>54</v>
      </c>
      <c r="C2725" t="s">
        <v>153</v>
      </c>
      <c r="D2725" t="s">
        <v>73</v>
      </c>
      <c r="E2725" t="s">
        <v>43</v>
      </c>
      <c r="F2725" s="1">
        <v>49</v>
      </c>
      <c r="G2725" t="s">
        <v>105</v>
      </c>
      <c r="H2725" t="s">
        <v>92</v>
      </c>
      <c r="I2725" t="s">
        <v>110</v>
      </c>
      <c r="J2725" t="s">
        <v>54</v>
      </c>
      <c r="K2725" s="2">
        <v>2.9</v>
      </c>
      <c r="L2725" t="s">
        <v>152</v>
      </c>
      <c r="M2725" t="s">
        <v>34</v>
      </c>
      <c r="N2725" t="s">
        <v>76</v>
      </c>
      <c r="O2725" t="s">
        <v>152</v>
      </c>
      <c r="P2725" t="s">
        <v>152</v>
      </c>
      <c r="Q2725" s="3">
        <v>3</v>
      </c>
      <c r="R2725" t="s">
        <v>46</v>
      </c>
      <c r="S2725" t="s">
        <v>97</v>
      </c>
    </row>
    <row r="2726" spans="1:19" x14ac:dyDescent="0.25">
      <c r="A2726">
        <v>2725</v>
      </c>
      <c r="B2726">
        <v>52</v>
      </c>
      <c r="C2726" t="s">
        <v>153</v>
      </c>
      <c r="D2726" t="s">
        <v>51</v>
      </c>
      <c r="E2726" t="s">
        <v>43</v>
      </c>
      <c r="F2726" s="1">
        <v>91</v>
      </c>
      <c r="G2726" t="s">
        <v>70</v>
      </c>
      <c r="H2726" t="s">
        <v>45</v>
      </c>
      <c r="I2726" t="s">
        <v>110</v>
      </c>
      <c r="J2726" t="s">
        <v>39</v>
      </c>
      <c r="K2726" s="2">
        <v>2.5</v>
      </c>
      <c r="L2726" t="s">
        <v>152</v>
      </c>
      <c r="M2726" t="s">
        <v>34</v>
      </c>
      <c r="N2726" t="s">
        <v>47</v>
      </c>
      <c r="O2726" t="s">
        <v>152</v>
      </c>
      <c r="P2726" t="s">
        <v>152</v>
      </c>
      <c r="Q2726" s="3">
        <v>11</v>
      </c>
      <c r="R2726" t="s">
        <v>59</v>
      </c>
      <c r="S2726" t="s">
        <v>30</v>
      </c>
    </row>
    <row r="2727" spans="1:19" x14ac:dyDescent="0.25">
      <c r="A2727">
        <v>2726</v>
      </c>
      <c r="B2727">
        <v>64</v>
      </c>
      <c r="C2727" t="s">
        <v>153</v>
      </c>
      <c r="D2727" t="s">
        <v>132</v>
      </c>
      <c r="E2727" t="s">
        <v>69</v>
      </c>
      <c r="F2727" s="1">
        <v>99</v>
      </c>
      <c r="G2727" t="s">
        <v>91</v>
      </c>
      <c r="H2727" t="s">
        <v>38</v>
      </c>
      <c r="I2727" t="s">
        <v>84</v>
      </c>
      <c r="J2727" t="s">
        <v>54</v>
      </c>
      <c r="K2727" s="2">
        <v>2.7</v>
      </c>
      <c r="L2727" t="s">
        <v>152</v>
      </c>
      <c r="M2727" t="s">
        <v>34</v>
      </c>
      <c r="N2727" t="s">
        <v>40</v>
      </c>
      <c r="O2727" t="s">
        <v>152</v>
      </c>
      <c r="P2727" t="s">
        <v>152</v>
      </c>
      <c r="Q2727" s="3">
        <v>4</v>
      </c>
      <c r="R2727" t="s">
        <v>59</v>
      </c>
      <c r="S2727" t="s">
        <v>50</v>
      </c>
    </row>
    <row r="2728" spans="1:19" x14ac:dyDescent="0.25">
      <c r="A2728">
        <v>2727</v>
      </c>
      <c r="B2728">
        <v>33</v>
      </c>
      <c r="C2728" t="s">
        <v>153</v>
      </c>
      <c r="D2728" t="s">
        <v>133</v>
      </c>
      <c r="E2728" t="s">
        <v>69</v>
      </c>
      <c r="F2728" s="1">
        <v>92</v>
      </c>
      <c r="G2728" t="s">
        <v>151</v>
      </c>
      <c r="H2728" t="s">
        <v>23</v>
      </c>
      <c r="I2728" t="s">
        <v>144</v>
      </c>
      <c r="J2728" t="s">
        <v>25</v>
      </c>
      <c r="K2728" s="2">
        <v>3.3</v>
      </c>
      <c r="L2728" t="s">
        <v>152</v>
      </c>
      <c r="M2728" t="s">
        <v>59</v>
      </c>
      <c r="N2728" t="s">
        <v>40</v>
      </c>
      <c r="O2728" t="s">
        <v>152</v>
      </c>
      <c r="P2728" t="s">
        <v>152</v>
      </c>
      <c r="Q2728" s="3">
        <v>11</v>
      </c>
      <c r="R2728" t="s">
        <v>46</v>
      </c>
      <c r="S2728" t="s">
        <v>77</v>
      </c>
    </row>
    <row r="2729" spans="1:19" x14ac:dyDescent="0.25">
      <c r="A2729">
        <v>2728</v>
      </c>
      <c r="B2729">
        <v>40</v>
      </c>
      <c r="C2729" t="s">
        <v>153</v>
      </c>
      <c r="D2729" t="s">
        <v>56</v>
      </c>
      <c r="E2729" t="s">
        <v>21</v>
      </c>
      <c r="F2729" s="1">
        <v>87</v>
      </c>
      <c r="G2729" t="s">
        <v>112</v>
      </c>
      <c r="H2729" t="s">
        <v>23</v>
      </c>
      <c r="I2729" t="s">
        <v>63</v>
      </c>
      <c r="J2729" t="s">
        <v>25</v>
      </c>
      <c r="K2729" s="2">
        <v>3.7</v>
      </c>
      <c r="L2729" t="s">
        <v>152</v>
      </c>
      <c r="M2729" t="s">
        <v>59</v>
      </c>
      <c r="N2729" t="s">
        <v>72</v>
      </c>
      <c r="O2729" t="s">
        <v>152</v>
      </c>
      <c r="P2729" t="s">
        <v>152</v>
      </c>
      <c r="Q2729" s="3">
        <v>47</v>
      </c>
      <c r="R2729" t="s">
        <v>27</v>
      </c>
      <c r="S2729" t="s">
        <v>30</v>
      </c>
    </row>
    <row r="2730" spans="1:19" x14ac:dyDescent="0.25">
      <c r="A2730">
        <v>2729</v>
      </c>
      <c r="B2730">
        <v>26</v>
      </c>
      <c r="C2730" t="s">
        <v>153</v>
      </c>
      <c r="D2730" t="s">
        <v>87</v>
      </c>
      <c r="E2730" t="s">
        <v>21</v>
      </c>
      <c r="F2730" s="1">
        <v>28</v>
      </c>
      <c r="G2730" t="s">
        <v>103</v>
      </c>
      <c r="H2730" t="s">
        <v>45</v>
      </c>
      <c r="I2730" t="s">
        <v>71</v>
      </c>
      <c r="J2730" t="s">
        <v>25</v>
      </c>
      <c r="K2730" s="2">
        <v>4</v>
      </c>
      <c r="L2730" t="s">
        <v>152</v>
      </c>
      <c r="M2730" t="s">
        <v>27</v>
      </c>
      <c r="N2730" t="s">
        <v>28</v>
      </c>
      <c r="O2730" t="s">
        <v>152</v>
      </c>
      <c r="P2730" t="s">
        <v>152</v>
      </c>
      <c r="Q2730" s="3">
        <v>17</v>
      </c>
      <c r="R2730" t="s">
        <v>59</v>
      </c>
      <c r="S2730" t="s">
        <v>41</v>
      </c>
    </row>
    <row r="2731" spans="1:19" x14ac:dyDescent="0.25">
      <c r="A2731">
        <v>2730</v>
      </c>
      <c r="B2731">
        <v>31</v>
      </c>
      <c r="C2731" t="s">
        <v>153</v>
      </c>
      <c r="D2731" t="s">
        <v>143</v>
      </c>
      <c r="E2731" t="s">
        <v>69</v>
      </c>
      <c r="F2731" s="1">
        <v>71</v>
      </c>
      <c r="G2731" t="s">
        <v>57</v>
      </c>
      <c r="H2731" t="s">
        <v>38</v>
      </c>
      <c r="I2731" t="s">
        <v>84</v>
      </c>
      <c r="J2731" t="s">
        <v>54</v>
      </c>
      <c r="K2731" s="2">
        <v>4.0999999999999996</v>
      </c>
      <c r="L2731" t="s">
        <v>152</v>
      </c>
      <c r="M2731" t="s">
        <v>59</v>
      </c>
      <c r="N2731" t="s">
        <v>40</v>
      </c>
      <c r="O2731" t="s">
        <v>152</v>
      </c>
      <c r="P2731" t="s">
        <v>152</v>
      </c>
      <c r="Q2731" s="3">
        <v>32</v>
      </c>
      <c r="R2731" t="s">
        <v>27</v>
      </c>
      <c r="S2731" t="s">
        <v>88</v>
      </c>
    </row>
    <row r="2732" spans="1:19" x14ac:dyDescent="0.25">
      <c r="A2732">
        <v>2731</v>
      </c>
      <c r="B2732">
        <v>23</v>
      </c>
      <c r="C2732" t="s">
        <v>153</v>
      </c>
      <c r="D2732" t="s">
        <v>143</v>
      </c>
      <c r="E2732" t="s">
        <v>69</v>
      </c>
      <c r="F2732" s="1">
        <v>32</v>
      </c>
      <c r="G2732" t="s">
        <v>150</v>
      </c>
      <c r="H2732" t="s">
        <v>45</v>
      </c>
      <c r="I2732" t="s">
        <v>86</v>
      </c>
      <c r="J2732" t="s">
        <v>25</v>
      </c>
      <c r="K2732" s="2">
        <v>4.0999999999999996</v>
      </c>
      <c r="L2732" t="s">
        <v>152</v>
      </c>
      <c r="M2732" t="s">
        <v>34</v>
      </c>
      <c r="N2732" t="s">
        <v>76</v>
      </c>
      <c r="O2732" t="s">
        <v>152</v>
      </c>
      <c r="P2732" t="s">
        <v>152</v>
      </c>
      <c r="Q2732" s="3">
        <v>37</v>
      </c>
      <c r="R2732" t="s">
        <v>34</v>
      </c>
      <c r="S2732" t="s">
        <v>50</v>
      </c>
    </row>
    <row r="2733" spans="1:19" x14ac:dyDescent="0.25">
      <c r="A2733">
        <v>2732</v>
      </c>
      <c r="B2733">
        <v>52</v>
      </c>
      <c r="C2733" t="s">
        <v>153</v>
      </c>
      <c r="D2733" t="s">
        <v>68</v>
      </c>
      <c r="E2733" t="s">
        <v>69</v>
      </c>
      <c r="F2733" s="1">
        <v>33</v>
      </c>
      <c r="G2733" t="s">
        <v>150</v>
      </c>
      <c r="H2733" t="s">
        <v>45</v>
      </c>
      <c r="I2733" t="s">
        <v>108</v>
      </c>
      <c r="J2733" t="s">
        <v>54</v>
      </c>
      <c r="K2733" s="2">
        <v>2.5</v>
      </c>
      <c r="L2733" t="s">
        <v>152</v>
      </c>
      <c r="M2733" t="s">
        <v>46</v>
      </c>
      <c r="N2733" t="s">
        <v>72</v>
      </c>
      <c r="O2733" t="s">
        <v>152</v>
      </c>
      <c r="P2733" t="s">
        <v>152</v>
      </c>
      <c r="Q2733" s="3">
        <v>44</v>
      </c>
      <c r="R2733" t="s">
        <v>34</v>
      </c>
      <c r="S2733" t="s">
        <v>60</v>
      </c>
    </row>
    <row r="2734" spans="1:19" x14ac:dyDescent="0.25">
      <c r="A2734">
        <v>2733</v>
      </c>
      <c r="B2734">
        <v>21</v>
      </c>
      <c r="C2734" t="s">
        <v>153</v>
      </c>
      <c r="D2734" t="s">
        <v>125</v>
      </c>
      <c r="E2734" t="s">
        <v>21</v>
      </c>
      <c r="F2734" s="1">
        <v>75</v>
      </c>
      <c r="G2734" t="s">
        <v>80</v>
      </c>
      <c r="H2734" t="s">
        <v>23</v>
      </c>
      <c r="I2734" t="s">
        <v>121</v>
      </c>
      <c r="J2734" t="s">
        <v>25</v>
      </c>
      <c r="K2734" s="2">
        <v>4.2</v>
      </c>
      <c r="L2734" t="s">
        <v>152</v>
      </c>
      <c r="M2734" t="s">
        <v>27</v>
      </c>
      <c r="N2734" t="s">
        <v>76</v>
      </c>
      <c r="O2734" t="s">
        <v>152</v>
      </c>
      <c r="P2734" t="s">
        <v>152</v>
      </c>
      <c r="Q2734" s="3">
        <v>27</v>
      </c>
      <c r="R2734" t="s">
        <v>59</v>
      </c>
      <c r="S2734" t="s">
        <v>97</v>
      </c>
    </row>
    <row r="2735" spans="1:19" x14ac:dyDescent="0.25">
      <c r="A2735">
        <v>2734</v>
      </c>
      <c r="B2735">
        <v>31</v>
      </c>
      <c r="C2735" t="s">
        <v>153</v>
      </c>
      <c r="D2735" t="s">
        <v>132</v>
      </c>
      <c r="E2735" t="s">
        <v>69</v>
      </c>
      <c r="F2735" s="1">
        <v>83</v>
      </c>
      <c r="G2735" t="s">
        <v>98</v>
      </c>
      <c r="H2735" t="s">
        <v>45</v>
      </c>
      <c r="I2735" t="s">
        <v>136</v>
      </c>
      <c r="J2735" t="s">
        <v>54</v>
      </c>
      <c r="K2735" s="2">
        <v>4.7</v>
      </c>
      <c r="L2735" t="s">
        <v>152</v>
      </c>
      <c r="M2735" t="s">
        <v>35</v>
      </c>
      <c r="N2735" t="s">
        <v>28</v>
      </c>
      <c r="O2735" t="s">
        <v>152</v>
      </c>
      <c r="P2735" t="s">
        <v>152</v>
      </c>
      <c r="Q2735" s="3">
        <v>46</v>
      </c>
      <c r="R2735" t="s">
        <v>46</v>
      </c>
      <c r="S2735" t="s">
        <v>50</v>
      </c>
    </row>
    <row r="2736" spans="1:19" x14ac:dyDescent="0.25">
      <c r="A2736">
        <v>2735</v>
      </c>
      <c r="B2736">
        <v>63</v>
      </c>
      <c r="C2736" t="s">
        <v>153</v>
      </c>
      <c r="D2736" t="s">
        <v>36</v>
      </c>
      <c r="E2736" t="s">
        <v>21</v>
      </c>
      <c r="F2736" s="1">
        <v>93</v>
      </c>
      <c r="G2736" t="s">
        <v>85</v>
      </c>
      <c r="H2736" t="s">
        <v>92</v>
      </c>
      <c r="I2736" t="s">
        <v>134</v>
      </c>
      <c r="J2736" t="s">
        <v>54</v>
      </c>
      <c r="K2736" s="2">
        <v>2.7</v>
      </c>
      <c r="L2736" t="s">
        <v>152</v>
      </c>
      <c r="M2736" t="s">
        <v>29</v>
      </c>
      <c r="N2736" t="s">
        <v>72</v>
      </c>
      <c r="O2736" t="s">
        <v>152</v>
      </c>
      <c r="P2736" t="s">
        <v>152</v>
      </c>
      <c r="Q2736" s="3">
        <v>13</v>
      </c>
      <c r="R2736" t="s">
        <v>35</v>
      </c>
      <c r="S2736" t="s">
        <v>77</v>
      </c>
    </row>
    <row r="2737" spans="1:19" x14ac:dyDescent="0.25">
      <c r="A2737">
        <v>2736</v>
      </c>
      <c r="B2737">
        <v>46</v>
      </c>
      <c r="C2737" t="s">
        <v>153</v>
      </c>
      <c r="D2737" t="s">
        <v>87</v>
      </c>
      <c r="E2737" t="s">
        <v>21</v>
      </c>
      <c r="F2737" s="1">
        <v>29</v>
      </c>
      <c r="G2737" t="s">
        <v>99</v>
      </c>
      <c r="H2737" t="s">
        <v>45</v>
      </c>
      <c r="I2737" t="s">
        <v>134</v>
      </c>
      <c r="J2737" t="s">
        <v>39</v>
      </c>
      <c r="K2737" s="2">
        <v>3</v>
      </c>
      <c r="L2737" t="s">
        <v>152</v>
      </c>
      <c r="M2737" t="s">
        <v>34</v>
      </c>
      <c r="N2737" t="s">
        <v>28</v>
      </c>
      <c r="O2737" t="s">
        <v>152</v>
      </c>
      <c r="P2737" t="s">
        <v>152</v>
      </c>
      <c r="Q2737" s="3">
        <v>2</v>
      </c>
      <c r="R2737" t="s">
        <v>46</v>
      </c>
      <c r="S2737" t="s">
        <v>77</v>
      </c>
    </row>
    <row r="2738" spans="1:19" x14ac:dyDescent="0.25">
      <c r="A2738">
        <v>2737</v>
      </c>
      <c r="B2738">
        <v>44</v>
      </c>
      <c r="C2738" t="s">
        <v>153</v>
      </c>
      <c r="D2738" t="s">
        <v>104</v>
      </c>
      <c r="E2738" t="s">
        <v>21</v>
      </c>
      <c r="F2738" s="1">
        <v>25</v>
      </c>
      <c r="G2738" t="s">
        <v>57</v>
      </c>
      <c r="H2738" t="s">
        <v>45</v>
      </c>
      <c r="I2738" t="s">
        <v>71</v>
      </c>
      <c r="J2738" t="s">
        <v>39</v>
      </c>
      <c r="K2738" s="2">
        <v>4.8</v>
      </c>
      <c r="L2738" t="s">
        <v>152</v>
      </c>
      <c r="M2738" t="s">
        <v>46</v>
      </c>
      <c r="N2738" t="s">
        <v>76</v>
      </c>
      <c r="O2738" t="s">
        <v>152</v>
      </c>
      <c r="P2738" t="s">
        <v>152</v>
      </c>
      <c r="Q2738" s="3">
        <v>45</v>
      </c>
      <c r="R2738" t="s">
        <v>27</v>
      </c>
      <c r="S2738" t="s">
        <v>50</v>
      </c>
    </row>
    <row r="2739" spans="1:19" x14ac:dyDescent="0.25">
      <c r="A2739">
        <v>2738</v>
      </c>
      <c r="B2739">
        <v>57</v>
      </c>
      <c r="C2739" t="s">
        <v>153</v>
      </c>
      <c r="D2739" t="s">
        <v>106</v>
      </c>
      <c r="E2739" t="s">
        <v>69</v>
      </c>
      <c r="F2739" s="1">
        <v>76</v>
      </c>
      <c r="G2739" t="s">
        <v>98</v>
      </c>
      <c r="H2739" t="s">
        <v>38</v>
      </c>
      <c r="I2739" t="s">
        <v>126</v>
      </c>
      <c r="J2739" t="s">
        <v>39</v>
      </c>
      <c r="K2739" s="2">
        <v>4.4000000000000004</v>
      </c>
      <c r="L2739" t="s">
        <v>152</v>
      </c>
      <c r="M2739" t="s">
        <v>29</v>
      </c>
      <c r="N2739" t="s">
        <v>40</v>
      </c>
      <c r="O2739" t="s">
        <v>152</v>
      </c>
      <c r="P2739" t="s">
        <v>152</v>
      </c>
      <c r="Q2739" s="3">
        <v>35</v>
      </c>
      <c r="R2739" t="s">
        <v>35</v>
      </c>
      <c r="S2739" t="s">
        <v>97</v>
      </c>
    </row>
    <row r="2740" spans="1:19" x14ac:dyDescent="0.25">
      <c r="A2740">
        <v>2739</v>
      </c>
      <c r="B2740">
        <v>50</v>
      </c>
      <c r="C2740" t="s">
        <v>153</v>
      </c>
      <c r="D2740" t="s">
        <v>51</v>
      </c>
      <c r="E2740" t="s">
        <v>43</v>
      </c>
      <c r="F2740" s="1">
        <v>81</v>
      </c>
      <c r="G2740" t="s">
        <v>123</v>
      </c>
      <c r="H2740" t="s">
        <v>45</v>
      </c>
      <c r="I2740" t="s">
        <v>63</v>
      </c>
      <c r="J2740" t="s">
        <v>54</v>
      </c>
      <c r="K2740" s="2">
        <v>4.3</v>
      </c>
      <c r="L2740" t="s">
        <v>152</v>
      </c>
      <c r="M2740" t="s">
        <v>34</v>
      </c>
      <c r="N2740" t="s">
        <v>72</v>
      </c>
      <c r="O2740" t="s">
        <v>152</v>
      </c>
      <c r="P2740" t="s">
        <v>152</v>
      </c>
      <c r="Q2740" s="3">
        <v>39</v>
      </c>
      <c r="R2740" t="s">
        <v>29</v>
      </c>
      <c r="S2740" t="s">
        <v>97</v>
      </c>
    </row>
    <row r="2741" spans="1:19" x14ac:dyDescent="0.25">
      <c r="A2741">
        <v>2740</v>
      </c>
      <c r="B2741">
        <v>33</v>
      </c>
      <c r="C2741" t="s">
        <v>153</v>
      </c>
      <c r="D2741" t="s">
        <v>56</v>
      </c>
      <c r="E2741" t="s">
        <v>21</v>
      </c>
      <c r="F2741" s="1">
        <v>80</v>
      </c>
      <c r="G2741" t="s">
        <v>120</v>
      </c>
      <c r="H2741" t="s">
        <v>92</v>
      </c>
      <c r="I2741" t="s">
        <v>144</v>
      </c>
      <c r="J2741" t="s">
        <v>25</v>
      </c>
      <c r="K2741" s="2">
        <v>2.5</v>
      </c>
      <c r="L2741" t="s">
        <v>152</v>
      </c>
      <c r="M2741" t="s">
        <v>29</v>
      </c>
      <c r="N2741" t="s">
        <v>76</v>
      </c>
      <c r="O2741" t="s">
        <v>152</v>
      </c>
      <c r="P2741" t="s">
        <v>152</v>
      </c>
      <c r="Q2741" s="3">
        <v>39</v>
      </c>
      <c r="R2741" t="s">
        <v>27</v>
      </c>
      <c r="S2741" t="s">
        <v>97</v>
      </c>
    </row>
    <row r="2742" spans="1:19" x14ac:dyDescent="0.25">
      <c r="A2742">
        <v>2741</v>
      </c>
      <c r="B2742">
        <v>19</v>
      </c>
      <c r="C2742" t="s">
        <v>153</v>
      </c>
      <c r="D2742" t="s">
        <v>89</v>
      </c>
      <c r="E2742" t="s">
        <v>69</v>
      </c>
      <c r="F2742" s="1">
        <v>70</v>
      </c>
      <c r="G2742" t="s">
        <v>138</v>
      </c>
      <c r="H2742" t="s">
        <v>45</v>
      </c>
      <c r="I2742" t="s">
        <v>93</v>
      </c>
      <c r="J2742" t="s">
        <v>54</v>
      </c>
      <c r="K2742" s="2">
        <v>4.9000000000000004</v>
      </c>
      <c r="L2742" t="s">
        <v>152</v>
      </c>
      <c r="M2742" t="s">
        <v>27</v>
      </c>
      <c r="N2742" t="s">
        <v>40</v>
      </c>
      <c r="O2742" t="s">
        <v>152</v>
      </c>
      <c r="P2742" t="s">
        <v>152</v>
      </c>
      <c r="Q2742" s="3">
        <v>34</v>
      </c>
      <c r="R2742" t="s">
        <v>34</v>
      </c>
      <c r="S2742" t="s">
        <v>30</v>
      </c>
    </row>
    <row r="2743" spans="1:19" x14ac:dyDescent="0.25">
      <c r="A2743">
        <v>2742</v>
      </c>
      <c r="B2743">
        <v>68</v>
      </c>
      <c r="C2743" t="s">
        <v>153</v>
      </c>
      <c r="D2743" t="s">
        <v>82</v>
      </c>
      <c r="E2743" t="s">
        <v>21</v>
      </c>
      <c r="F2743" s="1">
        <v>81</v>
      </c>
      <c r="G2743" t="s">
        <v>32</v>
      </c>
      <c r="H2743" t="s">
        <v>23</v>
      </c>
      <c r="I2743" t="s">
        <v>134</v>
      </c>
      <c r="J2743" t="s">
        <v>58</v>
      </c>
      <c r="K2743" s="2">
        <v>4.9000000000000004</v>
      </c>
      <c r="L2743" t="s">
        <v>152</v>
      </c>
      <c r="M2743" t="s">
        <v>46</v>
      </c>
      <c r="N2743" t="s">
        <v>72</v>
      </c>
      <c r="O2743" t="s">
        <v>152</v>
      </c>
      <c r="P2743" t="s">
        <v>152</v>
      </c>
      <c r="Q2743" s="3">
        <v>41</v>
      </c>
      <c r="R2743" t="s">
        <v>29</v>
      </c>
      <c r="S2743" t="s">
        <v>88</v>
      </c>
    </row>
    <row r="2744" spans="1:19" x14ac:dyDescent="0.25">
      <c r="A2744">
        <v>2743</v>
      </c>
      <c r="B2744">
        <v>27</v>
      </c>
      <c r="C2744" t="s">
        <v>153</v>
      </c>
      <c r="D2744" t="s">
        <v>73</v>
      </c>
      <c r="E2744" t="s">
        <v>43</v>
      </c>
      <c r="F2744" s="1">
        <v>86</v>
      </c>
      <c r="G2744" t="s">
        <v>105</v>
      </c>
      <c r="H2744" t="s">
        <v>45</v>
      </c>
      <c r="I2744" t="s">
        <v>94</v>
      </c>
      <c r="J2744" t="s">
        <v>39</v>
      </c>
      <c r="K2744" s="2">
        <v>3.9</v>
      </c>
      <c r="L2744" t="s">
        <v>152</v>
      </c>
      <c r="M2744" t="s">
        <v>46</v>
      </c>
      <c r="N2744" t="s">
        <v>40</v>
      </c>
      <c r="O2744" t="s">
        <v>152</v>
      </c>
      <c r="P2744" t="s">
        <v>152</v>
      </c>
      <c r="Q2744" s="3">
        <v>47</v>
      </c>
      <c r="R2744" t="s">
        <v>59</v>
      </c>
      <c r="S2744" t="s">
        <v>50</v>
      </c>
    </row>
    <row r="2745" spans="1:19" x14ac:dyDescent="0.25">
      <c r="A2745">
        <v>2744</v>
      </c>
      <c r="B2745">
        <v>61</v>
      </c>
      <c r="C2745" t="s">
        <v>153</v>
      </c>
      <c r="D2745" t="s">
        <v>133</v>
      </c>
      <c r="E2745" t="s">
        <v>69</v>
      </c>
      <c r="F2745" s="1">
        <v>94</v>
      </c>
      <c r="G2745" t="s">
        <v>127</v>
      </c>
      <c r="H2745" t="s">
        <v>38</v>
      </c>
      <c r="I2745" t="s">
        <v>118</v>
      </c>
      <c r="J2745" t="s">
        <v>58</v>
      </c>
      <c r="K2745" s="2">
        <v>4.0999999999999996</v>
      </c>
      <c r="L2745" t="s">
        <v>152</v>
      </c>
      <c r="M2745" t="s">
        <v>59</v>
      </c>
      <c r="N2745" t="s">
        <v>72</v>
      </c>
      <c r="O2745" t="s">
        <v>152</v>
      </c>
      <c r="P2745" t="s">
        <v>152</v>
      </c>
      <c r="Q2745" s="3">
        <v>17</v>
      </c>
      <c r="R2745" t="s">
        <v>29</v>
      </c>
      <c r="S2745" t="s">
        <v>60</v>
      </c>
    </row>
    <row r="2746" spans="1:19" x14ac:dyDescent="0.25">
      <c r="A2746">
        <v>2745</v>
      </c>
      <c r="B2746">
        <v>38</v>
      </c>
      <c r="C2746" t="s">
        <v>153</v>
      </c>
      <c r="D2746" t="s">
        <v>56</v>
      </c>
      <c r="E2746" t="s">
        <v>21</v>
      </c>
      <c r="F2746" s="1">
        <v>66</v>
      </c>
      <c r="G2746" t="s">
        <v>52</v>
      </c>
      <c r="H2746" t="s">
        <v>45</v>
      </c>
      <c r="I2746" t="s">
        <v>67</v>
      </c>
      <c r="J2746" t="s">
        <v>25</v>
      </c>
      <c r="K2746" s="2">
        <v>3.3</v>
      </c>
      <c r="L2746" t="s">
        <v>152</v>
      </c>
      <c r="M2746" t="s">
        <v>35</v>
      </c>
      <c r="N2746" t="s">
        <v>76</v>
      </c>
      <c r="O2746" t="s">
        <v>152</v>
      </c>
      <c r="P2746" t="s">
        <v>152</v>
      </c>
      <c r="Q2746" s="3">
        <v>40</v>
      </c>
      <c r="R2746" t="s">
        <v>27</v>
      </c>
      <c r="S2746" t="s">
        <v>88</v>
      </c>
    </row>
    <row r="2747" spans="1:19" x14ac:dyDescent="0.25">
      <c r="A2747">
        <v>2746</v>
      </c>
      <c r="B2747">
        <v>28</v>
      </c>
      <c r="C2747" t="s">
        <v>153</v>
      </c>
      <c r="D2747" t="s">
        <v>137</v>
      </c>
      <c r="E2747" t="s">
        <v>43</v>
      </c>
      <c r="F2747" s="1">
        <v>98</v>
      </c>
      <c r="G2747" t="s">
        <v>151</v>
      </c>
      <c r="H2747" t="s">
        <v>45</v>
      </c>
      <c r="I2747" t="s">
        <v>136</v>
      </c>
      <c r="J2747" t="s">
        <v>54</v>
      </c>
      <c r="K2747" s="2">
        <v>4.0999999999999996</v>
      </c>
      <c r="L2747" t="s">
        <v>152</v>
      </c>
      <c r="M2747" t="s">
        <v>34</v>
      </c>
      <c r="N2747" t="s">
        <v>55</v>
      </c>
      <c r="O2747" t="s">
        <v>152</v>
      </c>
      <c r="P2747" t="s">
        <v>152</v>
      </c>
      <c r="Q2747" s="3">
        <v>44</v>
      </c>
      <c r="R2747" t="s">
        <v>46</v>
      </c>
      <c r="S2747" t="s">
        <v>77</v>
      </c>
    </row>
    <row r="2748" spans="1:19" x14ac:dyDescent="0.25">
      <c r="A2748">
        <v>2747</v>
      </c>
      <c r="B2748">
        <v>39</v>
      </c>
      <c r="C2748" t="s">
        <v>153</v>
      </c>
      <c r="D2748" t="s">
        <v>104</v>
      </c>
      <c r="E2748" t="s">
        <v>21</v>
      </c>
      <c r="F2748" s="1">
        <v>25</v>
      </c>
      <c r="G2748" t="s">
        <v>123</v>
      </c>
      <c r="H2748" t="s">
        <v>45</v>
      </c>
      <c r="I2748" t="s">
        <v>121</v>
      </c>
      <c r="J2748" t="s">
        <v>58</v>
      </c>
      <c r="K2748" s="2">
        <v>3.7</v>
      </c>
      <c r="L2748" t="s">
        <v>152</v>
      </c>
      <c r="M2748" t="s">
        <v>34</v>
      </c>
      <c r="N2748" t="s">
        <v>55</v>
      </c>
      <c r="O2748" t="s">
        <v>152</v>
      </c>
      <c r="P2748" t="s">
        <v>152</v>
      </c>
      <c r="Q2748" s="3">
        <v>21</v>
      </c>
      <c r="R2748" t="s">
        <v>46</v>
      </c>
      <c r="S2748" t="s">
        <v>97</v>
      </c>
    </row>
    <row r="2749" spans="1:19" x14ac:dyDescent="0.25">
      <c r="A2749">
        <v>2748</v>
      </c>
      <c r="B2749">
        <v>18</v>
      </c>
      <c r="C2749" t="s">
        <v>153</v>
      </c>
      <c r="D2749" t="s">
        <v>36</v>
      </c>
      <c r="E2749" t="s">
        <v>21</v>
      </c>
      <c r="F2749" s="1">
        <v>62</v>
      </c>
      <c r="G2749" t="s">
        <v>66</v>
      </c>
      <c r="H2749" t="s">
        <v>45</v>
      </c>
      <c r="I2749" t="s">
        <v>86</v>
      </c>
      <c r="J2749" t="s">
        <v>25</v>
      </c>
      <c r="K2749" s="2">
        <v>3.1</v>
      </c>
      <c r="L2749" t="s">
        <v>152</v>
      </c>
      <c r="M2749" t="s">
        <v>59</v>
      </c>
      <c r="N2749" t="s">
        <v>40</v>
      </c>
      <c r="O2749" t="s">
        <v>152</v>
      </c>
      <c r="P2749" t="s">
        <v>152</v>
      </c>
      <c r="Q2749" s="3">
        <v>21</v>
      </c>
      <c r="R2749" t="s">
        <v>27</v>
      </c>
      <c r="S2749" t="s">
        <v>97</v>
      </c>
    </row>
    <row r="2750" spans="1:19" x14ac:dyDescent="0.25">
      <c r="A2750">
        <v>2749</v>
      </c>
      <c r="B2750">
        <v>24</v>
      </c>
      <c r="C2750" t="s">
        <v>153</v>
      </c>
      <c r="D2750" t="s">
        <v>102</v>
      </c>
      <c r="E2750" t="s">
        <v>65</v>
      </c>
      <c r="F2750" s="1">
        <v>98</v>
      </c>
      <c r="G2750" t="s">
        <v>141</v>
      </c>
      <c r="H2750" t="s">
        <v>23</v>
      </c>
      <c r="I2750" t="s">
        <v>49</v>
      </c>
      <c r="J2750" t="s">
        <v>39</v>
      </c>
      <c r="K2750" s="2">
        <v>3</v>
      </c>
      <c r="L2750" t="s">
        <v>152</v>
      </c>
      <c r="M2750" t="s">
        <v>35</v>
      </c>
      <c r="N2750" t="s">
        <v>40</v>
      </c>
      <c r="O2750" t="s">
        <v>152</v>
      </c>
      <c r="P2750" t="s">
        <v>152</v>
      </c>
      <c r="Q2750" s="3">
        <v>16</v>
      </c>
      <c r="R2750" t="s">
        <v>29</v>
      </c>
      <c r="S2750" t="s">
        <v>50</v>
      </c>
    </row>
    <row r="2751" spans="1:19" x14ac:dyDescent="0.25">
      <c r="A2751">
        <v>2750</v>
      </c>
      <c r="B2751">
        <v>64</v>
      </c>
      <c r="C2751" t="s">
        <v>153</v>
      </c>
      <c r="D2751" t="s">
        <v>102</v>
      </c>
      <c r="E2751" t="s">
        <v>65</v>
      </c>
      <c r="F2751" s="1">
        <v>53</v>
      </c>
      <c r="G2751" t="s">
        <v>129</v>
      </c>
      <c r="H2751" t="s">
        <v>45</v>
      </c>
      <c r="I2751" t="s">
        <v>109</v>
      </c>
      <c r="J2751" t="s">
        <v>39</v>
      </c>
      <c r="K2751" s="2">
        <v>3.4</v>
      </c>
      <c r="L2751" t="s">
        <v>152</v>
      </c>
      <c r="M2751" t="s">
        <v>29</v>
      </c>
      <c r="N2751" t="s">
        <v>55</v>
      </c>
      <c r="O2751" t="s">
        <v>152</v>
      </c>
      <c r="P2751" t="s">
        <v>152</v>
      </c>
      <c r="Q2751" s="3">
        <v>15</v>
      </c>
      <c r="R2751" t="s">
        <v>34</v>
      </c>
      <c r="S2751" t="s">
        <v>50</v>
      </c>
    </row>
    <row r="2752" spans="1:19" x14ac:dyDescent="0.25">
      <c r="A2752">
        <v>2751</v>
      </c>
      <c r="B2752">
        <v>51</v>
      </c>
      <c r="C2752" t="s">
        <v>153</v>
      </c>
      <c r="D2752" t="s">
        <v>42</v>
      </c>
      <c r="E2752" t="s">
        <v>43</v>
      </c>
      <c r="F2752" s="1">
        <v>66</v>
      </c>
      <c r="G2752" t="s">
        <v>120</v>
      </c>
      <c r="H2752" t="s">
        <v>23</v>
      </c>
      <c r="I2752" t="s">
        <v>71</v>
      </c>
      <c r="J2752" t="s">
        <v>39</v>
      </c>
      <c r="K2752" s="2">
        <v>2.7</v>
      </c>
      <c r="L2752" t="s">
        <v>152</v>
      </c>
      <c r="M2752" t="s">
        <v>35</v>
      </c>
      <c r="N2752" t="s">
        <v>72</v>
      </c>
      <c r="O2752" t="s">
        <v>152</v>
      </c>
      <c r="P2752" t="s">
        <v>152</v>
      </c>
      <c r="Q2752" s="3">
        <v>26</v>
      </c>
      <c r="R2752" t="s">
        <v>46</v>
      </c>
      <c r="S2752" t="s">
        <v>97</v>
      </c>
    </row>
    <row r="2753" spans="1:19" x14ac:dyDescent="0.25">
      <c r="A2753">
        <v>2752</v>
      </c>
      <c r="B2753">
        <v>27</v>
      </c>
      <c r="C2753" t="s">
        <v>153</v>
      </c>
      <c r="D2753" t="s">
        <v>82</v>
      </c>
      <c r="E2753" t="s">
        <v>21</v>
      </c>
      <c r="F2753" s="1">
        <v>52</v>
      </c>
      <c r="G2753" t="s">
        <v>148</v>
      </c>
      <c r="H2753" t="s">
        <v>38</v>
      </c>
      <c r="I2753" t="s">
        <v>126</v>
      </c>
      <c r="J2753" t="s">
        <v>58</v>
      </c>
      <c r="K2753" s="2">
        <v>3.1</v>
      </c>
      <c r="L2753" t="s">
        <v>152</v>
      </c>
      <c r="M2753" t="s">
        <v>29</v>
      </c>
      <c r="N2753" t="s">
        <v>40</v>
      </c>
      <c r="O2753" t="s">
        <v>152</v>
      </c>
      <c r="P2753" t="s">
        <v>152</v>
      </c>
      <c r="Q2753" s="3">
        <v>50</v>
      </c>
      <c r="R2753" t="s">
        <v>29</v>
      </c>
      <c r="S2753" t="s">
        <v>88</v>
      </c>
    </row>
    <row r="2754" spans="1:19" x14ac:dyDescent="0.25">
      <c r="A2754">
        <v>2753</v>
      </c>
      <c r="B2754">
        <v>48</v>
      </c>
      <c r="C2754" t="s">
        <v>153</v>
      </c>
      <c r="D2754" t="s">
        <v>31</v>
      </c>
      <c r="E2754" t="s">
        <v>21</v>
      </c>
      <c r="F2754" s="1">
        <v>64</v>
      </c>
      <c r="G2754" t="s">
        <v>112</v>
      </c>
      <c r="H2754" t="s">
        <v>38</v>
      </c>
      <c r="I2754" t="s">
        <v>100</v>
      </c>
      <c r="J2754" t="s">
        <v>25</v>
      </c>
      <c r="K2754" s="2">
        <v>4</v>
      </c>
      <c r="L2754" t="s">
        <v>152</v>
      </c>
      <c r="M2754" t="s">
        <v>35</v>
      </c>
      <c r="N2754" t="s">
        <v>40</v>
      </c>
      <c r="O2754" t="s">
        <v>152</v>
      </c>
      <c r="P2754" t="s">
        <v>152</v>
      </c>
      <c r="Q2754" s="3">
        <v>30</v>
      </c>
      <c r="R2754" t="s">
        <v>29</v>
      </c>
      <c r="S2754" t="s">
        <v>77</v>
      </c>
    </row>
    <row r="2755" spans="1:19" x14ac:dyDescent="0.25">
      <c r="A2755">
        <v>2754</v>
      </c>
      <c r="B2755">
        <v>69</v>
      </c>
      <c r="C2755" t="s">
        <v>153</v>
      </c>
      <c r="D2755" t="s">
        <v>143</v>
      </c>
      <c r="E2755" t="s">
        <v>69</v>
      </c>
      <c r="F2755" s="1">
        <v>59</v>
      </c>
      <c r="G2755" t="s">
        <v>44</v>
      </c>
      <c r="H2755" t="s">
        <v>45</v>
      </c>
      <c r="I2755" t="s">
        <v>118</v>
      </c>
      <c r="J2755" t="s">
        <v>39</v>
      </c>
      <c r="K2755" s="2">
        <v>3.6</v>
      </c>
      <c r="L2755" t="s">
        <v>152</v>
      </c>
      <c r="M2755" t="s">
        <v>34</v>
      </c>
      <c r="N2755" t="s">
        <v>47</v>
      </c>
      <c r="O2755" t="s">
        <v>152</v>
      </c>
      <c r="P2755" t="s">
        <v>152</v>
      </c>
      <c r="Q2755" s="3">
        <v>48</v>
      </c>
      <c r="R2755" t="s">
        <v>46</v>
      </c>
      <c r="S2755" t="s">
        <v>60</v>
      </c>
    </row>
    <row r="2756" spans="1:19" x14ac:dyDescent="0.25">
      <c r="A2756">
        <v>2755</v>
      </c>
      <c r="B2756">
        <v>59</v>
      </c>
      <c r="C2756" t="s">
        <v>153</v>
      </c>
      <c r="D2756" t="s">
        <v>89</v>
      </c>
      <c r="E2756" t="s">
        <v>69</v>
      </c>
      <c r="F2756" s="1">
        <v>61</v>
      </c>
      <c r="G2756" t="s">
        <v>127</v>
      </c>
      <c r="H2756" t="s">
        <v>23</v>
      </c>
      <c r="I2756" t="s">
        <v>81</v>
      </c>
      <c r="J2756" t="s">
        <v>54</v>
      </c>
      <c r="K2756" s="2">
        <v>3.6</v>
      </c>
      <c r="L2756" t="s">
        <v>152</v>
      </c>
      <c r="M2756" t="s">
        <v>46</v>
      </c>
      <c r="N2756" t="s">
        <v>40</v>
      </c>
      <c r="O2756" t="s">
        <v>152</v>
      </c>
      <c r="P2756" t="s">
        <v>152</v>
      </c>
      <c r="Q2756" s="3">
        <v>21</v>
      </c>
      <c r="R2756" t="s">
        <v>29</v>
      </c>
      <c r="S2756" t="s">
        <v>77</v>
      </c>
    </row>
    <row r="2757" spans="1:19" x14ac:dyDescent="0.25">
      <c r="A2757">
        <v>2756</v>
      </c>
      <c r="B2757">
        <v>59</v>
      </c>
      <c r="C2757" t="s">
        <v>153</v>
      </c>
      <c r="D2757" t="s">
        <v>133</v>
      </c>
      <c r="E2757" t="s">
        <v>69</v>
      </c>
      <c r="F2757" s="1">
        <v>97</v>
      </c>
      <c r="G2757" t="s">
        <v>107</v>
      </c>
      <c r="H2757" t="s">
        <v>45</v>
      </c>
      <c r="I2757" t="s">
        <v>126</v>
      </c>
      <c r="J2757" t="s">
        <v>25</v>
      </c>
      <c r="K2757" s="2">
        <v>3.3</v>
      </c>
      <c r="L2757" t="s">
        <v>152</v>
      </c>
      <c r="M2757" t="s">
        <v>29</v>
      </c>
      <c r="N2757" t="s">
        <v>76</v>
      </c>
      <c r="O2757" t="s">
        <v>152</v>
      </c>
      <c r="P2757" t="s">
        <v>152</v>
      </c>
      <c r="Q2757" s="3">
        <v>18</v>
      </c>
      <c r="R2757" t="s">
        <v>27</v>
      </c>
      <c r="S2757" t="s">
        <v>50</v>
      </c>
    </row>
    <row r="2758" spans="1:19" x14ac:dyDescent="0.25">
      <c r="A2758">
        <v>2757</v>
      </c>
      <c r="B2758">
        <v>42</v>
      </c>
      <c r="C2758" t="s">
        <v>153</v>
      </c>
      <c r="D2758" t="s">
        <v>124</v>
      </c>
      <c r="E2758" t="s">
        <v>69</v>
      </c>
      <c r="F2758" s="1">
        <v>23</v>
      </c>
      <c r="G2758" t="s">
        <v>148</v>
      </c>
      <c r="H2758" t="s">
        <v>23</v>
      </c>
      <c r="I2758" t="s">
        <v>84</v>
      </c>
      <c r="J2758" t="s">
        <v>25</v>
      </c>
      <c r="K2758" s="2">
        <v>4.0999999999999996</v>
      </c>
      <c r="L2758" t="s">
        <v>152</v>
      </c>
      <c r="M2758" t="s">
        <v>34</v>
      </c>
      <c r="N2758" t="s">
        <v>40</v>
      </c>
      <c r="O2758" t="s">
        <v>152</v>
      </c>
      <c r="P2758" t="s">
        <v>152</v>
      </c>
      <c r="Q2758" s="3">
        <v>41</v>
      </c>
      <c r="R2758" t="s">
        <v>46</v>
      </c>
      <c r="S2758" t="s">
        <v>88</v>
      </c>
    </row>
    <row r="2759" spans="1:19" x14ac:dyDescent="0.25">
      <c r="A2759">
        <v>2758</v>
      </c>
      <c r="B2759">
        <v>39</v>
      </c>
      <c r="C2759" t="s">
        <v>153</v>
      </c>
      <c r="D2759" t="s">
        <v>124</v>
      </c>
      <c r="E2759" t="s">
        <v>69</v>
      </c>
      <c r="F2759" s="1">
        <v>98</v>
      </c>
      <c r="G2759" t="s">
        <v>80</v>
      </c>
      <c r="H2759" t="s">
        <v>92</v>
      </c>
      <c r="I2759" t="s">
        <v>110</v>
      </c>
      <c r="J2759" t="s">
        <v>58</v>
      </c>
      <c r="K2759" s="2">
        <v>4.3</v>
      </c>
      <c r="L2759" t="s">
        <v>152</v>
      </c>
      <c r="M2759" t="s">
        <v>35</v>
      </c>
      <c r="N2759" t="s">
        <v>47</v>
      </c>
      <c r="O2759" t="s">
        <v>152</v>
      </c>
      <c r="P2759" t="s">
        <v>152</v>
      </c>
      <c r="Q2759" s="3">
        <v>11</v>
      </c>
      <c r="R2759" t="s">
        <v>29</v>
      </c>
      <c r="S2759" t="s">
        <v>88</v>
      </c>
    </row>
    <row r="2760" spans="1:19" x14ac:dyDescent="0.25">
      <c r="A2760">
        <v>2759</v>
      </c>
      <c r="B2760">
        <v>32</v>
      </c>
      <c r="C2760" t="s">
        <v>153</v>
      </c>
      <c r="D2760" t="s">
        <v>20</v>
      </c>
      <c r="E2760" t="s">
        <v>21</v>
      </c>
      <c r="F2760" s="1">
        <v>98</v>
      </c>
      <c r="G2760" t="s">
        <v>115</v>
      </c>
      <c r="H2760" t="s">
        <v>45</v>
      </c>
      <c r="I2760" t="s">
        <v>75</v>
      </c>
      <c r="J2760" t="s">
        <v>54</v>
      </c>
      <c r="K2760" s="2">
        <v>3.2</v>
      </c>
      <c r="L2760" t="s">
        <v>152</v>
      </c>
      <c r="M2760" t="s">
        <v>59</v>
      </c>
      <c r="N2760" t="s">
        <v>55</v>
      </c>
      <c r="O2760" t="s">
        <v>152</v>
      </c>
      <c r="P2760" t="s">
        <v>152</v>
      </c>
      <c r="Q2760" s="3">
        <v>8</v>
      </c>
      <c r="R2760" t="s">
        <v>34</v>
      </c>
      <c r="S2760" t="s">
        <v>77</v>
      </c>
    </row>
    <row r="2761" spans="1:19" x14ac:dyDescent="0.25">
      <c r="A2761">
        <v>2760</v>
      </c>
      <c r="B2761">
        <v>68</v>
      </c>
      <c r="C2761" t="s">
        <v>153</v>
      </c>
      <c r="D2761" t="s">
        <v>73</v>
      </c>
      <c r="E2761" t="s">
        <v>43</v>
      </c>
      <c r="F2761" s="1">
        <v>59</v>
      </c>
      <c r="G2761" t="s">
        <v>149</v>
      </c>
      <c r="H2761" t="s">
        <v>45</v>
      </c>
      <c r="I2761" t="s">
        <v>49</v>
      </c>
      <c r="J2761" t="s">
        <v>54</v>
      </c>
      <c r="K2761" s="2">
        <v>3.9</v>
      </c>
      <c r="L2761" t="s">
        <v>152</v>
      </c>
      <c r="M2761" t="s">
        <v>27</v>
      </c>
      <c r="N2761" t="s">
        <v>40</v>
      </c>
      <c r="O2761" t="s">
        <v>152</v>
      </c>
      <c r="P2761" t="s">
        <v>152</v>
      </c>
      <c r="Q2761" s="3">
        <v>42</v>
      </c>
      <c r="R2761" t="s">
        <v>35</v>
      </c>
      <c r="S2761" t="s">
        <v>97</v>
      </c>
    </row>
    <row r="2762" spans="1:19" x14ac:dyDescent="0.25">
      <c r="A2762">
        <v>2761</v>
      </c>
      <c r="B2762">
        <v>41</v>
      </c>
      <c r="C2762" t="s">
        <v>153</v>
      </c>
      <c r="D2762" t="s">
        <v>87</v>
      </c>
      <c r="E2762" t="s">
        <v>21</v>
      </c>
      <c r="F2762" s="1">
        <v>82</v>
      </c>
      <c r="G2762" t="s">
        <v>120</v>
      </c>
      <c r="H2762" t="s">
        <v>38</v>
      </c>
      <c r="I2762" t="s">
        <v>84</v>
      </c>
      <c r="J2762" t="s">
        <v>58</v>
      </c>
      <c r="K2762" s="2">
        <v>5</v>
      </c>
      <c r="L2762" t="s">
        <v>152</v>
      </c>
      <c r="M2762" t="s">
        <v>34</v>
      </c>
      <c r="N2762" t="s">
        <v>47</v>
      </c>
      <c r="O2762" t="s">
        <v>152</v>
      </c>
      <c r="P2762" t="s">
        <v>152</v>
      </c>
      <c r="Q2762" s="3">
        <v>41</v>
      </c>
      <c r="R2762" t="s">
        <v>27</v>
      </c>
      <c r="S2762" t="s">
        <v>77</v>
      </c>
    </row>
    <row r="2763" spans="1:19" x14ac:dyDescent="0.25">
      <c r="A2763">
        <v>2762</v>
      </c>
      <c r="B2763">
        <v>31</v>
      </c>
      <c r="C2763" t="s">
        <v>153</v>
      </c>
      <c r="D2763" t="s">
        <v>51</v>
      </c>
      <c r="E2763" t="s">
        <v>43</v>
      </c>
      <c r="F2763" s="1">
        <v>82</v>
      </c>
      <c r="G2763" t="s">
        <v>151</v>
      </c>
      <c r="H2763" t="s">
        <v>45</v>
      </c>
      <c r="I2763" t="s">
        <v>75</v>
      </c>
      <c r="J2763" t="s">
        <v>58</v>
      </c>
      <c r="K2763" s="2">
        <v>3.4</v>
      </c>
      <c r="L2763" t="s">
        <v>152</v>
      </c>
      <c r="M2763" t="s">
        <v>29</v>
      </c>
      <c r="N2763" t="s">
        <v>47</v>
      </c>
      <c r="O2763" t="s">
        <v>152</v>
      </c>
      <c r="P2763" t="s">
        <v>152</v>
      </c>
      <c r="Q2763" s="3">
        <v>3</v>
      </c>
      <c r="R2763" t="s">
        <v>27</v>
      </c>
      <c r="S2763" t="s">
        <v>97</v>
      </c>
    </row>
    <row r="2764" spans="1:19" x14ac:dyDescent="0.25">
      <c r="A2764">
        <v>2763</v>
      </c>
      <c r="B2764">
        <v>58</v>
      </c>
      <c r="C2764" t="s">
        <v>153</v>
      </c>
      <c r="D2764" t="s">
        <v>113</v>
      </c>
      <c r="E2764" t="s">
        <v>21</v>
      </c>
      <c r="F2764" s="1">
        <v>41</v>
      </c>
      <c r="G2764" t="s">
        <v>142</v>
      </c>
      <c r="H2764" t="s">
        <v>45</v>
      </c>
      <c r="I2764" t="s">
        <v>63</v>
      </c>
      <c r="J2764" t="s">
        <v>58</v>
      </c>
      <c r="K2764" s="2">
        <v>3.8</v>
      </c>
      <c r="L2764" t="s">
        <v>152</v>
      </c>
      <c r="M2764" t="s">
        <v>34</v>
      </c>
      <c r="N2764" t="s">
        <v>76</v>
      </c>
      <c r="O2764" t="s">
        <v>152</v>
      </c>
      <c r="P2764" t="s">
        <v>152</v>
      </c>
      <c r="Q2764" s="3">
        <v>10</v>
      </c>
      <c r="R2764" t="s">
        <v>59</v>
      </c>
      <c r="S2764" t="s">
        <v>97</v>
      </c>
    </row>
    <row r="2765" spans="1:19" x14ac:dyDescent="0.25">
      <c r="A2765">
        <v>2764</v>
      </c>
      <c r="B2765">
        <v>28</v>
      </c>
      <c r="C2765" t="s">
        <v>153</v>
      </c>
      <c r="D2765" t="s">
        <v>68</v>
      </c>
      <c r="E2765" t="s">
        <v>69</v>
      </c>
      <c r="F2765" s="1">
        <v>52</v>
      </c>
      <c r="G2765" t="s">
        <v>66</v>
      </c>
      <c r="H2765" t="s">
        <v>45</v>
      </c>
      <c r="I2765" t="s">
        <v>96</v>
      </c>
      <c r="J2765" t="s">
        <v>58</v>
      </c>
      <c r="K2765" s="2">
        <v>2.9</v>
      </c>
      <c r="L2765" t="s">
        <v>152</v>
      </c>
      <c r="M2765" t="s">
        <v>29</v>
      </c>
      <c r="N2765" t="s">
        <v>72</v>
      </c>
      <c r="O2765" t="s">
        <v>152</v>
      </c>
      <c r="P2765" t="s">
        <v>152</v>
      </c>
      <c r="Q2765" s="3">
        <v>35</v>
      </c>
      <c r="R2765" t="s">
        <v>29</v>
      </c>
      <c r="S2765" t="s">
        <v>60</v>
      </c>
    </row>
    <row r="2766" spans="1:19" x14ac:dyDescent="0.25">
      <c r="A2766">
        <v>2765</v>
      </c>
      <c r="B2766">
        <v>63</v>
      </c>
      <c r="C2766" t="s">
        <v>153</v>
      </c>
      <c r="D2766" t="s">
        <v>31</v>
      </c>
      <c r="E2766" t="s">
        <v>21</v>
      </c>
      <c r="F2766" s="1">
        <v>41</v>
      </c>
      <c r="G2766" t="s">
        <v>117</v>
      </c>
      <c r="H2766" t="s">
        <v>92</v>
      </c>
      <c r="I2766" t="s">
        <v>53</v>
      </c>
      <c r="J2766" t="s">
        <v>39</v>
      </c>
      <c r="K2766" s="2">
        <v>2.6</v>
      </c>
      <c r="L2766" t="s">
        <v>152</v>
      </c>
      <c r="M2766" t="s">
        <v>27</v>
      </c>
      <c r="N2766" t="s">
        <v>47</v>
      </c>
      <c r="O2766" t="s">
        <v>152</v>
      </c>
      <c r="P2766" t="s">
        <v>152</v>
      </c>
      <c r="Q2766" s="3">
        <v>2</v>
      </c>
      <c r="R2766" t="s">
        <v>59</v>
      </c>
      <c r="S2766" t="s">
        <v>41</v>
      </c>
    </row>
    <row r="2767" spans="1:19" x14ac:dyDescent="0.25">
      <c r="A2767">
        <v>2766</v>
      </c>
      <c r="B2767">
        <v>64</v>
      </c>
      <c r="C2767" t="s">
        <v>153</v>
      </c>
      <c r="D2767" t="s">
        <v>143</v>
      </c>
      <c r="E2767" t="s">
        <v>69</v>
      </c>
      <c r="F2767" s="1">
        <v>70</v>
      </c>
      <c r="G2767" t="s">
        <v>112</v>
      </c>
      <c r="H2767" t="s">
        <v>45</v>
      </c>
      <c r="I2767" t="s">
        <v>75</v>
      </c>
      <c r="J2767" t="s">
        <v>54</v>
      </c>
      <c r="K2767" s="2">
        <v>4.3</v>
      </c>
      <c r="L2767" t="s">
        <v>152</v>
      </c>
      <c r="M2767" t="s">
        <v>35</v>
      </c>
      <c r="N2767" t="s">
        <v>72</v>
      </c>
      <c r="O2767" t="s">
        <v>152</v>
      </c>
      <c r="P2767" t="s">
        <v>152</v>
      </c>
      <c r="Q2767" s="3">
        <v>24</v>
      </c>
      <c r="R2767" t="s">
        <v>27</v>
      </c>
      <c r="S2767" t="s">
        <v>60</v>
      </c>
    </row>
    <row r="2768" spans="1:19" x14ac:dyDescent="0.25">
      <c r="A2768">
        <v>2767</v>
      </c>
      <c r="B2768">
        <v>66</v>
      </c>
      <c r="C2768" t="s">
        <v>153</v>
      </c>
      <c r="D2768" t="s">
        <v>82</v>
      </c>
      <c r="E2768" t="s">
        <v>21</v>
      </c>
      <c r="F2768" s="1">
        <v>91</v>
      </c>
      <c r="G2768" t="s">
        <v>122</v>
      </c>
      <c r="H2768" t="s">
        <v>45</v>
      </c>
      <c r="I2768" t="s">
        <v>109</v>
      </c>
      <c r="J2768" t="s">
        <v>25</v>
      </c>
      <c r="K2768" s="2">
        <v>2.8</v>
      </c>
      <c r="L2768" t="s">
        <v>152</v>
      </c>
      <c r="M2768" t="s">
        <v>29</v>
      </c>
      <c r="N2768" t="s">
        <v>55</v>
      </c>
      <c r="O2768" t="s">
        <v>152</v>
      </c>
      <c r="P2768" t="s">
        <v>152</v>
      </c>
      <c r="Q2768" s="3">
        <v>47</v>
      </c>
      <c r="R2768" t="s">
        <v>27</v>
      </c>
      <c r="S2768" t="s">
        <v>88</v>
      </c>
    </row>
    <row r="2769" spans="1:19" x14ac:dyDescent="0.25">
      <c r="A2769">
        <v>2768</v>
      </c>
      <c r="B2769">
        <v>31</v>
      </c>
      <c r="C2769" t="s">
        <v>153</v>
      </c>
      <c r="D2769" t="s">
        <v>82</v>
      </c>
      <c r="E2769" t="s">
        <v>21</v>
      </c>
      <c r="F2769" s="1">
        <v>95</v>
      </c>
      <c r="G2769" t="s">
        <v>146</v>
      </c>
      <c r="H2769" t="s">
        <v>45</v>
      </c>
      <c r="I2769" t="s">
        <v>96</v>
      </c>
      <c r="J2769" t="s">
        <v>39</v>
      </c>
      <c r="K2769" s="2">
        <v>4.5</v>
      </c>
      <c r="L2769" t="s">
        <v>152</v>
      </c>
      <c r="M2769" t="s">
        <v>27</v>
      </c>
      <c r="N2769" t="s">
        <v>40</v>
      </c>
      <c r="O2769" t="s">
        <v>152</v>
      </c>
      <c r="P2769" t="s">
        <v>152</v>
      </c>
      <c r="Q2769" s="3">
        <v>31</v>
      </c>
      <c r="R2769" t="s">
        <v>35</v>
      </c>
      <c r="S2769" t="s">
        <v>88</v>
      </c>
    </row>
    <row r="2770" spans="1:19" x14ac:dyDescent="0.25">
      <c r="A2770">
        <v>2769</v>
      </c>
      <c r="B2770">
        <v>55</v>
      </c>
      <c r="C2770" t="s">
        <v>153</v>
      </c>
      <c r="D2770" t="s">
        <v>20</v>
      </c>
      <c r="E2770" t="s">
        <v>21</v>
      </c>
      <c r="F2770" s="1">
        <v>25</v>
      </c>
      <c r="G2770" t="s">
        <v>111</v>
      </c>
      <c r="H2770" t="s">
        <v>45</v>
      </c>
      <c r="I2770" t="s">
        <v>118</v>
      </c>
      <c r="J2770" t="s">
        <v>39</v>
      </c>
      <c r="K2770" s="2">
        <v>3.8</v>
      </c>
      <c r="L2770" t="s">
        <v>152</v>
      </c>
      <c r="M2770" t="s">
        <v>29</v>
      </c>
      <c r="N2770" t="s">
        <v>72</v>
      </c>
      <c r="O2770" t="s">
        <v>152</v>
      </c>
      <c r="P2770" t="s">
        <v>152</v>
      </c>
      <c r="Q2770" s="3">
        <v>28</v>
      </c>
      <c r="R2770" t="s">
        <v>46</v>
      </c>
      <c r="S2770" t="s">
        <v>77</v>
      </c>
    </row>
    <row r="2771" spans="1:19" x14ac:dyDescent="0.25">
      <c r="A2771">
        <v>2770</v>
      </c>
      <c r="B2771">
        <v>32</v>
      </c>
      <c r="C2771" t="s">
        <v>153</v>
      </c>
      <c r="D2771" t="s">
        <v>56</v>
      </c>
      <c r="E2771" t="s">
        <v>21</v>
      </c>
      <c r="F2771" s="1">
        <v>89</v>
      </c>
      <c r="G2771" t="s">
        <v>101</v>
      </c>
      <c r="H2771" t="s">
        <v>23</v>
      </c>
      <c r="I2771" t="s">
        <v>93</v>
      </c>
      <c r="J2771" t="s">
        <v>58</v>
      </c>
      <c r="K2771" s="2">
        <v>3</v>
      </c>
      <c r="L2771" t="s">
        <v>152</v>
      </c>
      <c r="M2771" t="s">
        <v>46</v>
      </c>
      <c r="N2771" t="s">
        <v>55</v>
      </c>
      <c r="O2771" t="s">
        <v>152</v>
      </c>
      <c r="P2771" t="s">
        <v>152</v>
      </c>
      <c r="Q2771" s="3">
        <v>13</v>
      </c>
      <c r="R2771" t="s">
        <v>35</v>
      </c>
      <c r="S2771" t="s">
        <v>41</v>
      </c>
    </row>
    <row r="2772" spans="1:19" x14ac:dyDescent="0.25">
      <c r="A2772">
        <v>2771</v>
      </c>
      <c r="B2772">
        <v>50</v>
      </c>
      <c r="C2772" t="s">
        <v>153</v>
      </c>
      <c r="D2772" t="s">
        <v>137</v>
      </c>
      <c r="E2772" t="s">
        <v>43</v>
      </c>
      <c r="F2772" s="1">
        <v>44</v>
      </c>
      <c r="G2772" t="s">
        <v>145</v>
      </c>
      <c r="H2772" t="s">
        <v>38</v>
      </c>
      <c r="I2772" t="s">
        <v>144</v>
      </c>
      <c r="J2772" t="s">
        <v>58</v>
      </c>
      <c r="K2772" s="2">
        <v>3.3</v>
      </c>
      <c r="L2772" t="s">
        <v>152</v>
      </c>
      <c r="M2772" t="s">
        <v>46</v>
      </c>
      <c r="N2772" t="s">
        <v>28</v>
      </c>
      <c r="O2772" t="s">
        <v>152</v>
      </c>
      <c r="P2772" t="s">
        <v>152</v>
      </c>
      <c r="Q2772" s="3">
        <v>22</v>
      </c>
      <c r="R2772" t="s">
        <v>34</v>
      </c>
      <c r="S2772" t="s">
        <v>60</v>
      </c>
    </row>
    <row r="2773" spans="1:19" x14ac:dyDescent="0.25">
      <c r="A2773">
        <v>2772</v>
      </c>
      <c r="B2773">
        <v>58</v>
      </c>
      <c r="C2773" t="s">
        <v>153</v>
      </c>
      <c r="D2773" t="s">
        <v>102</v>
      </c>
      <c r="E2773" t="s">
        <v>65</v>
      </c>
      <c r="F2773" s="1">
        <v>52</v>
      </c>
      <c r="G2773" t="s">
        <v>128</v>
      </c>
      <c r="H2773" t="s">
        <v>38</v>
      </c>
      <c r="I2773" t="s">
        <v>118</v>
      </c>
      <c r="J2773" t="s">
        <v>54</v>
      </c>
      <c r="K2773" s="2">
        <v>3.1</v>
      </c>
      <c r="L2773" t="s">
        <v>152</v>
      </c>
      <c r="M2773" t="s">
        <v>35</v>
      </c>
      <c r="N2773" t="s">
        <v>72</v>
      </c>
      <c r="O2773" t="s">
        <v>152</v>
      </c>
      <c r="P2773" t="s">
        <v>152</v>
      </c>
      <c r="Q2773" s="3">
        <v>12</v>
      </c>
      <c r="R2773" t="s">
        <v>34</v>
      </c>
      <c r="S2773" t="s">
        <v>30</v>
      </c>
    </row>
    <row r="2774" spans="1:19" x14ac:dyDescent="0.25">
      <c r="A2774">
        <v>2773</v>
      </c>
      <c r="B2774">
        <v>18</v>
      </c>
      <c r="C2774" t="s">
        <v>153</v>
      </c>
      <c r="D2774" t="s">
        <v>132</v>
      </c>
      <c r="E2774" t="s">
        <v>69</v>
      </c>
      <c r="F2774" s="1">
        <v>94</v>
      </c>
      <c r="G2774" t="s">
        <v>138</v>
      </c>
      <c r="H2774" t="s">
        <v>23</v>
      </c>
      <c r="I2774" t="s">
        <v>144</v>
      </c>
      <c r="J2774" t="s">
        <v>39</v>
      </c>
      <c r="K2774" s="2">
        <v>3.5</v>
      </c>
      <c r="L2774" t="s">
        <v>152</v>
      </c>
      <c r="M2774" t="s">
        <v>27</v>
      </c>
      <c r="N2774" t="s">
        <v>76</v>
      </c>
      <c r="O2774" t="s">
        <v>152</v>
      </c>
      <c r="P2774" t="s">
        <v>152</v>
      </c>
      <c r="Q2774" s="3">
        <v>10</v>
      </c>
      <c r="R2774" t="s">
        <v>34</v>
      </c>
      <c r="S2774" t="s">
        <v>97</v>
      </c>
    </row>
    <row r="2775" spans="1:19" x14ac:dyDescent="0.25">
      <c r="A2775">
        <v>2774</v>
      </c>
      <c r="B2775">
        <v>39</v>
      </c>
      <c r="C2775" t="s">
        <v>153</v>
      </c>
      <c r="D2775" t="s">
        <v>95</v>
      </c>
      <c r="E2775" t="s">
        <v>21</v>
      </c>
      <c r="F2775" s="1">
        <v>98</v>
      </c>
      <c r="G2775" t="s">
        <v>117</v>
      </c>
      <c r="H2775" t="s">
        <v>38</v>
      </c>
      <c r="I2775" t="s">
        <v>33</v>
      </c>
      <c r="J2775" t="s">
        <v>39</v>
      </c>
      <c r="K2775" s="2">
        <v>4.5999999999999996</v>
      </c>
      <c r="L2775" t="s">
        <v>152</v>
      </c>
      <c r="M2775" t="s">
        <v>27</v>
      </c>
      <c r="N2775" t="s">
        <v>28</v>
      </c>
      <c r="O2775" t="s">
        <v>152</v>
      </c>
      <c r="P2775" t="s">
        <v>152</v>
      </c>
      <c r="Q2775" s="3">
        <v>45</v>
      </c>
      <c r="R2775" t="s">
        <v>34</v>
      </c>
      <c r="S2775" t="s">
        <v>60</v>
      </c>
    </row>
    <row r="2776" spans="1:19" x14ac:dyDescent="0.25">
      <c r="A2776">
        <v>2775</v>
      </c>
      <c r="B2776">
        <v>56</v>
      </c>
      <c r="C2776" t="s">
        <v>153</v>
      </c>
      <c r="D2776" t="s">
        <v>137</v>
      </c>
      <c r="E2776" t="s">
        <v>43</v>
      </c>
      <c r="F2776" s="1">
        <v>40</v>
      </c>
      <c r="G2776" t="s">
        <v>101</v>
      </c>
      <c r="H2776" t="s">
        <v>23</v>
      </c>
      <c r="I2776" t="s">
        <v>134</v>
      </c>
      <c r="J2776" t="s">
        <v>58</v>
      </c>
      <c r="K2776" s="2">
        <v>4.0999999999999996</v>
      </c>
      <c r="L2776" t="s">
        <v>152</v>
      </c>
      <c r="M2776" t="s">
        <v>34</v>
      </c>
      <c r="N2776" t="s">
        <v>55</v>
      </c>
      <c r="O2776" t="s">
        <v>152</v>
      </c>
      <c r="P2776" t="s">
        <v>152</v>
      </c>
      <c r="Q2776" s="3">
        <v>42</v>
      </c>
      <c r="R2776" t="s">
        <v>27</v>
      </c>
      <c r="S2776" t="s">
        <v>60</v>
      </c>
    </row>
    <row r="2777" spans="1:19" x14ac:dyDescent="0.25">
      <c r="A2777">
        <v>2776</v>
      </c>
      <c r="B2777">
        <v>37</v>
      </c>
      <c r="C2777" t="s">
        <v>153</v>
      </c>
      <c r="D2777" t="s">
        <v>125</v>
      </c>
      <c r="E2777" t="s">
        <v>21</v>
      </c>
      <c r="F2777" s="1">
        <v>25</v>
      </c>
      <c r="G2777" t="s">
        <v>57</v>
      </c>
      <c r="H2777" t="s">
        <v>23</v>
      </c>
      <c r="I2777" t="s">
        <v>108</v>
      </c>
      <c r="J2777" t="s">
        <v>58</v>
      </c>
      <c r="K2777" s="2">
        <v>3.6</v>
      </c>
      <c r="L2777" t="s">
        <v>152</v>
      </c>
      <c r="M2777" t="s">
        <v>29</v>
      </c>
      <c r="N2777" t="s">
        <v>40</v>
      </c>
      <c r="O2777" t="s">
        <v>152</v>
      </c>
      <c r="P2777" t="s">
        <v>152</v>
      </c>
      <c r="Q2777" s="3">
        <v>16</v>
      </c>
      <c r="R2777" t="s">
        <v>59</v>
      </c>
      <c r="S2777" t="s">
        <v>41</v>
      </c>
    </row>
    <row r="2778" spans="1:19" x14ac:dyDescent="0.25">
      <c r="A2778">
        <v>2777</v>
      </c>
      <c r="B2778">
        <v>46</v>
      </c>
      <c r="C2778" t="s">
        <v>153</v>
      </c>
      <c r="D2778" t="s">
        <v>119</v>
      </c>
      <c r="E2778" t="s">
        <v>69</v>
      </c>
      <c r="F2778" s="1">
        <v>62</v>
      </c>
      <c r="G2778" t="s">
        <v>52</v>
      </c>
      <c r="H2778" t="s">
        <v>23</v>
      </c>
      <c r="I2778" t="s">
        <v>96</v>
      </c>
      <c r="J2778" t="s">
        <v>58</v>
      </c>
      <c r="K2778" s="2">
        <v>2.9</v>
      </c>
      <c r="L2778" t="s">
        <v>152</v>
      </c>
      <c r="M2778" t="s">
        <v>59</v>
      </c>
      <c r="N2778" t="s">
        <v>40</v>
      </c>
      <c r="O2778" t="s">
        <v>152</v>
      </c>
      <c r="P2778" t="s">
        <v>152</v>
      </c>
      <c r="Q2778" s="3">
        <v>6</v>
      </c>
      <c r="R2778" t="s">
        <v>34</v>
      </c>
      <c r="S2778" t="s">
        <v>50</v>
      </c>
    </row>
    <row r="2779" spans="1:19" x14ac:dyDescent="0.25">
      <c r="A2779">
        <v>2778</v>
      </c>
      <c r="B2779">
        <v>52</v>
      </c>
      <c r="C2779" t="s">
        <v>153</v>
      </c>
      <c r="D2779" t="s">
        <v>20</v>
      </c>
      <c r="E2779" t="s">
        <v>21</v>
      </c>
      <c r="F2779" s="1">
        <v>24</v>
      </c>
      <c r="G2779" t="s">
        <v>135</v>
      </c>
      <c r="H2779" t="s">
        <v>45</v>
      </c>
      <c r="I2779" t="s">
        <v>136</v>
      </c>
      <c r="J2779" t="s">
        <v>58</v>
      </c>
      <c r="K2779" s="2">
        <v>4.8</v>
      </c>
      <c r="L2779" t="s">
        <v>152</v>
      </c>
      <c r="M2779" t="s">
        <v>59</v>
      </c>
      <c r="N2779" t="s">
        <v>55</v>
      </c>
      <c r="O2779" t="s">
        <v>152</v>
      </c>
      <c r="P2779" t="s">
        <v>152</v>
      </c>
      <c r="Q2779" s="3">
        <v>28</v>
      </c>
      <c r="R2779" t="s">
        <v>27</v>
      </c>
      <c r="S2779" t="s">
        <v>97</v>
      </c>
    </row>
    <row r="2780" spans="1:19" x14ac:dyDescent="0.25">
      <c r="A2780">
        <v>2779</v>
      </c>
      <c r="B2780">
        <v>70</v>
      </c>
      <c r="C2780" t="s">
        <v>153</v>
      </c>
      <c r="D2780" t="s">
        <v>133</v>
      </c>
      <c r="E2780" t="s">
        <v>69</v>
      </c>
      <c r="F2780" s="1">
        <v>57</v>
      </c>
      <c r="G2780" t="s">
        <v>138</v>
      </c>
      <c r="H2780" t="s">
        <v>23</v>
      </c>
      <c r="I2780" t="s">
        <v>134</v>
      </c>
      <c r="J2780" t="s">
        <v>39</v>
      </c>
      <c r="K2780" s="2">
        <v>3.2</v>
      </c>
      <c r="L2780" t="s">
        <v>152</v>
      </c>
      <c r="M2780" t="s">
        <v>35</v>
      </c>
      <c r="N2780" t="s">
        <v>55</v>
      </c>
      <c r="O2780" t="s">
        <v>152</v>
      </c>
      <c r="P2780" t="s">
        <v>152</v>
      </c>
      <c r="Q2780" s="3">
        <v>24</v>
      </c>
      <c r="R2780" t="s">
        <v>27</v>
      </c>
      <c r="S2780" t="s">
        <v>77</v>
      </c>
    </row>
    <row r="2781" spans="1:19" x14ac:dyDescent="0.25">
      <c r="A2781">
        <v>2780</v>
      </c>
      <c r="B2781">
        <v>61</v>
      </c>
      <c r="C2781" t="s">
        <v>153</v>
      </c>
      <c r="D2781" t="s">
        <v>89</v>
      </c>
      <c r="E2781" t="s">
        <v>69</v>
      </c>
      <c r="F2781" s="1">
        <v>66</v>
      </c>
      <c r="G2781" t="s">
        <v>57</v>
      </c>
      <c r="H2781" t="s">
        <v>23</v>
      </c>
      <c r="I2781" t="s">
        <v>144</v>
      </c>
      <c r="J2781" t="s">
        <v>25</v>
      </c>
      <c r="K2781" s="2">
        <v>4.3</v>
      </c>
      <c r="L2781" t="s">
        <v>152</v>
      </c>
      <c r="M2781" t="s">
        <v>34</v>
      </c>
      <c r="N2781" t="s">
        <v>28</v>
      </c>
      <c r="O2781" t="s">
        <v>152</v>
      </c>
      <c r="P2781" t="s">
        <v>152</v>
      </c>
      <c r="Q2781" s="3">
        <v>14</v>
      </c>
      <c r="R2781" t="s">
        <v>27</v>
      </c>
      <c r="S2781" t="s">
        <v>30</v>
      </c>
    </row>
    <row r="2782" spans="1:19" x14ac:dyDescent="0.25">
      <c r="A2782">
        <v>2781</v>
      </c>
      <c r="B2782">
        <v>33</v>
      </c>
      <c r="C2782" t="s">
        <v>153</v>
      </c>
      <c r="D2782" t="s">
        <v>137</v>
      </c>
      <c r="E2782" t="s">
        <v>43</v>
      </c>
      <c r="F2782" s="1">
        <v>70</v>
      </c>
      <c r="G2782" t="s">
        <v>123</v>
      </c>
      <c r="H2782" t="s">
        <v>45</v>
      </c>
      <c r="I2782" t="s">
        <v>63</v>
      </c>
      <c r="J2782" t="s">
        <v>25</v>
      </c>
      <c r="K2782" s="2">
        <v>4.0999999999999996</v>
      </c>
      <c r="L2782" t="s">
        <v>152</v>
      </c>
      <c r="M2782" t="s">
        <v>34</v>
      </c>
      <c r="N2782" t="s">
        <v>47</v>
      </c>
      <c r="O2782" t="s">
        <v>152</v>
      </c>
      <c r="P2782" t="s">
        <v>152</v>
      </c>
      <c r="Q2782" s="3">
        <v>29</v>
      </c>
      <c r="R2782" t="s">
        <v>46</v>
      </c>
      <c r="S2782" t="s">
        <v>30</v>
      </c>
    </row>
    <row r="2783" spans="1:19" x14ac:dyDescent="0.25">
      <c r="A2783">
        <v>2782</v>
      </c>
      <c r="B2783">
        <v>65</v>
      </c>
      <c r="C2783" t="s">
        <v>153</v>
      </c>
      <c r="D2783" t="s">
        <v>42</v>
      </c>
      <c r="E2783" t="s">
        <v>43</v>
      </c>
      <c r="F2783" s="1">
        <v>39</v>
      </c>
      <c r="G2783" t="s">
        <v>91</v>
      </c>
      <c r="H2783" t="s">
        <v>45</v>
      </c>
      <c r="I2783" t="s">
        <v>144</v>
      </c>
      <c r="J2783" t="s">
        <v>39</v>
      </c>
      <c r="K2783" s="2">
        <v>4.5999999999999996</v>
      </c>
      <c r="L2783" t="s">
        <v>152</v>
      </c>
      <c r="M2783" t="s">
        <v>29</v>
      </c>
      <c r="N2783" t="s">
        <v>55</v>
      </c>
      <c r="O2783" t="s">
        <v>152</v>
      </c>
      <c r="P2783" t="s">
        <v>152</v>
      </c>
      <c r="Q2783" s="3">
        <v>33</v>
      </c>
      <c r="R2783" t="s">
        <v>46</v>
      </c>
      <c r="S2783" t="s">
        <v>41</v>
      </c>
    </row>
    <row r="2784" spans="1:19" x14ac:dyDescent="0.25">
      <c r="A2784">
        <v>2783</v>
      </c>
      <c r="B2784">
        <v>41</v>
      </c>
      <c r="C2784" t="s">
        <v>153</v>
      </c>
      <c r="D2784" t="s">
        <v>143</v>
      </c>
      <c r="E2784" t="s">
        <v>69</v>
      </c>
      <c r="F2784" s="1">
        <v>34</v>
      </c>
      <c r="G2784" t="s">
        <v>135</v>
      </c>
      <c r="H2784" t="s">
        <v>38</v>
      </c>
      <c r="I2784" t="s">
        <v>109</v>
      </c>
      <c r="J2784" t="s">
        <v>39</v>
      </c>
      <c r="K2784" s="2">
        <v>3.8</v>
      </c>
      <c r="L2784" t="s">
        <v>152</v>
      </c>
      <c r="M2784" t="s">
        <v>46</v>
      </c>
      <c r="N2784" t="s">
        <v>40</v>
      </c>
      <c r="O2784" t="s">
        <v>152</v>
      </c>
      <c r="P2784" t="s">
        <v>152</v>
      </c>
      <c r="Q2784" s="3">
        <v>30</v>
      </c>
      <c r="R2784" t="s">
        <v>46</v>
      </c>
      <c r="S2784" t="s">
        <v>50</v>
      </c>
    </row>
    <row r="2785" spans="1:19" x14ac:dyDescent="0.25">
      <c r="A2785">
        <v>2784</v>
      </c>
      <c r="B2785">
        <v>19</v>
      </c>
      <c r="C2785" t="s">
        <v>153</v>
      </c>
      <c r="D2785" t="s">
        <v>87</v>
      </c>
      <c r="E2785" t="s">
        <v>21</v>
      </c>
      <c r="F2785" s="1">
        <v>38</v>
      </c>
      <c r="G2785" t="s">
        <v>141</v>
      </c>
      <c r="H2785" t="s">
        <v>45</v>
      </c>
      <c r="I2785" t="s">
        <v>67</v>
      </c>
      <c r="J2785" t="s">
        <v>39</v>
      </c>
      <c r="K2785" s="2">
        <v>4.5</v>
      </c>
      <c r="L2785" t="s">
        <v>152</v>
      </c>
      <c r="M2785" t="s">
        <v>27</v>
      </c>
      <c r="N2785" t="s">
        <v>47</v>
      </c>
      <c r="O2785" t="s">
        <v>152</v>
      </c>
      <c r="P2785" t="s">
        <v>152</v>
      </c>
      <c r="Q2785" s="3">
        <v>26</v>
      </c>
      <c r="R2785" t="s">
        <v>27</v>
      </c>
      <c r="S2785" t="s">
        <v>60</v>
      </c>
    </row>
    <row r="2786" spans="1:19" x14ac:dyDescent="0.25">
      <c r="A2786">
        <v>2785</v>
      </c>
      <c r="B2786">
        <v>33</v>
      </c>
      <c r="C2786" t="s">
        <v>153</v>
      </c>
      <c r="D2786" t="s">
        <v>87</v>
      </c>
      <c r="E2786" t="s">
        <v>21</v>
      </c>
      <c r="F2786" s="1">
        <v>70</v>
      </c>
      <c r="G2786" t="s">
        <v>135</v>
      </c>
      <c r="H2786" t="s">
        <v>45</v>
      </c>
      <c r="I2786" t="s">
        <v>94</v>
      </c>
      <c r="J2786" t="s">
        <v>25</v>
      </c>
      <c r="K2786" s="2">
        <v>3.1</v>
      </c>
      <c r="L2786" t="s">
        <v>152</v>
      </c>
      <c r="M2786" t="s">
        <v>34</v>
      </c>
      <c r="N2786" t="s">
        <v>28</v>
      </c>
      <c r="O2786" t="s">
        <v>152</v>
      </c>
      <c r="P2786" t="s">
        <v>152</v>
      </c>
      <c r="Q2786" s="3">
        <v>12</v>
      </c>
      <c r="R2786" t="s">
        <v>46</v>
      </c>
      <c r="S2786" t="s">
        <v>97</v>
      </c>
    </row>
    <row r="2787" spans="1:19" x14ac:dyDescent="0.25">
      <c r="A2787">
        <v>2786</v>
      </c>
      <c r="B2787">
        <v>53</v>
      </c>
      <c r="C2787" t="s">
        <v>153</v>
      </c>
      <c r="D2787" t="s">
        <v>20</v>
      </c>
      <c r="E2787" t="s">
        <v>21</v>
      </c>
      <c r="F2787" s="1">
        <v>80</v>
      </c>
      <c r="G2787" t="s">
        <v>62</v>
      </c>
      <c r="H2787" t="s">
        <v>38</v>
      </c>
      <c r="I2787" t="s">
        <v>96</v>
      </c>
      <c r="J2787" t="s">
        <v>54</v>
      </c>
      <c r="K2787" s="2">
        <v>2.9</v>
      </c>
      <c r="L2787" t="s">
        <v>152</v>
      </c>
      <c r="M2787" t="s">
        <v>27</v>
      </c>
      <c r="N2787" t="s">
        <v>47</v>
      </c>
      <c r="O2787" t="s">
        <v>152</v>
      </c>
      <c r="P2787" t="s">
        <v>152</v>
      </c>
      <c r="Q2787" s="3">
        <v>13</v>
      </c>
      <c r="R2787" t="s">
        <v>34</v>
      </c>
      <c r="S2787" t="s">
        <v>88</v>
      </c>
    </row>
    <row r="2788" spans="1:19" x14ac:dyDescent="0.25">
      <c r="A2788">
        <v>2787</v>
      </c>
      <c r="B2788">
        <v>54</v>
      </c>
      <c r="C2788" t="s">
        <v>153</v>
      </c>
      <c r="D2788" t="s">
        <v>68</v>
      </c>
      <c r="E2788" t="s">
        <v>69</v>
      </c>
      <c r="F2788" s="1">
        <v>51</v>
      </c>
      <c r="G2788" t="s">
        <v>112</v>
      </c>
      <c r="H2788" t="s">
        <v>45</v>
      </c>
      <c r="I2788" t="s">
        <v>84</v>
      </c>
      <c r="J2788" t="s">
        <v>39</v>
      </c>
      <c r="K2788" s="2">
        <v>3.8</v>
      </c>
      <c r="L2788" t="s">
        <v>152</v>
      </c>
      <c r="M2788" t="s">
        <v>46</v>
      </c>
      <c r="N2788" t="s">
        <v>47</v>
      </c>
      <c r="O2788" t="s">
        <v>152</v>
      </c>
      <c r="P2788" t="s">
        <v>152</v>
      </c>
      <c r="Q2788" s="3">
        <v>41</v>
      </c>
      <c r="R2788" t="s">
        <v>59</v>
      </c>
      <c r="S2788" t="s">
        <v>97</v>
      </c>
    </row>
    <row r="2789" spans="1:19" x14ac:dyDescent="0.25">
      <c r="A2789">
        <v>2788</v>
      </c>
      <c r="B2789">
        <v>36</v>
      </c>
      <c r="C2789" t="s">
        <v>153</v>
      </c>
      <c r="D2789" t="s">
        <v>137</v>
      </c>
      <c r="E2789" t="s">
        <v>43</v>
      </c>
      <c r="F2789" s="1">
        <v>79</v>
      </c>
      <c r="G2789" t="s">
        <v>66</v>
      </c>
      <c r="H2789" t="s">
        <v>92</v>
      </c>
      <c r="I2789" t="s">
        <v>71</v>
      </c>
      <c r="J2789" t="s">
        <v>39</v>
      </c>
      <c r="K2789" s="2">
        <v>4.0999999999999996</v>
      </c>
      <c r="L2789" t="s">
        <v>152</v>
      </c>
      <c r="M2789" t="s">
        <v>35</v>
      </c>
      <c r="N2789" t="s">
        <v>47</v>
      </c>
      <c r="O2789" t="s">
        <v>152</v>
      </c>
      <c r="P2789" t="s">
        <v>152</v>
      </c>
      <c r="Q2789" s="3">
        <v>4</v>
      </c>
      <c r="R2789" t="s">
        <v>29</v>
      </c>
      <c r="S2789" t="s">
        <v>30</v>
      </c>
    </row>
    <row r="2790" spans="1:19" x14ac:dyDescent="0.25">
      <c r="A2790">
        <v>2789</v>
      </c>
      <c r="B2790">
        <v>56</v>
      </c>
      <c r="C2790" t="s">
        <v>153</v>
      </c>
      <c r="D2790" t="s">
        <v>137</v>
      </c>
      <c r="E2790" t="s">
        <v>43</v>
      </c>
      <c r="F2790" s="1">
        <v>92</v>
      </c>
      <c r="G2790" t="s">
        <v>44</v>
      </c>
      <c r="H2790" t="s">
        <v>45</v>
      </c>
      <c r="I2790" t="s">
        <v>79</v>
      </c>
      <c r="J2790" t="s">
        <v>54</v>
      </c>
      <c r="K2790" s="2">
        <v>3.1</v>
      </c>
      <c r="L2790" t="s">
        <v>152</v>
      </c>
      <c r="M2790" t="s">
        <v>35</v>
      </c>
      <c r="N2790" t="s">
        <v>40</v>
      </c>
      <c r="O2790" t="s">
        <v>152</v>
      </c>
      <c r="P2790" t="s">
        <v>152</v>
      </c>
      <c r="Q2790" s="3">
        <v>2</v>
      </c>
      <c r="R2790" t="s">
        <v>27</v>
      </c>
      <c r="S2790" t="s">
        <v>50</v>
      </c>
    </row>
    <row r="2791" spans="1:19" x14ac:dyDescent="0.25">
      <c r="A2791">
        <v>2790</v>
      </c>
      <c r="B2791">
        <v>28</v>
      </c>
      <c r="C2791" t="s">
        <v>153</v>
      </c>
      <c r="D2791" t="s">
        <v>31</v>
      </c>
      <c r="E2791" t="s">
        <v>21</v>
      </c>
      <c r="F2791" s="1">
        <v>85</v>
      </c>
      <c r="G2791" t="s">
        <v>98</v>
      </c>
      <c r="H2791" t="s">
        <v>23</v>
      </c>
      <c r="I2791" t="s">
        <v>121</v>
      </c>
      <c r="J2791" t="s">
        <v>58</v>
      </c>
      <c r="K2791" s="2">
        <v>5</v>
      </c>
      <c r="L2791" t="s">
        <v>152</v>
      </c>
      <c r="M2791" t="s">
        <v>35</v>
      </c>
      <c r="N2791" t="s">
        <v>28</v>
      </c>
      <c r="O2791" t="s">
        <v>152</v>
      </c>
      <c r="P2791" t="s">
        <v>152</v>
      </c>
      <c r="Q2791" s="3">
        <v>28</v>
      </c>
      <c r="R2791" t="s">
        <v>27</v>
      </c>
      <c r="S2791" t="s">
        <v>77</v>
      </c>
    </row>
    <row r="2792" spans="1:19" x14ac:dyDescent="0.25">
      <c r="A2792">
        <v>2791</v>
      </c>
      <c r="B2792">
        <v>34</v>
      </c>
      <c r="C2792" t="s">
        <v>153</v>
      </c>
      <c r="D2792" t="s">
        <v>125</v>
      </c>
      <c r="E2792" t="s">
        <v>21</v>
      </c>
      <c r="F2792" s="1">
        <v>63</v>
      </c>
      <c r="G2792" t="s">
        <v>32</v>
      </c>
      <c r="H2792" t="s">
        <v>45</v>
      </c>
      <c r="I2792" t="s">
        <v>94</v>
      </c>
      <c r="J2792" t="s">
        <v>39</v>
      </c>
      <c r="K2792" s="2">
        <v>4.5</v>
      </c>
      <c r="L2792" t="s">
        <v>152</v>
      </c>
      <c r="M2792" t="s">
        <v>35</v>
      </c>
      <c r="N2792" t="s">
        <v>40</v>
      </c>
      <c r="O2792" t="s">
        <v>152</v>
      </c>
      <c r="P2792" t="s">
        <v>152</v>
      </c>
      <c r="Q2792" s="3">
        <v>24</v>
      </c>
      <c r="R2792" t="s">
        <v>59</v>
      </c>
      <c r="S2792" t="s">
        <v>50</v>
      </c>
    </row>
    <row r="2793" spans="1:19" x14ac:dyDescent="0.25">
      <c r="A2793">
        <v>2792</v>
      </c>
      <c r="B2793">
        <v>43</v>
      </c>
      <c r="C2793" t="s">
        <v>153</v>
      </c>
      <c r="D2793" t="s">
        <v>143</v>
      </c>
      <c r="E2793" t="s">
        <v>69</v>
      </c>
      <c r="F2793" s="1">
        <v>60</v>
      </c>
      <c r="G2793" t="s">
        <v>146</v>
      </c>
      <c r="H2793" t="s">
        <v>45</v>
      </c>
      <c r="I2793" t="s">
        <v>134</v>
      </c>
      <c r="J2793" t="s">
        <v>58</v>
      </c>
      <c r="K2793" s="2">
        <v>2.8</v>
      </c>
      <c r="L2793" t="s">
        <v>152</v>
      </c>
      <c r="M2793" t="s">
        <v>27</v>
      </c>
      <c r="N2793" t="s">
        <v>28</v>
      </c>
      <c r="O2793" t="s">
        <v>152</v>
      </c>
      <c r="P2793" t="s">
        <v>152</v>
      </c>
      <c r="Q2793" s="3">
        <v>14</v>
      </c>
      <c r="R2793" t="s">
        <v>29</v>
      </c>
      <c r="S2793" t="s">
        <v>30</v>
      </c>
    </row>
    <row r="2794" spans="1:19" x14ac:dyDescent="0.25">
      <c r="A2794">
        <v>2793</v>
      </c>
      <c r="B2794">
        <v>54</v>
      </c>
      <c r="C2794" t="s">
        <v>153</v>
      </c>
      <c r="D2794" t="s">
        <v>61</v>
      </c>
      <c r="E2794" t="s">
        <v>21</v>
      </c>
      <c r="F2794" s="1">
        <v>44</v>
      </c>
      <c r="G2794" t="s">
        <v>22</v>
      </c>
      <c r="H2794" t="s">
        <v>23</v>
      </c>
      <c r="I2794" t="s">
        <v>84</v>
      </c>
      <c r="J2794" t="s">
        <v>25</v>
      </c>
      <c r="K2794" s="2">
        <v>3.2</v>
      </c>
      <c r="L2794" t="s">
        <v>152</v>
      </c>
      <c r="M2794" t="s">
        <v>59</v>
      </c>
      <c r="N2794" t="s">
        <v>28</v>
      </c>
      <c r="O2794" t="s">
        <v>152</v>
      </c>
      <c r="P2794" t="s">
        <v>152</v>
      </c>
      <c r="Q2794" s="3">
        <v>11</v>
      </c>
      <c r="R2794" t="s">
        <v>27</v>
      </c>
      <c r="S2794" t="s">
        <v>41</v>
      </c>
    </row>
    <row r="2795" spans="1:19" x14ac:dyDescent="0.25">
      <c r="A2795">
        <v>2794</v>
      </c>
      <c r="B2795">
        <v>37</v>
      </c>
      <c r="C2795" t="s">
        <v>153</v>
      </c>
      <c r="D2795" t="s">
        <v>137</v>
      </c>
      <c r="E2795" t="s">
        <v>43</v>
      </c>
      <c r="F2795" s="1">
        <v>57</v>
      </c>
      <c r="G2795" t="s">
        <v>37</v>
      </c>
      <c r="H2795" t="s">
        <v>45</v>
      </c>
      <c r="I2795" t="s">
        <v>67</v>
      </c>
      <c r="J2795" t="s">
        <v>39</v>
      </c>
      <c r="K2795" s="2">
        <v>3.1</v>
      </c>
      <c r="L2795" t="s">
        <v>152</v>
      </c>
      <c r="M2795" t="s">
        <v>34</v>
      </c>
      <c r="N2795" t="s">
        <v>55</v>
      </c>
      <c r="O2795" t="s">
        <v>152</v>
      </c>
      <c r="P2795" t="s">
        <v>152</v>
      </c>
      <c r="Q2795" s="3">
        <v>27</v>
      </c>
      <c r="R2795" t="s">
        <v>59</v>
      </c>
      <c r="S2795" t="s">
        <v>77</v>
      </c>
    </row>
    <row r="2796" spans="1:19" x14ac:dyDescent="0.25">
      <c r="A2796">
        <v>2795</v>
      </c>
      <c r="B2796">
        <v>33</v>
      </c>
      <c r="C2796" t="s">
        <v>153</v>
      </c>
      <c r="D2796" t="s">
        <v>102</v>
      </c>
      <c r="E2796" t="s">
        <v>65</v>
      </c>
      <c r="F2796" s="1">
        <v>24</v>
      </c>
      <c r="G2796" t="s">
        <v>85</v>
      </c>
      <c r="H2796" t="s">
        <v>45</v>
      </c>
      <c r="I2796" t="s">
        <v>81</v>
      </c>
      <c r="J2796" t="s">
        <v>58</v>
      </c>
      <c r="K2796" s="2">
        <v>3.3</v>
      </c>
      <c r="L2796" t="s">
        <v>152</v>
      </c>
      <c r="M2796" t="s">
        <v>46</v>
      </c>
      <c r="N2796" t="s">
        <v>55</v>
      </c>
      <c r="O2796" t="s">
        <v>152</v>
      </c>
      <c r="P2796" t="s">
        <v>152</v>
      </c>
      <c r="Q2796" s="3">
        <v>7</v>
      </c>
      <c r="R2796" t="s">
        <v>35</v>
      </c>
      <c r="S2796" t="s">
        <v>30</v>
      </c>
    </row>
    <row r="2797" spans="1:19" x14ac:dyDescent="0.25">
      <c r="A2797">
        <v>2796</v>
      </c>
      <c r="B2797">
        <v>33</v>
      </c>
      <c r="C2797" t="s">
        <v>153</v>
      </c>
      <c r="D2797" t="s">
        <v>119</v>
      </c>
      <c r="E2797" t="s">
        <v>69</v>
      </c>
      <c r="F2797" s="1">
        <v>35</v>
      </c>
      <c r="G2797" t="s">
        <v>145</v>
      </c>
      <c r="H2797" t="s">
        <v>45</v>
      </c>
      <c r="I2797" t="s">
        <v>136</v>
      </c>
      <c r="J2797" t="s">
        <v>25</v>
      </c>
      <c r="K2797" s="2">
        <v>3.4</v>
      </c>
      <c r="L2797" t="s">
        <v>152</v>
      </c>
      <c r="M2797" t="s">
        <v>34</v>
      </c>
      <c r="N2797" t="s">
        <v>76</v>
      </c>
      <c r="O2797" t="s">
        <v>152</v>
      </c>
      <c r="P2797" t="s">
        <v>152</v>
      </c>
      <c r="Q2797" s="3">
        <v>49</v>
      </c>
      <c r="R2797" t="s">
        <v>46</v>
      </c>
      <c r="S2797" t="s">
        <v>50</v>
      </c>
    </row>
    <row r="2798" spans="1:19" x14ac:dyDescent="0.25">
      <c r="A2798">
        <v>2797</v>
      </c>
      <c r="B2798">
        <v>55</v>
      </c>
      <c r="C2798" t="s">
        <v>153</v>
      </c>
      <c r="D2798" t="s">
        <v>102</v>
      </c>
      <c r="E2798" t="s">
        <v>65</v>
      </c>
      <c r="F2798" s="1">
        <v>73</v>
      </c>
      <c r="G2798" t="s">
        <v>101</v>
      </c>
      <c r="H2798" t="s">
        <v>45</v>
      </c>
      <c r="I2798" t="s">
        <v>108</v>
      </c>
      <c r="J2798" t="s">
        <v>25</v>
      </c>
      <c r="K2798" s="2">
        <v>3.8</v>
      </c>
      <c r="L2798" t="s">
        <v>152</v>
      </c>
      <c r="M2798" t="s">
        <v>35</v>
      </c>
      <c r="N2798" t="s">
        <v>76</v>
      </c>
      <c r="O2798" t="s">
        <v>152</v>
      </c>
      <c r="P2798" t="s">
        <v>152</v>
      </c>
      <c r="Q2798" s="3">
        <v>21</v>
      </c>
      <c r="R2798" t="s">
        <v>35</v>
      </c>
      <c r="S2798" t="s">
        <v>50</v>
      </c>
    </row>
    <row r="2799" spans="1:19" x14ac:dyDescent="0.25">
      <c r="A2799">
        <v>2798</v>
      </c>
      <c r="B2799">
        <v>63</v>
      </c>
      <c r="C2799" t="s">
        <v>153</v>
      </c>
      <c r="D2799" t="s">
        <v>106</v>
      </c>
      <c r="E2799" t="s">
        <v>69</v>
      </c>
      <c r="F2799" s="1">
        <v>42</v>
      </c>
      <c r="G2799" t="s">
        <v>101</v>
      </c>
      <c r="H2799" t="s">
        <v>45</v>
      </c>
      <c r="I2799" t="s">
        <v>96</v>
      </c>
      <c r="J2799" t="s">
        <v>25</v>
      </c>
      <c r="K2799" s="2">
        <v>3.5</v>
      </c>
      <c r="L2799" t="s">
        <v>152</v>
      </c>
      <c r="M2799" t="s">
        <v>46</v>
      </c>
      <c r="N2799" t="s">
        <v>28</v>
      </c>
      <c r="O2799" t="s">
        <v>152</v>
      </c>
      <c r="P2799" t="s">
        <v>152</v>
      </c>
      <c r="Q2799" s="3">
        <v>10</v>
      </c>
      <c r="R2799" t="s">
        <v>29</v>
      </c>
      <c r="S2799" t="s">
        <v>97</v>
      </c>
    </row>
    <row r="2800" spans="1:19" x14ac:dyDescent="0.25">
      <c r="A2800">
        <v>2799</v>
      </c>
      <c r="B2800">
        <v>52</v>
      </c>
      <c r="C2800" t="s">
        <v>153</v>
      </c>
      <c r="D2800" t="s">
        <v>104</v>
      </c>
      <c r="E2800" t="s">
        <v>21</v>
      </c>
      <c r="F2800" s="1">
        <v>20</v>
      </c>
      <c r="G2800" t="s">
        <v>44</v>
      </c>
      <c r="H2800" t="s">
        <v>92</v>
      </c>
      <c r="I2800" t="s">
        <v>108</v>
      </c>
      <c r="J2800" t="s">
        <v>25</v>
      </c>
      <c r="K2800" s="2">
        <v>4.8</v>
      </c>
      <c r="L2800" t="s">
        <v>152</v>
      </c>
      <c r="M2800" t="s">
        <v>27</v>
      </c>
      <c r="N2800" t="s">
        <v>76</v>
      </c>
      <c r="O2800" t="s">
        <v>152</v>
      </c>
      <c r="P2800" t="s">
        <v>152</v>
      </c>
      <c r="Q2800" s="3">
        <v>37</v>
      </c>
      <c r="R2800" t="s">
        <v>46</v>
      </c>
      <c r="S2800" t="s">
        <v>41</v>
      </c>
    </row>
    <row r="2801" spans="1:19" x14ac:dyDescent="0.25">
      <c r="A2801">
        <v>2800</v>
      </c>
      <c r="B2801">
        <v>23</v>
      </c>
      <c r="C2801" t="s">
        <v>153</v>
      </c>
      <c r="D2801" t="s">
        <v>113</v>
      </c>
      <c r="E2801" t="s">
        <v>21</v>
      </c>
      <c r="F2801" s="1">
        <v>89</v>
      </c>
      <c r="G2801" t="s">
        <v>32</v>
      </c>
      <c r="H2801" t="s">
        <v>23</v>
      </c>
      <c r="I2801" t="s">
        <v>71</v>
      </c>
      <c r="J2801" t="s">
        <v>39</v>
      </c>
      <c r="K2801" s="2">
        <v>3.9</v>
      </c>
      <c r="L2801" t="s">
        <v>152</v>
      </c>
      <c r="M2801" t="s">
        <v>27</v>
      </c>
      <c r="N2801" t="s">
        <v>40</v>
      </c>
      <c r="O2801" t="s">
        <v>152</v>
      </c>
      <c r="P2801" t="s">
        <v>152</v>
      </c>
      <c r="Q2801" s="3">
        <v>9</v>
      </c>
      <c r="R2801" t="s">
        <v>34</v>
      </c>
      <c r="S2801" t="s">
        <v>97</v>
      </c>
    </row>
    <row r="2802" spans="1:19" x14ac:dyDescent="0.25">
      <c r="A2802">
        <v>2801</v>
      </c>
      <c r="B2802">
        <v>70</v>
      </c>
      <c r="C2802" t="s">
        <v>153</v>
      </c>
      <c r="D2802" t="s">
        <v>56</v>
      </c>
      <c r="E2802" t="s">
        <v>21</v>
      </c>
      <c r="F2802" s="1">
        <v>76</v>
      </c>
      <c r="G2802" t="s">
        <v>74</v>
      </c>
      <c r="H2802" t="s">
        <v>23</v>
      </c>
      <c r="I2802" t="s">
        <v>84</v>
      </c>
      <c r="J2802" t="s">
        <v>58</v>
      </c>
      <c r="K2802" s="2">
        <v>3.4</v>
      </c>
      <c r="L2802" t="s">
        <v>152</v>
      </c>
      <c r="M2802" t="s">
        <v>46</v>
      </c>
      <c r="N2802" t="s">
        <v>40</v>
      </c>
      <c r="O2802" t="s">
        <v>152</v>
      </c>
      <c r="P2802" t="s">
        <v>152</v>
      </c>
      <c r="Q2802" s="3">
        <v>14</v>
      </c>
      <c r="R2802" t="s">
        <v>35</v>
      </c>
      <c r="S2802" t="s">
        <v>77</v>
      </c>
    </row>
    <row r="2803" spans="1:19" x14ac:dyDescent="0.25">
      <c r="A2803">
        <v>2802</v>
      </c>
      <c r="B2803">
        <v>64</v>
      </c>
      <c r="C2803" t="s">
        <v>153</v>
      </c>
      <c r="D2803" t="s">
        <v>56</v>
      </c>
      <c r="E2803" t="s">
        <v>21</v>
      </c>
      <c r="F2803" s="1">
        <v>56</v>
      </c>
      <c r="G2803" t="s">
        <v>130</v>
      </c>
      <c r="H2803" t="s">
        <v>45</v>
      </c>
      <c r="I2803" t="s">
        <v>126</v>
      </c>
      <c r="J2803" t="s">
        <v>25</v>
      </c>
      <c r="K2803" s="2">
        <v>2.6</v>
      </c>
      <c r="L2803" t="s">
        <v>152</v>
      </c>
      <c r="M2803" t="s">
        <v>35</v>
      </c>
      <c r="N2803" t="s">
        <v>28</v>
      </c>
      <c r="O2803" t="s">
        <v>152</v>
      </c>
      <c r="P2803" t="s">
        <v>152</v>
      </c>
      <c r="Q2803" s="3">
        <v>30</v>
      </c>
      <c r="R2803" t="s">
        <v>46</v>
      </c>
      <c r="S2803" t="s">
        <v>50</v>
      </c>
    </row>
    <row r="2804" spans="1:19" x14ac:dyDescent="0.25">
      <c r="A2804">
        <v>2803</v>
      </c>
      <c r="B2804">
        <v>22</v>
      </c>
      <c r="C2804" t="s">
        <v>153</v>
      </c>
      <c r="D2804" t="s">
        <v>64</v>
      </c>
      <c r="E2804" t="s">
        <v>65</v>
      </c>
      <c r="F2804" s="1">
        <v>100</v>
      </c>
      <c r="G2804" t="s">
        <v>78</v>
      </c>
      <c r="H2804" t="s">
        <v>23</v>
      </c>
      <c r="I2804" t="s">
        <v>108</v>
      </c>
      <c r="J2804" t="s">
        <v>58</v>
      </c>
      <c r="K2804" s="2">
        <v>3.1</v>
      </c>
      <c r="L2804" t="s">
        <v>152</v>
      </c>
      <c r="M2804" t="s">
        <v>34</v>
      </c>
      <c r="N2804" t="s">
        <v>76</v>
      </c>
      <c r="O2804" t="s">
        <v>152</v>
      </c>
      <c r="P2804" t="s">
        <v>152</v>
      </c>
      <c r="Q2804" s="3">
        <v>42</v>
      </c>
      <c r="R2804" t="s">
        <v>27</v>
      </c>
      <c r="S2804" t="s">
        <v>30</v>
      </c>
    </row>
    <row r="2805" spans="1:19" x14ac:dyDescent="0.25">
      <c r="A2805">
        <v>2804</v>
      </c>
      <c r="B2805">
        <v>46</v>
      </c>
      <c r="C2805" t="s">
        <v>153</v>
      </c>
      <c r="D2805" t="s">
        <v>113</v>
      </c>
      <c r="E2805" t="s">
        <v>21</v>
      </c>
      <c r="F2805" s="1">
        <v>44</v>
      </c>
      <c r="G2805" t="s">
        <v>135</v>
      </c>
      <c r="H2805" t="s">
        <v>45</v>
      </c>
      <c r="I2805" t="s">
        <v>84</v>
      </c>
      <c r="J2805" t="s">
        <v>25</v>
      </c>
      <c r="K2805" s="2">
        <v>3.3</v>
      </c>
      <c r="L2805" t="s">
        <v>152</v>
      </c>
      <c r="M2805" t="s">
        <v>27</v>
      </c>
      <c r="N2805" t="s">
        <v>40</v>
      </c>
      <c r="O2805" t="s">
        <v>152</v>
      </c>
      <c r="P2805" t="s">
        <v>152</v>
      </c>
      <c r="Q2805" s="3">
        <v>31</v>
      </c>
      <c r="R2805" t="s">
        <v>34</v>
      </c>
      <c r="S2805" t="s">
        <v>88</v>
      </c>
    </row>
    <row r="2806" spans="1:19" x14ac:dyDescent="0.25">
      <c r="A2806">
        <v>2805</v>
      </c>
      <c r="B2806">
        <v>65</v>
      </c>
      <c r="C2806" t="s">
        <v>153</v>
      </c>
      <c r="D2806" t="s">
        <v>104</v>
      </c>
      <c r="E2806" t="s">
        <v>21</v>
      </c>
      <c r="F2806" s="1">
        <v>76</v>
      </c>
      <c r="G2806" t="s">
        <v>131</v>
      </c>
      <c r="H2806" t="s">
        <v>45</v>
      </c>
      <c r="I2806" t="s">
        <v>109</v>
      </c>
      <c r="J2806" t="s">
        <v>39</v>
      </c>
      <c r="K2806" s="2">
        <v>2.8</v>
      </c>
      <c r="L2806" t="s">
        <v>152</v>
      </c>
      <c r="M2806" t="s">
        <v>27</v>
      </c>
      <c r="N2806" t="s">
        <v>55</v>
      </c>
      <c r="O2806" t="s">
        <v>152</v>
      </c>
      <c r="P2806" t="s">
        <v>152</v>
      </c>
      <c r="Q2806" s="3">
        <v>48</v>
      </c>
      <c r="R2806" t="s">
        <v>34</v>
      </c>
      <c r="S2806" t="s">
        <v>97</v>
      </c>
    </row>
    <row r="2807" spans="1:19" x14ac:dyDescent="0.25">
      <c r="A2807">
        <v>2806</v>
      </c>
      <c r="B2807">
        <v>18</v>
      </c>
      <c r="C2807" t="s">
        <v>153</v>
      </c>
      <c r="D2807" t="s">
        <v>89</v>
      </c>
      <c r="E2807" t="s">
        <v>69</v>
      </c>
      <c r="F2807" s="1">
        <v>97</v>
      </c>
      <c r="G2807" t="s">
        <v>107</v>
      </c>
      <c r="H2807" t="s">
        <v>38</v>
      </c>
      <c r="I2807" t="s">
        <v>94</v>
      </c>
      <c r="J2807" t="s">
        <v>58</v>
      </c>
      <c r="K2807" s="2">
        <v>4.3</v>
      </c>
      <c r="L2807" t="s">
        <v>152</v>
      </c>
      <c r="M2807" t="s">
        <v>35</v>
      </c>
      <c r="N2807" t="s">
        <v>55</v>
      </c>
      <c r="O2807" t="s">
        <v>152</v>
      </c>
      <c r="P2807" t="s">
        <v>152</v>
      </c>
      <c r="Q2807" s="3">
        <v>48</v>
      </c>
      <c r="R2807" t="s">
        <v>35</v>
      </c>
      <c r="S2807" t="s">
        <v>60</v>
      </c>
    </row>
    <row r="2808" spans="1:19" x14ac:dyDescent="0.25">
      <c r="A2808">
        <v>2807</v>
      </c>
      <c r="B2808">
        <v>45</v>
      </c>
      <c r="C2808" t="s">
        <v>153</v>
      </c>
      <c r="D2808" t="s">
        <v>20</v>
      </c>
      <c r="E2808" t="s">
        <v>21</v>
      </c>
      <c r="F2808" s="1">
        <v>39</v>
      </c>
      <c r="G2808" t="s">
        <v>131</v>
      </c>
      <c r="H2808" t="s">
        <v>23</v>
      </c>
      <c r="I2808" t="s">
        <v>75</v>
      </c>
      <c r="J2808" t="s">
        <v>39</v>
      </c>
      <c r="K2808" s="2">
        <v>2.7</v>
      </c>
      <c r="L2808" t="s">
        <v>152</v>
      </c>
      <c r="M2808" t="s">
        <v>46</v>
      </c>
      <c r="N2808" t="s">
        <v>55</v>
      </c>
      <c r="O2808" t="s">
        <v>152</v>
      </c>
      <c r="P2808" t="s">
        <v>152</v>
      </c>
      <c r="Q2808" s="3">
        <v>50</v>
      </c>
      <c r="R2808" t="s">
        <v>27</v>
      </c>
      <c r="S2808" t="s">
        <v>50</v>
      </c>
    </row>
    <row r="2809" spans="1:19" x14ac:dyDescent="0.25">
      <c r="A2809">
        <v>2808</v>
      </c>
      <c r="B2809">
        <v>56</v>
      </c>
      <c r="C2809" t="s">
        <v>153</v>
      </c>
      <c r="D2809" t="s">
        <v>104</v>
      </c>
      <c r="E2809" t="s">
        <v>21</v>
      </c>
      <c r="F2809" s="1">
        <v>100</v>
      </c>
      <c r="G2809" t="s">
        <v>128</v>
      </c>
      <c r="H2809" t="s">
        <v>45</v>
      </c>
      <c r="I2809" t="s">
        <v>63</v>
      </c>
      <c r="J2809" t="s">
        <v>39</v>
      </c>
      <c r="K2809" s="2">
        <v>4.4000000000000004</v>
      </c>
      <c r="L2809" t="s">
        <v>152</v>
      </c>
      <c r="M2809" t="s">
        <v>59</v>
      </c>
      <c r="N2809" t="s">
        <v>72</v>
      </c>
      <c r="O2809" t="s">
        <v>152</v>
      </c>
      <c r="P2809" t="s">
        <v>152</v>
      </c>
      <c r="Q2809" s="3">
        <v>10</v>
      </c>
      <c r="R2809" t="s">
        <v>59</v>
      </c>
      <c r="S2809" t="s">
        <v>30</v>
      </c>
    </row>
    <row r="2810" spans="1:19" x14ac:dyDescent="0.25">
      <c r="A2810">
        <v>2809</v>
      </c>
      <c r="B2810">
        <v>49</v>
      </c>
      <c r="C2810" t="s">
        <v>153</v>
      </c>
      <c r="D2810" t="s">
        <v>87</v>
      </c>
      <c r="E2810" t="s">
        <v>21</v>
      </c>
      <c r="F2810" s="1">
        <v>62</v>
      </c>
      <c r="G2810" t="s">
        <v>122</v>
      </c>
      <c r="H2810" t="s">
        <v>45</v>
      </c>
      <c r="I2810" t="s">
        <v>118</v>
      </c>
      <c r="J2810" t="s">
        <v>39</v>
      </c>
      <c r="K2810" s="2">
        <v>3.9</v>
      </c>
      <c r="L2810" t="s">
        <v>152</v>
      </c>
      <c r="M2810" t="s">
        <v>27</v>
      </c>
      <c r="N2810" t="s">
        <v>40</v>
      </c>
      <c r="O2810" t="s">
        <v>152</v>
      </c>
      <c r="P2810" t="s">
        <v>152</v>
      </c>
      <c r="Q2810" s="3">
        <v>45</v>
      </c>
      <c r="R2810" t="s">
        <v>46</v>
      </c>
      <c r="S2810" t="s">
        <v>97</v>
      </c>
    </row>
    <row r="2811" spans="1:19" x14ac:dyDescent="0.25">
      <c r="A2811">
        <v>2810</v>
      </c>
      <c r="B2811">
        <v>66</v>
      </c>
      <c r="C2811" t="s">
        <v>153</v>
      </c>
      <c r="D2811" t="s">
        <v>61</v>
      </c>
      <c r="E2811" t="s">
        <v>21</v>
      </c>
      <c r="F2811" s="1">
        <v>98</v>
      </c>
      <c r="G2811" t="s">
        <v>74</v>
      </c>
      <c r="H2811" t="s">
        <v>92</v>
      </c>
      <c r="I2811" t="s">
        <v>86</v>
      </c>
      <c r="J2811" t="s">
        <v>54</v>
      </c>
      <c r="K2811" s="2">
        <v>3</v>
      </c>
      <c r="L2811" t="s">
        <v>152</v>
      </c>
      <c r="M2811" t="s">
        <v>59</v>
      </c>
      <c r="N2811" t="s">
        <v>55</v>
      </c>
      <c r="O2811" t="s">
        <v>152</v>
      </c>
      <c r="P2811" t="s">
        <v>152</v>
      </c>
      <c r="Q2811" s="3">
        <v>27</v>
      </c>
      <c r="R2811" t="s">
        <v>59</v>
      </c>
      <c r="S2811" t="s">
        <v>60</v>
      </c>
    </row>
    <row r="2812" spans="1:19" x14ac:dyDescent="0.25">
      <c r="A2812">
        <v>2811</v>
      </c>
      <c r="B2812">
        <v>27</v>
      </c>
      <c r="C2812" t="s">
        <v>153</v>
      </c>
      <c r="D2812" t="s">
        <v>36</v>
      </c>
      <c r="E2812" t="s">
        <v>21</v>
      </c>
      <c r="F2812" s="1">
        <v>31</v>
      </c>
      <c r="G2812" t="s">
        <v>117</v>
      </c>
      <c r="H2812" t="s">
        <v>45</v>
      </c>
      <c r="I2812" t="s">
        <v>75</v>
      </c>
      <c r="J2812" t="s">
        <v>54</v>
      </c>
      <c r="K2812" s="2">
        <v>4</v>
      </c>
      <c r="L2812" t="s">
        <v>152</v>
      </c>
      <c r="M2812" t="s">
        <v>27</v>
      </c>
      <c r="N2812" t="s">
        <v>55</v>
      </c>
      <c r="O2812" t="s">
        <v>152</v>
      </c>
      <c r="P2812" t="s">
        <v>152</v>
      </c>
      <c r="Q2812" s="3">
        <v>10</v>
      </c>
      <c r="R2812" t="s">
        <v>59</v>
      </c>
      <c r="S2812" t="s">
        <v>30</v>
      </c>
    </row>
    <row r="2813" spans="1:19" x14ac:dyDescent="0.25">
      <c r="A2813">
        <v>2812</v>
      </c>
      <c r="B2813">
        <v>69</v>
      </c>
      <c r="C2813" t="s">
        <v>153</v>
      </c>
      <c r="D2813" t="s">
        <v>102</v>
      </c>
      <c r="E2813" t="s">
        <v>65</v>
      </c>
      <c r="F2813" s="1">
        <v>89</v>
      </c>
      <c r="G2813" t="s">
        <v>123</v>
      </c>
      <c r="H2813" t="s">
        <v>45</v>
      </c>
      <c r="I2813" t="s">
        <v>144</v>
      </c>
      <c r="J2813" t="s">
        <v>58</v>
      </c>
      <c r="K2813" s="2">
        <v>3.7</v>
      </c>
      <c r="L2813" t="s">
        <v>152</v>
      </c>
      <c r="M2813" t="s">
        <v>46</v>
      </c>
      <c r="N2813" t="s">
        <v>76</v>
      </c>
      <c r="O2813" t="s">
        <v>152</v>
      </c>
      <c r="P2813" t="s">
        <v>152</v>
      </c>
      <c r="Q2813" s="3">
        <v>19</v>
      </c>
      <c r="R2813" t="s">
        <v>27</v>
      </c>
      <c r="S2813" t="s">
        <v>60</v>
      </c>
    </row>
    <row r="2814" spans="1:19" x14ac:dyDescent="0.25">
      <c r="A2814">
        <v>2813</v>
      </c>
      <c r="B2814">
        <v>66</v>
      </c>
      <c r="C2814" t="s">
        <v>153</v>
      </c>
      <c r="D2814" t="s">
        <v>104</v>
      </c>
      <c r="E2814" t="s">
        <v>21</v>
      </c>
      <c r="F2814" s="1">
        <v>91</v>
      </c>
      <c r="G2814" t="s">
        <v>114</v>
      </c>
      <c r="H2814" t="s">
        <v>92</v>
      </c>
      <c r="I2814" t="s">
        <v>136</v>
      </c>
      <c r="J2814" t="s">
        <v>58</v>
      </c>
      <c r="K2814" s="2">
        <v>3.8</v>
      </c>
      <c r="L2814" t="s">
        <v>152</v>
      </c>
      <c r="M2814" t="s">
        <v>59</v>
      </c>
      <c r="N2814" t="s">
        <v>76</v>
      </c>
      <c r="O2814" t="s">
        <v>152</v>
      </c>
      <c r="P2814" t="s">
        <v>152</v>
      </c>
      <c r="Q2814" s="3">
        <v>1</v>
      </c>
      <c r="R2814" t="s">
        <v>27</v>
      </c>
      <c r="S2814" t="s">
        <v>97</v>
      </c>
    </row>
    <row r="2815" spans="1:19" x14ac:dyDescent="0.25">
      <c r="A2815">
        <v>2814</v>
      </c>
      <c r="B2815">
        <v>45</v>
      </c>
      <c r="C2815" t="s">
        <v>153</v>
      </c>
      <c r="D2815" t="s">
        <v>56</v>
      </c>
      <c r="E2815" t="s">
        <v>21</v>
      </c>
      <c r="F2815" s="1">
        <v>50</v>
      </c>
      <c r="G2815" t="s">
        <v>129</v>
      </c>
      <c r="H2815" t="s">
        <v>38</v>
      </c>
      <c r="I2815" t="s">
        <v>33</v>
      </c>
      <c r="J2815" t="s">
        <v>54</v>
      </c>
      <c r="K2815" s="2">
        <v>3.3</v>
      </c>
      <c r="L2815" t="s">
        <v>152</v>
      </c>
      <c r="M2815" t="s">
        <v>59</v>
      </c>
      <c r="N2815" t="s">
        <v>72</v>
      </c>
      <c r="O2815" t="s">
        <v>152</v>
      </c>
      <c r="P2815" t="s">
        <v>152</v>
      </c>
      <c r="Q2815" s="3">
        <v>39</v>
      </c>
      <c r="R2815" t="s">
        <v>59</v>
      </c>
      <c r="S2815" t="s">
        <v>60</v>
      </c>
    </row>
    <row r="2816" spans="1:19" x14ac:dyDescent="0.25">
      <c r="A2816">
        <v>2815</v>
      </c>
      <c r="B2816">
        <v>31</v>
      </c>
      <c r="C2816" t="s">
        <v>153</v>
      </c>
      <c r="D2816" t="s">
        <v>113</v>
      </c>
      <c r="E2816" t="s">
        <v>21</v>
      </c>
      <c r="F2816" s="1">
        <v>32</v>
      </c>
      <c r="G2816" t="s">
        <v>148</v>
      </c>
      <c r="H2816" t="s">
        <v>23</v>
      </c>
      <c r="I2816" t="s">
        <v>81</v>
      </c>
      <c r="J2816" t="s">
        <v>25</v>
      </c>
      <c r="K2816" s="2">
        <v>3.6</v>
      </c>
      <c r="L2816" t="s">
        <v>152</v>
      </c>
      <c r="M2816" t="s">
        <v>29</v>
      </c>
      <c r="N2816" t="s">
        <v>55</v>
      </c>
      <c r="O2816" t="s">
        <v>152</v>
      </c>
      <c r="P2816" t="s">
        <v>152</v>
      </c>
      <c r="Q2816" s="3">
        <v>14</v>
      </c>
      <c r="R2816" t="s">
        <v>34</v>
      </c>
      <c r="S2816" t="s">
        <v>88</v>
      </c>
    </row>
    <row r="2817" spans="1:19" x14ac:dyDescent="0.25">
      <c r="A2817">
        <v>2816</v>
      </c>
      <c r="B2817">
        <v>33</v>
      </c>
      <c r="C2817" t="s">
        <v>153</v>
      </c>
      <c r="D2817" t="s">
        <v>20</v>
      </c>
      <c r="E2817" t="s">
        <v>21</v>
      </c>
      <c r="F2817" s="1">
        <v>67</v>
      </c>
      <c r="G2817" t="s">
        <v>135</v>
      </c>
      <c r="H2817" t="s">
        <v>23</v>
      </c>
      <c r="I2817" t="s">
        <v>94</v>
      </c>
      <c r="J2817" t="s">
        <v>58</v>
      </c>
      <c r="K2817" s="2">
        <v>3.9</v>
      </c>
      <c r="L2817" t="s">
        <v>152</v>
      </c>
      <c r="M2817" t="s">
        <v>35</v>
      </c>
      <c r="N2817" t="s">
        <v>40</v>
      </c>
      <c r="O2817" t="s">
        <v>152</v>
      </c>
      <c r="P2817" t="s">
        <v>152</v>
      </c>
      <c r="Q2817" s="3">
        <v>40</v>
      </c>
      <c r="R2817" t="s">
        <v>29</v>
      </c>
      <c r="S2817" t="s">
        <v>97</v>
      </c>
    </row>
    <row r="2818" spans="1:19" x14ac:dyDescent="0.25">
      <c r="A2818">
        <v>2817</v>
      </c>
      <c r="B2818">
        <v>43</v>
      </c>
      <c r="C2818" t="s">
        <v>153</v>
      </c>
      <c r="D2818" t="s">
        <v>87</v>
      </c>
      <c r="E2818" t="s">
        <v>21</v>
      </c>
      <c r="F2818" s="1">
        <v>28</v>
      </c>
      <c r="G2818" t="s">
        <v>128</v>
      </c>
      <c r="H2818" t="s">
        <v>45</v>
      </c>
      <c r="I2818" t="s">
        <v>94</v>
      </c>
      <c r="J2818" t="s">
        <v>39</v>
      </c>
      <c r="K2818" s="2">
        <v>3.5</v>
      </c>
      <c r="L2818" t="s">
        <v>152</v>
      </c>
      <c r="M2818" t="s">
        <v>34</v>
      </c>
      <c r="N2818" t="s">
        <v>40</v>
      </c>
      <c r="O2818" t="s">
        <v>152</v>
      </c>
      <c r="P2818" t="s">
        <v>152</v>
      </c>
      <c r="Q2818" s="3">
        <v>45</v>
      </c>
      <c r="R2818" t="s">
        <v>29</v>
      </c>
      <c r="S2818" t="s">
        <v>41</v>
      </c>
    </row>
    <row r="2819" spans="1:19" x14ac:dyDescent="0.25">
      <c r="A2819">
        <v>2818</v>
      </c>
      <c r="B2819">
        <v>25</v>
      </c>
      <c r="C2819" t="s">
        <v>153</v>
      </c>
      <c r="D2819" t="s">
        <v>132</v>
      </c>
      <c r="E2819" t="s">
        <v>69</v>
      </c>
      <c r="F2819" s="1">
        <v>65</v>
      </c>
      <c r="G2819" t="s">
        <v>131</v>
      </c>
      <c r="H2819" t="s">
        <v>92</v>
      </c>
      <c r="I2819" t="s">
        <v>134</v>
      </c>
      <c r="J2819" t="s">
        <v>25</v>
      </c>
      <c r="K2819" s="2">
        <v>3.4</v>
      </c>
      <c r="L2819" t="s">
        <v>152</v>
      </c>
      <c r="M2819" t="s">
        <v>27</v>
      </c>
      <c r="N2819" t="s">
        <v>55</v>
      </c>
      <c r="O2819" t="s">
        <v>152</v>
      </c>
      <c r="P2819" t="s">
        <v>152</v>
      </c>
      <c r="Q2819" s="3">
        <v>6</v>
      </c>
      <c r="R2819" t="s">
        <v>29</v>
      </c>
      <c r="S2819" t="s">
        <v>41</v>
      </c>
    </row>
    <row r="2820" spans="1:19" x14ac:dyDescent="0.25">
      <c r="A2820">
        <v>2819</v>
      </c>
      <c r="B2820">
        <v>46</v>
      </c>
      <c r="C2820" t="s">
        <v>153</v>
      </c>
      <c r="D2820" t="s">
        <v>61</v>
      </c>
      <c r="E2820" t="s">
        <v>21</v>
      </c>
      <c r="F2820" s="1">
        <v>73</v>
      </c>
      <c r="G2820" t="s">
        <v>99</v>
      </c>
      <c r="H2820" t="s">
        <v>45</v>
      </c>
      <c r="I2820" t="s">
        <v>49</v>
      </c>
      <c r="J2820" t="s">
        <v>58</v>
      </c>
      <c r="K2820" s="2">
        <v>4.7</v>
      </c>
      <c r="L2820" t="s">
        <v>152</v>
      </c>
      <c r="M2820" t="s">
        <v>29</v>
      </c>
      <c r="N2820" t="s">
        <v>47</v>
      </c>
      <c r="O2820" t="s">
        <v>152</v>
      </c>
      <c r="P2820" t="s">
        <v>152</v>
      </c>
      <c r="Q2820" s="3">
        <v>12</v>
      </c>
      <c r="R2820" t="s">
        <v>59</v>
      </c>
      <c r="S2820" t="s">
        <v>50</v>
      </c>
    </row>
    <row r="2821" spans="1:19" x14ac:dyDescent="0.25">
      <c r="A2821">
        <v>2820</v>
      </c>
      <c r="B2821">
        <v>67</v>
      </c>
      <c r="C2821" t="s">
        <v>153</v>
      </c>
      <c r="D2821" t="s">
        <v>56</v>
      </c>
      <c r="E2821" t="s">
        <v>21</v>
      </c>
      <c r="F2821" s="1">
        <v>27</v>
      </c>
      <c r="G2821" t="s">
        <v>142</v>
      </c>
      <c r="H2821" t="s">
        <v>23</v>
      </c>
      <c r="I2821" t="s">
        <v>93</v>
      </c>
      <c r="J2821" t="s">
        <v>39</v>
      </c>
      <c r="K2821" s="2">
        <v>3</v>
      </c>
      <c r="L2821" t="s">
        <v>152</v>
      </c>
      <c r="M2821" t="s">
        <v>27</v>
      </c>
      <c r="N2821" t="s">
        <v>40</v>
      </c>
      <c r="O2821" t="s">
        <v>152</v>
      </c>
      <c r="P2821" t="s">
        <v>152</v>
      </c>
      <c r="Q2821" s="3">
        <v>19</v>
      </c>
      <c r="R2821" t="s">
        <v>35</v>
      </c>
      <c r="S2821" t="s">
        <v>88</v>
      </c>
    </row>
    <row r="2822" spans="1:19" x14ac:dyDescent="0.25">
      <c r="A2822">
        <v>2821</v>
      </c>
      <c r="B2822">
        <v>26</v>
      </c>
      <c r="C2822" t="s">
        <v>153</v>
      </c>
      <c r="D2822" t="s">
        <v>132</v>
      </c>
      <c r="E2822" t="s">
        <v>69</v>
      </c>
      <c r="F2822" s="1">
        <v>89</v>
      </c>
      <c r="G2822" t="s">
        <v>129</v>
      </c>
      <c r="H2822" t="s">
        <v>23</v>
      </c>
      <c r="I2822" t="s">
        <v>134</v>
      </c>
      <c r="J2822" t="s">
        <v>54</v>
      </c>
      <c r="K2822" s="2">
        <v>3.9</v>
      </c>
      <c r="L2822" t="s">
        <v>152</v>
      </c>
      <c r="M2822" t="s">
        <v>29</v>
      </c>
      <c r="N2822" t="s">
        <v>40</v>
      </c>
      <c r="O2822" t="s">
        <v>152</v>
      </c>
      <c r="P2822" t="s">
        <v>152</v>
      </c>
      <c r="Q2822" s="3">
        <v>5</v>
      </c>
      <c r="R2822" t="s">
        <v>35</v>
      </c>
      <c r="S2822" t="s">
        <v>77</v>
      </c>
    </row>
    <row r="2823" spans="1:19" x14ac:dyDescent="0.25">
      <c r="A2823">
        <v>2822</v>
      </c>
      <c r="B2823">
        <v>35</v>
      </c>
      <c r="C2823" t="s">
        <v>153</v>
      </c>
      <c r="D2823" t="s">
        <v>73</v>
      </c>
      <c r="E2823" t="s">
        <v>43</v>
      </c>
      <c r="F2823" s="1">
        <v>72</v>
      </c>
      <c r="G2823" t="s">
        <v>142</v>
      </c>
      <c r="H2823" t="s">
        <v>23</v>
      </c>
      <c r="I2823" t="s">
        <v>79</v>
      </c>
      <c r="J2823" t="s">
        <v>54</v>
      </c>
      <c r="K2823" s="2">
        <v>4.5</v>
      </c>
      <c r="L2823" t="s">
        <v>152</v>
      </c>
      <c r="M2823" t="s">
        <v>27</v>
      </c>
      <c r="N2823" t="s">
        <v>55</v>
      </c>
      <c r="O2823" t="s">
        <v>152</v>
      </c>
      <c r="P2823" t="s">
        <v>152</v>
      </c>
      <c r="Q2823" s="3">
        <v>37</v>
      </c>
      <c r="R2823" t="s">
        <v>29</v>
      </c>
      <c r="S2823" t="s">
        <v>88</v>
      </c>
    </row>
    <row r="2824" spans="1:19" x14ac:dyDescent="0.25">
      <c r="A2824">
        <v>2823</v>
      </c>
      <c r="B2824">
        <v>61</v>
      </c>
      <c r="C2824" t="s">
        <v>153</v>
      </c>
      <c r="D2824" t="s">
        <v>87</v>
      </c>
      <c r="E2824" t="s">
        <v>21</v>
      </c>
      <c r="F2824" s="1">
        <v>37</v>
      </c>
      <c r="G2824" t="s">
        <v>127</v>
      </c>
      <c r="H2824" t="s">
        <v>38</v>
      </c>
      <c r="I2824" t="s">
        <v>110</v>
      </c>
      <c r="J2824" t="s">
        <v>58</v>
      </c>
      <c r="K2824" s="2">
        <v>4.0999999999999996</v>
      </c>
      <c r="L2824" t="s">
        <v>152</v>
      </c>
      <c r="M2824" t="s">
        <v>46</v>
      </c>
      <c r="N2824" t="s">
        <v>55</v>
      </c>
      <c r="O2824" t="s">
        <v>152</v>
      </c>
      <c r="P2824" t="s">
        <v>152</v>
      </c>
      <c r="Q2824" s="3">
        <v>33</v>
      </c>
      <c r="R2824" t="s">
        <v>46</v>
      </c>
      <c r="S2824" t="s">
        <v>60</v>
      </c>
    </row>
    <row r="2825" spans="1:19" x14ac:dyDescent="0.25">
      <c r="A2825">
        <v>2824</v>
      </c>
      <c r="B2825">
        <v>26</v>
      </c>
      <c r="C2825" t="s">
        <v>153</v>
      </c>
      <c r="D2825" t="s">
        <v>82</v>
      </c>
      <c r="E2825" t="s">
        <v>21</v>
      </c>
      <c r="F2825" s="1">
        <v>63</v>
      </c>
      <c r="G2825" t="s">
        <v>140</v>
      </c>
      <c r="H2825" t="s">
        <v>45</v>
      </c>
      <c r="I2825" t="s">
        <v>79</v>
      </c>
      <c r="J2825" t="s">
        <v>54</v>
      </c>
      <c r="K2825" s="2">
        <v>4.5</v>
      </c>
      <c r="L2825" t="s">
        <v>152</v>
      </c>
      <c r="M2825" t="s">
        <v>29</v>
      </c>
      <c r="N2825" t="s">
        <v>55</v>
      </c>
      <c r="O2825" t="s">
        <v>152</v>
      </c>
      <c r="P2825" t="s">
        <v>152</v>
      </c>
      <c r="Q2825" s="3">
        <v>47</v>
      </c>
      <c r="R2825" t="s">
        <v>59</v>
      </c>
      <c r="S2825" t="s">
        <v>77</v>
      </c>
    </row>
    <row r="2826" spans="1:19" x14ac:dyDescent="0.25">
      <c r="A2826">
        <v>2825</v>
      </c>
      <c r="B2826">
        <v>39</v>
      </c>
      <c r="C2826" t="s">
        <v>153</v>
      </c>
      <c r="D2826" t="s">
        <v>124</v>
      </c>
      <c r="E2826" t="s">
        <v>69</v>
      </c>
      <c r="F2826" s="1">
        <v>90</v>
      </c>
      <c r="G2826" t="s">
        <v>140</v>
      </c>
      <c r="H2826" t="s">
        <v>45</v>
      </c>
      <c r="I2826" t="s">
        <v>75</v>
      </c>
      <c r="J2826" t="s">
        <v>58</v>
      </c>
      <c r="K2826" s="2">
        <v>4</v>
      </c>
      <c r="L2826" t="s">
        <v>152</v>
      </c>
      <c r="M2826" t="s">
        <v>59</v>
      </c>
      <c r="N2826" t="s">
        <v>40</v>
      </c>
      <c r="O2826" t="s">
        <v>152</v>
      </c>
      <c r="P2826" t="s">
        <v>152</v>
      </c>
      <c r="Q2826" s="3">
        <v>49</v>
      </c>
      <c r="R2826" t="s">
        <v>59</v>
      </c>
      <c r="S2826" t="s">
        <v>60</v>
      </c>
    </row>
    <row r="2827" spans="1:19" x14ac:dyDescent="0.25">
      <c r="A2827">
        <v>2826</v>
      </c>
      <c r="B2827">
        <v>69</v>
      </c>
      <c r="C2827" t="s">
        <v>153</v>
      </c>
      <c r="D2827" t="s">
        <v>68</v>
      </c>
      <c r="E2827" t="s">
        <v>69</v>
      </c>
      <c r="F2827" s="1">
        <v>62</v>
      </c>
      <c r="G2827" t="s">
        <v>98</v>
      </c>
      <c r="H2827" t="s">
        <v>45</v>
      </c>
      <c r="I2827" t="s">
        <v>134</v>
      </c>
      <c r="J2827" t="s">
        <v>25</v>
      </c>
      <c r="K2827" s="2">
        <v>4.3</v>
      </c>
      <c r="L2827" t="s">
        <v>152</v>
      </c>
      <c r="M2827" t="s">
        <v>35</v>
      </c>
      <c r="N2827" t="s">
        <v>72</v>
      </c>
      <c r="O2827" t="s">
        <v>152</v>
      </c>
      <c r="P2827" t="s">
        <v>152</v>
      </c>
      <c r="Q2827" s="3">
        <v>28</v>
      </c>
      <c r="R2827" t="s">
        <v>34</v>
      </c>
      <c r="S2827" t="s">
        <v>50</v>
      </c>
    </row>
    <row r="2828" spans="1:19" x14ac:dyDescent="0.25">
      <c r="A2828">
        <v>2827</v>
      </c>
      <c r="B2828">
        <v>32</v>
      </c>
      <c r="C2828" t="s">
        <v>153</v>
      </c>
      <c r="D2828" t="s">
        <v>68</v>
      </c>
      <c r="E2828" t="s">
        <v>69</v>
      </c>
      <c r="F2828" s="1">
        <v>43</v>
      </c>
      <c r="G2828" t="s">
        <v>103</v>
      </c>
      <c r="H2828" t="s">
        <v>23</v>
      </c>
      <c r="I2828" t="s">
        <v>110</v>
      </c>
      <c r="J2828" t="s">
        <v>58</v>
      </c>
      <c r="K2828" s="2">
        <v>3.6</v>
      </c>
      <c r="L2828" t="s">
        <v>152</v>
      </c>
      <c r="M2828" t="s">
        <v>59</v>
      </c>
      <c r="N2828" t="s">
        <v>28</v>
      </c>
      <c r="O2828" t="s">
        <v>152</v>
      </c>
      <c r="P2828" t="s">
        <v>152</v>
      </c>
      <c r="Q2828" s="3">
        <v>23</v>
      </c>
      <c r="R2828" t="s">
        <v>29</v>
      </c>
      <c r="S2828" t="s">
        <v>50</v>
      </c>
    </row>
    <row r="2829" spans="1:19" x14ac:dyDescent="0.25">
      <c r="A2829">
        <v>2828</v>
      </c>
      <c r="B2829">
        <v>20</v>
      </c>
      <c r="C2829" t="s">
        <v>153</v>
      </c>
      <c r="D2829" t="s">
        <v>20</v>
      </c>
      <c r="E2829" t="s">
        <v>21</v>
      </c>
      <c r="F2829" s="1">
        <v>96</v>
      </c>
      <c r="G2829" t="s">
        <v>150</v>
      </c>
      <c r="H2829" t="s">
        <v>45</v>
      </c>
      <c r="I2829" t="s">
        <v>136</v>
      </c>
      <c r="J2829" t="s">
        <v>58</v>
      </c>
      <c r="K2829" s="2">
        <v>3.1</v>
      </c>
      <c r="L2829" t="s">
        <v>152</v>
      </c>
      <c r="M2829" t="s">
        <v>27</v>
      </c>
      <c r="N2829" t="s">
        <v>47</v>
      </c>
      <c r="O2829" t="s">
        <v>152</v>
      </c>
      <c r="P2829" t="s">
        <v>152</v>
      </c>
      <c r="Q2829" s="3">
        <v>11</v>
      </c>
      <c r="R2829" t="s">
        <v>34</v>
      </c>
      <c r="S2829" t="s">
        <v>77</v>
      </c>
    </row>
    <row r="2830" spans="1:19" x14ac:dyDescent="0.25">
      <c r="A2830">
        <v>2829</v>
      </c>
      <c r="B2830">
        <v>25</v>
      </c>
      <c r="C2830" t="s">
        <v>153</v>
      </c>
      <c r="D2830" t="s">
        <v>119</v>
      </c>
      <c r="E2830" t="s">
        <v>69</v>
      </c>
      <c r="F2830" s="1">
        <v>83</v>
      </c>
      <c r="G2830" t="s">
        <v>122</v>
      </c>
      <c r="H2830" t="s">
        <v>23</v>
      </c>
      <c r="I2830" t="s">
        <v>93</v>
      </c>
      <c r="J2830" t="s">
        <v>58</v>
      </c>
      <c r="K2830" s="2">
        <v>2.6</v>
      </c>
      <c r="L2830" t="s">
        <v>152</v>
      </c>
      <c r="M2830" t="s">
        <v>27</v>
      </c>
      <c r="N2830" t="s">
        <v>55</v>
      </c>
      <c r="O2830" t="s">
        <v>152</v>
      </c>
      <c r="P2830" t="s">
        <v>152</v>
      </c>
      <c r="Q2830" s="3">
        <v>33</v>
      </c>
      <c r="R2830" t="s">
        <v>46</v>
      </c>
      <c r="S2830" t="s">
        <v>60</v>
      </c>
    </row>
    <row r="2831" spans="1:19" x14ac:dyDescent="0.25">
      <c r="A2831">
        <v>2830</v>
      </c>
      <c r="B2831">
        <v>56</v>
      </c>
      <c r="C2831" t="s">
        <v>153</v>
      </c>
      <c r="D2831" t="s">
        <v>106</v>
      </c>
      <c r="E2831" t="s">
        <v>69</v>
      </c>
      <c r="F2831" s="1">
        <v>67</v>
      </c>
      <c r="G2831" t="s">
        <v>117</v>
      </c>
      <c r="H2831" t="s">
        <v>92</v>
      </c>
      <c r="I2831" t="s">
        <v>86</v>
      </c>
      <c r="J2831" t="s">
        <v>58</v>
      </c>
      <c r="K2831" s="2">
        <v>3.4</v>
      </c>
      <c r="L2831" t="s">
        <v>152</v>
      </c>
      <c r="M2831" t="s">
        <v>46</v>
      </c>
      <c r="N2831" t="s">
        <v>47</v>
      </c>
      <c r="O2831" t="s">
        <v>152</v>
      </c>
      <c r="P2831" t="s">
        <v>152</v>
      </c>
      <c r="Q2831" s="3">
        <v>47</v>
      </c>
      <c r="R2831" t="s">
        <v>35</v>
      </c>
      <c r="S2831" t="s">
        <v>41</v>
      </c>
    </row>
    <row r="2832" spans="1:19" x14ac:dyDescent="0.25">
      <c r="A2832">
        <v>2831</v>
      </c>
      <c r="B2832">
        <v>63</v>
      </c>
      <c r="C2832" t="s">
        <v>153</v>
      </c>
      <c r="D2832" t="s">
        <v>87</v>
      </c>
      <c r="E2832" t="s">
        <v>21</v>
      </c>
      <c r="F2832" s="1">
        <v>90</v>
      </c>
      <c r="G2832" t="s">
        <v>48</v>
      </c>
      <c r="H2832" t="s">
        <v>23</v>
      </c>
      <c r="I2832" t="s">
        <v>109</v>
      </c>
      <c r="J2832" t="s">
        <v>39</v>
      </c>
      <c r="K2832" s="2">
        <v>2.9</v>
      </c>
      <c r="L2832" t="s">
        <v>152</v>
      </c>
      <c r="M2832" t="s">
        <v>27</v>
      </c>
      <c r="N2832" t="s">
        <v>76</v>
      </c>
      <c r="O2832" t="s">
        <v>152</v>
      </c>
      <c r="P2832" t="s">
        <v>152</v>
      </c>
      <c r="Q2832" s="3">
        <v>13</v>
      </c>
      <c r="R2832" t="s">
        <v>29</v>
      </c>
      <c r="S2832" t="s">
        <v>97</v>
      </c>
    </row>
    <row r="2833" spans="1:19" x14ac:dyDescent="0.25">
      <c r="A2833">
        <v>2832</v>
      </c>
      <c r="B2833">
        <v>34</v>
      </c>
      <c r="C2833" t="s">
        <v>153</v>
      </c>
      <c r="D2833" t="s">
        <v>104</v>
      </c>
      <c r="E2833" t="s">
        <v>21</v>
      </c>
      <c r="F2833" s="1">
        <v>53</v>
      </c>
      <c r="G2833" t="s">
        <v>141</v>
      </c>
      <c r="H2833" t="s">
        <v>23</v>
      </c>
      <c r="I2833" t="s">
        <v>71</v>
      </c>
      <c r="J2833" t="s">
        <v>25</v>
      </c>
      <c r="K2833" s="2">
        <v>5</v>
      </c>
      <c r="L2833" t="s">
        <v>152</v>
      </c>
      <c r="M2833" t="s">
        <v>35</v>
      </c>
      <c r="N2833" t="s">
        <v>28</v>
      </c>
      <c r="O2833" t="s">
        <v>152</v>
      </c>
      <c r="P2833" t="s">
        <v>152</v>
      </c>
      <c r="Q2833" s="3">
        <v>4</v>
      </c>
      <c r="R2833" t="s">
        <v>27</v>
      </c>
      <c r="S2833" t="s">
        <v>41</v>
      </c>
    </row>
    <row r="2834" spans="1:19" x14ac:dyDescent="0.25">
      <c r="A2834">
        <v>2833</v>
      </c>
      <c r="B2834">
        <v>29</v>
      </c>
      <c r="C2834" t="s">
        <v>153</v>
      </c>
      <c r="D2834" t="s">
        <v>119</v>
      </c>
      <c r="E2834" t="s">
        <v>69</v>
      </c>
      <c r="F2834" s="1">
        <v>37</v>
      </c>
      <c r="G2834" t="s">
        <v>128</v>
      </c>
      <c r="H2834" t="s">
        <v>45</v>
      </c>
      <c r="I2834" t="s">
        <v>136</v>
      </c>
      <c r="J2834" t="s">
        <v>54</v>
      </c>
      <c r="K2834" s="2">
        <v>4.5999999999999996</v>
      </c>
      <c r="L2834" t="s">
        <v>152</v>
      </c>
      <c r="M2834" t="s">
        <v>35</v>
      </c>
      <c r="N2834" t="s">
        <v>55</v>
      </c>
      <c r="O2834" t="s">
        <v>152</v>
      </c>
      <c r="P2834" t="s">
        <v>152</v>
      </c>
      <c r="Q2834" s="3">
        <v>40</v>
      </c>
      <c r="R2834" t="s">
        <v>46</v>
      </c>
      <c r="S2834" t="s">
        <v>60</v>
      </c>
    </row>
    <row r="2835" spans="1:19" x14ac:dyDescent="0.25">
      <c r="A2835">
        <v>2834</v>
      </c>
      <c r="B2835">
        <v>43</v>
      </c>
      <c r="C2835" t="s">
        <v>153</v>
      </c>
      <c r="D2835" t="s">
        <v>36</v>
      </c>
      <c r="E2835" t="s">
        <v>21</v>
      </c>
      <c r="F2835" s="1">
        <v>56</v>
      </c>
      <c r="G2835" t="s">
        <v>74</v>
      </c>
      <c r="H2835" t="s">
        <v>45</v>
      </c>
      <c r="I2835" t="s">
        <v>86</v>
      </c>
      <c r="J2835" t="s">
        <v>58</v>
      </c>
      <c r="K2835" s="2">
        <v>3.3</v>
      </c>
      <c r="L2835" t="s">
        <v>152</v>
      </c>
      <c r="M2835" t="s">
        <v>46</v>
      </c>
      <c r="N2835" t="s">
        <v>40</v>
      </c>
      <c r="O2835" t="s">
        <v>152</v>
      </c>
      <c r="P2835" t="s">
        <v>152</v>
      </c>
      <c r="Q2835" s="3">
        <v>19</v>
      </c>
      <c r="R2835" t="s">
        <v>35</v>
      </c>
      <c r="S2835" t="s">
        <v>88</v>
      </c>
    </row>
    <row r="2836" spans="1:19" x14ac:dyDescent="0.25">
      <c r="A2836">
        <v>2835</v>
      </c>
      <c r="B2836">
        <v>39</v>
      </c>
      <c r="C2836" t="s">
        <v>153</v>
      </c>
      <c r="D2836" t="s">
        <v>102</v>
      </c>
      <c r="E2836" t="s">
        <v>65</v>
      </c>
      <c r="F2836" s="1">
        <v>43</v>
      </c>
      <c r="G2836" t="s">
        <v>105</v>
      </c>
      <c r="H2836" t="s">
        <v>45</v>
      </c>
      <c r="I2836" t="s">
        <v>126</v>
      </c>
      <c r="J2836" t="s">
        <v>58</v>
      </c>
      <c r="K2836" s="2">
        <v>2.9</v>
      </c>
      <c r="L2836" t="s">
        <v>152</v>
      </c>
      <c r="M2836" t="s">
        <v>27</v>
      </c>
      <c r="N2836" t="s">
        <v>72</v>
      </c>
      <c r="O2836" t="s">
        <v>152</v>
      </c>
      <c r="P2836" t="s">
        <v>152</v>
      </c>
      <c r="Q2836" s="3">
        <v>17</v>
      </c>
      <c r="R2836" t="s">
        <v>27</v>
      </c>
      <c r="S2836" t="s">
        <v>41</v>
      </c>
    </row>
    <row r="2837" spans="1:19" x14ac:dyDescent="0.25">
      <c r="A2837">
        <v>2836</v>
      </c>
      <c r="B2837">
        <v>33</v>
      </c>
      <c r="C2837" t="s">
        <v>153</v>
      </c>
      <c r="D2837" t="s">
        <v>113</v>
      </c>
      <c r="E2837" t="s">
        <v>21</v>
      </c>
      <c r="F2837" s="1">
        <v>84</v>
      </c>
      <c r="G2837" t="s">
        <v>129</v>
      </c>
      <c r="H2837" t="s">
        <v>38</v>
      </c>
      <c r="I2837" t="s">
        <v>71</v>
      </c>
      <c r="J2837" t="s">
        <v>25</v>
      </c>
      <c r="K2837" s="2">
        <v>4.9000000000000004</v>
      </c>
      <c r="L2837" t="s">
        <v>152</v>
      </c>
      <c r="M2837" t="s">
        <v>27</v>
      </c>
      <c r="N2837" t="s">
        <v>40</v>
      </c>
      <c r="O2837" t="s">
        <v>152</v>
      </c>
      <c r="P2837" t="s">
        <v>152</v>
      </c>
      <c r="Q2837" s="3">
        <v>7</v>
      </c>
      <c r="R2837" t="s">
        <v>29</v>
      </c>
      <c r="S2837" t="s">
        <v>50</v>
      </c>
    </row>
    <row r="2838" spans="1:19" x14ac:dyDescent="0.25">
      <c r="A2838">
        <v>2837</v>
      </c>
      <c r="B2838">
        <v>51</v>
      </c>
      <c r="C2838" t="s">
        <v>153</v>
      </c>
      <c r="D2838" t="s">
        <v>95</v>
      </c>
      <c r="E2838" t="s">
        <v>21</v>
      </c>
      <c r="F2838" s="1">
        <v>50</v>
      </c>
      <c r="G2838" t="s">
        <v>52</v>
      </c>
      <c r="H2838" t="s">
        <v>45</v>
      </c>
      <c r="I2838" t="s">
        <v>63</v>
      </c>
      <c r="J2838" t="s">
        <v>25</v>
      </c>
      <c r="K2838" s="2">
        <v>5</v>
      </c>
      <c r="L2838" t="s">
        <v>152</v>
      </c>
      <c r="M2838" t="s">
        <v>29</v>
      </c>
      <c r="N2838" t="s">
        <v>72</v>
      </c>
      <c r="O2838" t="s">
        <v>152</v>
      </c>
      <c r="P2838" t="s">
        <v>152</v>
      </c>
      <c r="Q2838" s="3">
        <v>21</v>
      </c>
      <c r="R2838" t="s">
        <v>35</v>
      </c>
      <c r="S2838" t="s">
        <v>77</v>
      </c>
    </row>
    <row r="2839" spans="1:19" x14ac:dyDescent="0.25">
      <c r="A2839">
        <v>2838</v>
      </c>
      <c r="B2839">
        <v>65</v>
      </c>
      <c r="C2839" t="s">
        <v>153</v>
      </c>
      <c r="D2839" t="s">
        <v>73</v>
      </c>
      <c r="E2839" t="s">
        <v>43</v>
      </c>
      <c r="F2839" s="1">
        <v>88</v>
      </c>
      <c r="G2839" t="s">
        <v>90</v>
      </c>
      <c r="H2839" t="s">
        <v>45</v>
      </c>
      <c r="I2839" t="s">
        <v>110</v>
      </c>
      <c r="J2839" t="s">
        <v>54</v>
      </c>
      <c r="K2839" s="2">
        <v>4.5</v>
      </c>
      <c r="L2839" t="s">
        <v>152</v>
      </c>
      <c r="M2839" t="s">
        <v>29</v>
      </c>
      <c r="N2839" t="s">
        <v>28</v>
      </c>
      <c r="O2839" t="s">
        <v>152</v>
      </c>
      <c r="P2839" t="s">
        <v>152</v>
      </c>
      <c r="Q2839" s="3">
        <v>44</v>
      </c>
      <c r="R2839" t="s">
        <v>46</v>
      </c>
      <c r="S2839" t="s">
        <v>41</v>
      </c>
    </row>
    <row r="2840" spans="1:19" x14ac:dyDescent="0.25">
      <c r="A2840">
        <v>2839</v>
      </c>
      <c r="B2840">
        <v>51</v>
      </c>
      <c r="C2840" t="s">
        <v>153</v>
      </c>
      <c r="D2840" t="s">
        <v>102</v>
      </c>
      <c r="E2840" t="s">
        <v>65</v>
      </c>
      <c r="F2840" s="1">
        <v>50</v>
      </c>
      <c r="G2840" t="s">
        <v>32</v>
      </c>
      <c r="H2840" t="s">
        <v>45</v>
      </c>
      <c r="I2840" t="s">
        <v>144</v>
      </c>
      <c r="J2840" t="s">
        <v>58</v>
      </c>
      <c r="K2840" s="2">
        <v>3.7</v>
      </c>
      <c r="L2840" t="s">
        <v>152</v>
      </c>
      <c r="M2840" t="s">
        <v>29</v>
      </c>
      <c r="N2840" t="s">
        <v>40</v>
      </c>
      <c r="O2840" t="s">
        <v>152</v>
      </c>
      <c r="P2840" t="s">
        <v>152</v>
      </c>
      <c r="Q2840" s="3">
        <v>2</v>
      </c>
      <c r="R2840" t="s">
        <v>34</v>
      </c>
      <c r="S2840" t="s">
        <v>41</v>
      </c>
    </row>
    <row r="2841" spans="1:19" x14ac:dyDescent="0.25">
      <c r="A2841">
        <v>2840</v>
      </c>
      <c r="B2841">
        <v>70</v>
      </c>
      <c r="C2841" t="s">
        <v>153</v>
      </c>
      <c r="D2841" t="s">
        <v>119</v>
      </c>
      <c r="E2841" t="s">
        <v>69</v>
      </c>
      <c r="F2841" s="1">
        <v>80</v>
      </c>
      <c r="G2841" t="s">
        <v>147</v>
      </c>
      <c r="H2841" t="s">
        <v>23</v>
      </c>
      <c r="I2841" t="s">
        <v>86</v>
      </c>
      <c r="J2841" t="s">
        <v>54</v>
      </c>
      <c r="K2841" s="2">
        <v>2.8</v>
      </c>
      <c r="L2841" t="s">
        <v>152</v>
      </c>
      <c r="M2841" t="s">
        <v>35</v>
      </c>
      <c r="N2841" t="s">
        <v>76</v>
      </c>
      <c r="O2841" t="s">
        <v>152</v>
      </c>
      <c r="P2841" t="s">
        <v>152</v>
      </c>
      <c r="Q2841" s="3">
        <v>30</v>
      </c>
      <c r="R2841" t="s">
        <v>34</v>
      </c>
      <c r="S2841" t="s">
        <v>88</v>
      </c>
    </row>
    <row r="2842" spans="1:19" x14ac:dyDescent="0.25">
      <c r="A2842">
        <v>2841</v>
      </c>
      <c r="B2842">
        <v>40</v>
      </c>
      <c r="C2842" t="s">
        <v>153</v>
      </c>
      <c r="D2842" t="s">
        <v>113</v>
      </c>
      <c r="E2842" t="s">
        <v>21</v>
      </c>
      <c r="F2842" s="1">
        <v>47</v>
      </c>
      <c r="G2842" t="s">
        <v>66</v>
      </c>
      <c r="H2842" t="s">
        <v>23</v>
      </c>
      <c r="I2842" t="s">
        <v>71</v>
      </c>
      <c r="J2842" t="s">
        <v>39</v>
      </c>
      <c r="K2842" s="2">
        <v>3.5</v>
      </c>
      <c r="L2842" t="s">
        <v>152</v>
      </c>
      <c r="M2842" t="s">
        <v>34</v>
      </c>
      <c r="N2842" t="s">
        <v>76</v>
      </c>
      <c r="O2842" t="s">
        <v>152</v>
      </c>
      <c r="P2842" t="s">
        <v>152</v>
      </c>
      <c r="Q2842" s="3">
        <v>41</v>
      </c>
      <c r="R2842" t="s">
        <v>35</v>
      </c>
      <c r="S2842" t="s">
        <v>50</v>
      </c>
    </row>
    <row r="2843" spans="1:19" x14ac:dyDescent="0.25">
      <c r="A2843">
        <v>2842</v>
      </c>
      <c r="B2843">
        <v>19</v>
      </c>
      <c r="C2843" t="s">
        <v>153</v>
      </c>
      <c r="D2843" t="s">
        <v>82</v>
      </c>
      <c r="E2843" t="s">
        <v>21</v>
      </c>
      <c r="F2843" s="1">
        <v>33</v>
      </c>
      <c r="G2843" t="s">
        <v>123</v>
      </c>
      <c r="H2843" t="s">
        <v>92</v>
      </c>
      <c r="I2843" t="s">
        <v>136</v>
      </c>
      <c r="J2843" t="s">
        <v>25</v>
      </c>
      <c r="K2843" s="2">
        <v>3</v>
      </c>
      <c r="L2843" t="s">
        <v>152</v>
      </c>
      <c r="M2843" t="s">
        <v>27</v>
      </c>
      <c r="N2843" t="s">
        <v>72</v>
      </c>
      <c r="O2843" t="s">
        <v>152</v>
      </c>
      <c r="P2843" t="s">
        <v>152</v>
      </c>
      <c r="Q2843" s="3">
        <v>31</v>
      </c>
      <c r="R2843" t="s">
        <v>35</v>
      </c>
      <c r="S2843" t="s">
        <v>41</v>
      </c>
    </row>
    <row r="2844" spans="1:19" x14ac:dyDescent="0.25">
      <c r="A2844">
        <v>2843</v>
      </c>
      <c r="B2844">
        <v>28</v>
      </c>
      <c r="C2844" t="s">
        <v>153</v>
      </c>
      <c r="D2844" t="s">
        <v>64</v>
      </c>
      <c r="E2844" t="s">
        <v>65</v>
      </c>
      <c r="F2844" s="1">
        <v>100</v>
      </c>
      <c r="G2844" t="s">
        <v>117</v>
      </c>
      <c r="H2844" t="s">
        <v>23</v>
      </c>
      <c r="I2844" t="s">
        <v>96</v>
      </c>
      <c r="J2844" t="s">
        <v>58</v>
      </c>
      <c r="K2844" s="2">
        <v>4.3</v>
      </c>
      <c r="L2844" t="s">
        <v>152</v>
      </c>
      <c r="M2844" t="s">
        <v>35</v>
      </c>
      <c r="N2844" t="s">
        <v>55</v>
      </c>
      <c r="O2844" t="s">
        <v>152</v>
      </c>
      <c r="P2844" t="s">
        <v>152</v>
      </c>
      <c r="Q2844" s="3">
        <v>48</v>
      </c>
      <c r="R2844" t="s">
        <v>59</v>
      </c>
      <c r="S2844" t="s">
        <v>60</v>
      </c>
    </row>
    <row r="2845" spans="1:19" x14ac:dyDescent="0.25">
      <c r="A2845">
        <v>2844</v>
      </c>
      <c r="B2845">
        <v>51</v>
      </c>
      <c r="C2845" t="s">
        <v>153</v>
      </c>
      <c r="D2845" t="s">
        <v>31</v>
      </c>
      <c r="E2845" t="s">
        <v>21</v>
      </c>
      <c r="F2845" s="1">
        <v>26</v>
      </c>
      <c r="G2845" t="s">
        <v>123</v>
      </c>
      <c r="H2845" t="s">
        <v>45</v>
      </c>
      <c r="I2845" t="s">
        <v>53</v>
      </c>
      <c r="J2845" t="s">
        <v>54</v>
      </c>
      <c r="K2845" s="2">
        <v>3.6</v>
      </c>
      <c r="L2845" t="s">
        <v>152</v>
      </c>
      <c r="M2845" t="s">
        <v>35</v>
      </c>
      <c r="N2845" t="s">
        <v>76</v>
      </c>
      <c r="O2845" t="s">
        <v>152</v>
      </c>
      <c r="P2845" t="s">
        <v>152</v>
      </c>
      <c r="Q2845" s="3">
        <v>41</v>
      </c>
      <c r="R2845" t="s">
        <v>29</v>
      </c>
      <c r="S2845" t="s">
        <v>41</v>
      </c>
    </row>
    <row r="2846" spans="1:19" x14ac:dyDescent="0.25">
      <c r="A2846">
        <v>2845</v>
      </c>
      <c r="B2846">
        <v>32</v>
      </c>
      <c r="C2846" t="s">
        <v>153</v>
      </c>
      <c r="D2846" t="s">
        <v>124</v>
      </c>
      <c r="E2846" t="s">
        <v>69</v>
      </c>
      <c r="F2846" s="1">
        <v>79</v>
      </c>
      <c r="G2846" t="s">
        <v>130</v>
      </c>
      <c r="H2846" t="s">
        <v>45</v>
      </c>
      <c r="I2846" t="s">
        <v>126</v>
      </c>
      <c r="J2846" t="s">
        <v>54</v>
      </c>
      <c r="K2846" s="2">
        <v>4.4000000000000004</v>
      </c>
      <c r="L2846" t="s">
        <v>152</v>
      </c>
      <c r="M2846" t="s">
        <v>29</v>
      </c>
      <c r="N2846" t="s">
        <v>55</v>
      </c>
      <c r="O2846" t="s">
        <v>152</v>
      </c>
      <c r="P2846" t="s">
        <v>152</v>
      </c>
      <c r="Q2846" s="3">
        <v>42</v>
      </c>
      <c r="R2846" t="s">
        <v>29</v>
      </c>
      <c r="S2846" t="s">
        <v>50</v>
      </c>
    </row>
    <row r="2847" spans="1:19" x14ac:dyDescent="0.25">
      <c r="A2847">
        <v>2846</v>
      </c>
      <c r="B2847">
        <v>26</v>
      </c>
      <c r="C2847" t="s">
        <v>153</v>
      </c>
      <c r="D2847" t="s">
        <v>132</v>
      </c>
      <c r="E2847" t="s">
        <v>69</v>
      </c>
      <c r="F2847" s="1">
        <v>77</v>
      </c>
      <c r="G2847" t="s">
        <v>147</v>
      </c>
      <c r="H2847" t="s">
        <v>23</v>
      </c>
      <c r="I2847" t="s">
        <v>93</v>
      </c>
      <c r="J2847" t="s">
        <v>54</v>
      </c>
      <c r="K2847" s="2">
        <v>4.0999999999999996</v>
      </c>
      <c r="L2847" t="s">
        <v>152</v>
      </c>
      <c r="M2847" t="s">
        <v>35</v>
      </c>
      <c r="N2847" t="s">
        <v>28</v>
      </c>
      <c r="O2847" t="s">
        <v>152</v>
      </c>
      <c r="P2847" t="s">
        <v>152</v>
      </c>
      <c r="Q2847" s="3">
        <v>39</v>
      </c>
      <c r="R2847" t="s">
        <v>59</v>
      </c>
      <c r="S2847" t="s">
        <v>97</v>
      </c>
    </row>
    <row r="2848" spans="1:19" x14ac:dyDescent="0.25">
      <c r="A2848">
        <v>2847</v>
      </c>
      <c r="B2848">
        <v>50</v>
      </c>
      <c r="C2848" t="s">
        <v>153</v>
      </c>
      <c r="D2848" t="s">
        <v>125</v>
      </c>
      <c r="E2848" t="s">
        <v>21</v>
      </c>
      <c r="F2848" s="1">
        <v>36</v>
      </c>
      <c r="G2848" t="s">
        <v>101</v>
      </c>
      <c r="H2848" t="s">
        <v>92</v>
      </c>
      <c r="I2848" t="s">
        <v>94</v>
      </c>
      <c r="J2848" t="s">
        <v>58</v>
      </c>
      <c r="K2848" s="2">
        <v>2.8</v>
      </c>
      <c r="L2848" t="s">
        <v>152</v>
      </c>
      <c r="M2848" t="s">
        <v>35</v>
      </c>
      <c r="N2848" t="s">
        <v>47</v>
      </c>
      <c r="O2848" t="s">
        <v>152</v>
      </c>
      <c r="P2848" t="s">
        <v>152</v>
      </c>
      <c r="Q2848" s="3">
        <v>15</v>
      </c>
      <c r="R2848" t="s">
        <v>46</v>
      </c>
      <c r="S2848" t="s">
        <v>77</v>
      </c>
    </row>
    <row r="2849" spans="1:19" x14ac:dyDescent="0.25">
      <c r="A2849">
        <v>2848</v>
      </c>
      <c r="B2849">
        <v>68</v>
      </c>
      <c r="C2849" t="s">
        <v>153</v>
      </c>
      <c r="D2849" t="s">
        <v>106</v>
      </c>
      <c r="E2849" t="s">
        <v>69</v>
      </c>
      <c r="F2849" s="1">
        <v>21</v>
      </c>
      <c r="G2849" t="s">
        <v>139</v>
      </c>
      <c r="H2849" t="s">
        <v>23</v>
      </c>
      <c r="I2849" t="s">
        <v>63</v>
      </c>
      <c r="J2849" t="s">
        <v>25</v>
      </c>
      <c r="K2849" s="2">
        <v>2.8</v>
      </c>
      <c r="L2849" t="s">
        <v>152</v>
      </c>
      <c r="M2849" t="s">
        <v>29</v>
      </c>
      <c r="N2849" t="s">
        <v>40</v>
      </c>
      <c r="O2849" t="s">
        <v>152</v>
      </c>
      <c r="P2849" t="s">
        <v>152</v>
      </c>
      <c r="Q2849" s="3">
        <v>3</v>
      </c>
      <c r="R2849" t="s">
        <v>46</v>
      </c>
      <c r="S2849" t="s">
        <v>97</v>
      </c>
    </row>
    <row r="2850" spans="1:19" x14ac:dyDescent="0.25">
      <c r="A2850">
        <v>2849</v>
      </c>
      <c r="B2850">
        <v>33</v>
      </c>
      <c r="C2850" t="s">
        <v>153</v>
      </c>
      <c r="D2850" t="s">
        <v>137</v>
      </c>
      <c r="E2850" t="s">
        <v>43</v>
      </c>
      <c r="F2850" s="1">
        <v>72</v>
      </c>
      <c r="G2850" t="s">
        <v>150</v>
      </c>
      <c r="H2850" t="s">
        <v>23</v>
      </c>
      <c r="I2850" t="s">
        <v>24</v>
      </c>
      <c r="J2850" t="s">
        <v>58</v>
      </c>
      <c r="K2850" s="2">
        <v>4.9000000000000004</v>
      </c>
      <c r="L2850" t="s">
        <v>152</v>
      </c>
      <c r="M2850" t="s">
        <v>59</v>
      </c>
      <c r="N2850" t="s">
        <v>76</v>
      </c>
      <c r="O2850" t="s">
        <v>152</v>
      </c>
      <c r="P2850" t="s">
        <v>152</v>
      </c>
      <c r="Q2850" s="3">
        <v>28</v>
      </c>
      <c r="R2850" t="s">
        <v>34</v>
      </c>
      <c r="S2850" t="s">
        <v>60</v>
      </c>
    </row>
    <row r="2851" spans="1:19" x14ac:dyDescent="0.25">
      <c r="A2851">
        <v>2850</v>
      </c>
      <c r="B2851">
        <v>56</v>
      </c>
      <c r="C2851" t="s">
        <v>153</v>
      </c>
      <c r="D2851" t="s">
        <v>64</v>
      </c>
      <c r="E2851" t="s">
        <v>65</v>
      </c>
      <c r="F2851" s="1">
        <v>25</v>
      </c>
      <c r="G2851" t="s">
        <v>83</v>
      </c>
      <c r="H2851" t="s">
        <v>45</v>
      </c>
      <c r="I2851" t="s">
        <v>81</v>
      </c>
      <c r="J2851" t="s">
        <v>39</v>
      </c>
      <c r="K2851" s="2">
        <v>4.0999999999999996</v>
      </c>
      <c r="L2851" t="s">
        <v>152</v>
      </c>
      <c r="M2851" t="s">
        <v>27</v>
      </c>
      <c r="N2851" t="s">
        <v>28</v>
      </c>
      <c r="O2851" t="s">
        <v>152</v>
      </c>
      <c r="P2851" t="s">
        <v>152</v>
      </c>
      <c r="Q2851" s="3">
        <v>27</v>
      </c>
      <c r="R2851" t="s">
        <v>46</v>
      </c>
      <c r="S2851" t="s">
        <v>77</v>
      </c>
    </row>
    <row r="2852" spans="1:19" x14ac:dyDescent="0.25">
      <c r="A2852">
        <v>2851</v>
      </c>
      <c r="B2852">
        <v>57</v>
      </c>
      <c r="C2852" t="s">
        <v>153</v>
      </c>
      <c r="D2852" t="s">
        <v>31</v>
      </c>
      <c r="E2852" t="s">
        <v>21</v>
      </c>
      <c r="F2852" s="1">
        <v>79</v>
      </c>
      <c r="G2852" t="s">
        <v>145</v>
      </c>
      <c r="H2852" t="s">
        <v>45</v>
      </c>
      <c r="I2852" t="s">
        <v>67</v>
      </c>
      <c r="J2852" t="s">
        <v>39</v>
      </c>
      <c r="K2852" s="2">
        <v>3</v>
      </c>
      <c r="L2852" t="s">
        <v>152</v>
      </c>
      <c r="M2852" t="s">
        <v>27</v>
      </c>
      <c r="N2852" t="s">
        <v>76</v>
      </c>
      <c r="O2852" t="s">
        <v>152</v>
      </c>
      <c r="P2852" t="s">
        <v>152</v>
      </c>
      <c r="Q2852" s="3">
        <v>36</v>
      </c>
      <c r="R2852" t="s">
        <v>59</v>
      </c>
      <c r="S2852" t="s">
        <v>50</v>
      </c>
    </row>
    <row r="2853" spans="1:19" x14ac:dyDescent="0.25">
      <c r="A2853">
        <v>2852</v>
      </c>
      <c r="B2853">
        <v>58</v>
      </c>
      <c r="C2853" t="s">
        <v>153</v>
      </c>
      <c r="D2853" t="s">
        <v>20</v>
      </c>
      <c r="E2853" t="s">
        <v>21</v>
      </c>
      <c r="F2853" s="1">
        <v>73</v>
      </c>
      <c r="G2853" t="s">
        <v>107</v>
      </c>
      <c r="H2853" t="s">
        <v>23</v>
      </c>
      <c r="I2853" t="s">
        <v>86</v>
      </c>
      <c r="J2853" t="s">
        <v>54</v>
      </c>
      <c r="K2853" s="2">
        <v>3</v>
      </c>
      <c r="L2853" t="s">
        <v>152</v>
      </c>
      <c r="M2853" t="s">
        <v>34</v>
      </c>
      <c r="N2853" t="s">
        <v>76</v>
      </c>
      <c r="O2853" t="s">
        <v>152</v>
      </c>
      <c r="P2853" t="s">
        <v>152</v>
      </c>
      <c r="Q2853" s="3">
        <v>42</v>
      </c>
      <c r="R2853" t="s">
        <v>59</v>
      </c>
      <c r="S2853" t="s">
        <v>88</v>
      </c>
    </row>
    <row r="2854" spans="1:19" x14ac:dyDescent="0.25">
      <c r="A2854">
        <v>2853</v>
      </c>
      <c r="B2854">
        <v>40</v>
      </c>
      <c r="C2854" t="s">
        <v>153</v>
      </c>
      <c r="D2854" t="s">
        <v>133</v>
      </c>
      <c r="E2854" t="s">
        <v>69</v>
      </c>
      <c r="F2854" s="1">
        <v>71</v>
      </c>
      <c r="G2854" t="s">
        <v>85</v>
      </c>
      <c r="H2854" t="s">
        <v>45</v>
      </c>
      <c r="I2854" t="s">
        <v>136</v>
      </c>
      <c r="J2854" t="s">
        <v>39</v>
      </c>
      <c r="K2854" s="2">
        <v>3</v>
      </c>
      <c r="L2854" t="s">
        <v>152</v>
      </c>
      <c r="M2854" t="s">
        <v>27</v>
      </c>
      <c r="N2854" t="s">
        <v>76</v>
      </c>
      <c r="O2854" t="s">
        <v>152</v>
      </c>
      <c r="P2854" t="s">
        <v>152</v>
      </c>
      <c r="Q2854" s="3">
        <v>30</v>
      </c>
      <c r="R2854" t="s">
        <v>29</v>
      </c>
      <c r="S2854" t="s">
        <v>41</v>
      </c>
    </row>
    <row r="2855" spans="1:19" x14ac:dyDescent="0.25">
      <c r="A2855">
        <v>2854</v>
      </c>
      <c r="B2855">
        <v>37</v>
      </c>
      <c r="C2855" t="s">
        <v>153</v>
      </c>
      <c r="D2855" t="s">
        <v>124</v>
      </c>
      <c r="E2855" t="s">
        <v>69</v>
      </c>
      <c r="F2855" s="1">
        <v>48</v>
      </c>
      <c r="G2855" t="s">
        <v>138</v>
      </c>
      <c r="H2855" t="s">
        <v>45</v>
      </c>
      <c r="I2855" t="s">
        <v>136</v>
      </c>
      <c r="J2855" t="s">
        <v>25</v>
      </c>
      <c r="K2855" s="2">
        <v>3.2</v>
      </c>
      <c r="L2855" t="s">
        <v>152</v>
      </c>
      <c r="M2855" t="s">
        <v>35</v>
      </c>
      <c r="N2855" t="s">
        <v>47</v>
      </c>
      <c r="O2855" t="s">
        <v>152</v>
      </c>
      <c r="P2855" t="s">
        <v>152</v>
      </c>
      <c r="Q2855" s="3">
        <v>9</v>
      </c>
      <c r="R2855" t="s">
        <v>46</v>
      </c>
      <c r="S2855" t="s">
        <v>41</v>
      </c>
    </row>
    <row r="2856" spans="1:19" x14ac:dyDescent="0.25">
      <c r="A2856">
        <v>2855</v>
      </c>
      <c r="B2856">
        <v>36</v>
      </c>
      <c r="C2856" t="s">
        <v>153</v>
      </c>
      <c r="D2856" t="s">
        <v>42</v>
      </c>
      <c r="E2856" t="s">
        <v>43</v>
      </c>
      <c r="F2856" s="1">
        <v>28</v>
      </c>
      <c r="G2856" t="s">
        <v>80</v>
      </c>
      <c r="H2856" t="s">
        <v>45</v>
      </c>
      <c r="I2856" t="s">
        <v>118</v>
      </c>
      <c r="J2856" t="s">
        <v>58</v>
      </c>
      <c r="K2856" s="2">
        <v>2.7</v>
      </c>
      <c r="L2856" t="s">
        <v>152</v>
      </c>
      <c r="M2856" t="s">
        <v>59</v>
      </c>
      <c r="N2856" t="s">
        <v>76</v>
      </c>
      <c r="O2856" t="s">
        <v>152</v>
      </c>
      <c r="P2856" t="s">
        <v>152</v>
      </c>
      <c r="Q2856" s="3">
        <v>25</v>
      </c>
      <c r="R2856" t="s">
        <v>29</v>
      </c>
      <c r="S2856" t="s">
        <v>88</v>
      </c>
    </row>
    <row r="2857" spans="1:19" x14ac:dyDescent="0.25">
      <c r="A2857">
        <v>2856</v>
      </c>
      <c r="B2857">
        <v>29</v>
      </c>
      <c r="C2857" t="s">
        <v>153</v>
      </c>
      <c r="D2857" t="s">
        <v>137</v>
      </c>
      <c r="E2857" t="s">
        <v>43</v>
      </c>
      <c r="F2857" s="1">
        <v>95</v>
      </c>
      <c r="G2857" t="s">
        <v>91</v>
      </c>
      <c r="H2857" t="s">
        <v>38</v>
      </c>
      <c r="I2857" t="s">
        <v>33</v>
      </c>
      <c r="J2857" t="s">
        <v>25</v>
      </c>
      <c r="K2857" s="2">
        <v>3.8</v>
      </c>
      <c r="L2857" t="s">
        <v>152</v>
      </c>
      <c r="M2857" t="s">
        <v>59</v>
      </c>
      <c r="N2857" t="s">
        <v>72</v>
      </c>
      <c r="O2857" t="s">
        <v>152</v>
      </c>
      <c r="P2857" t="s">
        <v>152</v>
      </c>
      <c r="Q2857" s="3">
        <v>33</v>
      </c>
      <c r="R2857" t="s">
        <v>46</v>
      </c>
      <c r="S2857" t="s">
        <v>60</v>
      </c>
    </row>
    <row r="2858" spans="1:19" x14ac:dyDescent="0.25">
      <c r="A2858">
        <v>2857</v>
      </c>
      <c r="B2858">
        <v>65</v>
      </c>
      <c r="C2858" t="s">
        <v>153</v>
      </c>
      <c r="D2858" t="s">
        <v>102</v>
      </c>
      <c r="E2858" t="s">
        <v>65</v>
      </c>
      <c r="F2858" s="1">
        <v>48</v>
      </c>
      <c r="G2858" t="s">
        <v>146</v>
      </c>
      <c r="H2858" t="s">
        <v>45</v>
      </c>
      <c r="I2858" t="s">
        <v>126</v>
      </c>
      <c r="J2858" t="s">
        <v>25</v>
      </c>
      <c r="K2858" s="2">
        <v>3.5</v>
      </c>
      <c r="L2858" t="s">
        <v>152</v>
      </c>
      <c r="M2858" t="s">
        <v>59</v>
      </c>
      <c r="N2858" t="s">
        <v>72</v>
      </c>
      <c r="O2858" t="s">
        <v>152</v>
      </c>
      <c r="P2858" t="s">
        <v>152</v>
      </c>
      <c r="Q2858" s="3">
        <v>31</v>
      </c>
      <c r="R2858" t="s">
        <v>27</v>
      </c>
      <c r="S2858" t="s">
        <v>88</v>
      </c>
    </row>
    <row r="2859" spans="1:19" x14ac:dyDescent="0.25">
      <c r="A2859">
        <v>2858</v>
      </c>
      <c r="B2859">
        <v>44</v>
      </c>
      <c r="C2859" t="s">
        <v>153</v>
      </c>
      <c r="D2859" t="s">
        <v>82</v>
      </c>
      <c r="E2859" t="s">
        <v>21</v>
      </c>
      <c r="F2859" s="1">
        <v>93</v>
      </c>
      <c r="G2859" t="s">
        <v>140</v>
      </c>
      <c r="H2859" t="s">
        <v>38</v>
      </c>
      <c r="I2859" t="s">
        <v>33</v>
      </c>
      <c r="J2859" t="s">
        <v>39</v>
      </c>
      <c r="K2859" s="2">
        <v>3.8</v>
      </c>
      <c r="L2859" t="s">
        <v>152</v>
      </c>
      <c r="M2859" t="s">
        <v>29</v>
      </c>
      <c r="N2859" t="s">
        <v>47</v>
      </c>
      <c r="O2859" t="s">
        <v>152</v>
      </c>
      <c r="P2859" t="s">
        <v>152</v>
      </c>
      <c r="Q2859" s="3">
        <v>35</v>
      </c>
      <c r="R2859" t="s">
        <v>59</v>
      </c>
      <c r="S2859" t="s">
        <v>88</v>
      </c>
    </row>
    <row r="2860" spans="1:19" x14ac:dyDescent="0.25">
      <c r="A2860">
        <v>2859</v>
      </c>
      <c r="B2860">
        <v>34</v>
      </c>
      <c r="C2860" t="s">
        <v>153</v>
      </c>
      <c r="D2860" t="s">
        <v>36</v>
      </c>
      <c r="E2860" t="s">
        <v>21</v>
      </c>
      <c r="F2860" s="1">
        <v>87</v>
      </c>
      <c r="G2860" t="s">
        <v>128</v>
      </c>
      <c r="H2860" t="s">
        <v>23</v>
      </c>
      <c r="I2860" t="s">
        <v>86</v>
      </c>
      <c r="J2860" t="s">
        <v>54</v>
      </c>
      <c r="K2860" s="2">
        <v>3.8</v>
      </c>
      <c r="L2860" t="s">
        <v>152</v>
      </c>
      <c r="M2860" t="s">
        <v>35</v>
      </c>
      <c r="N2860" t="s">
        <v>72</v>
      </c>
      <c r="O2860" t="s">
        <v>152</v>
      </c>
      <c r="P2860" t="s">
        <v>152</v>
      </c>
      <c r="Q2860" s="3">
        <v>46</v>
      </c>
      <c r="R2860" t="s">
        <v>34</v>
      </c>
      <c r="S2860" t="s">
        <v>88</v>
      </c>
    </row>
    <row r="2861" spans="1:19" x14ac:dyDescent="0.25">
      <c r="A2861">
        <v>2860</v>
      </c>
      <c r="B2861">
        <v>31</v>
      </c>
      <c r="C2861" t="s">
        <v>153</v>
      </c>
      <c r="D2861" t="s">
        <v>61</v>
      </c>
      <c r="E2861" t="s">
        <v>21</v>
      </c>
      <c r="F2861" s="1">
        <v>32</v>
      </c>
      <c r="G2861" t="s">
        <v>140</v>
      </c>
      <c r="H2861" t="s">
        <v>23</v>
      </c>
      <c r="I2861" t="s">
        <v>134</v>
      </c>
      <c r="J2861" t="s">
        <v>58</v>
      </c>
      <c r="K2861" s="2">
        <v>3.4</v>
      </c>
      <c r="L2861" t="s">
        <v>152</v>
      </c>
      <c r="M2861" t="s">
        <v>29</v>
      </c>
      <c r="N2861" t="s">
        <v>28</v>
      </c>
      <c r="O2861" t="s">
        <v>152</v>
      </c>
      <c r="P2861" t="s">
        <v>152</v>
      </c>
      <c r="Q2861" s="3">
        <v>29</v>
      </c>
      <c r="R2861" t="s">
        <v>34</v>
      </c>
      <c r="S2861" t="s">
        <v>50</v>
      </c>
    </row>
    <row r="2862" spans="1:19" x14ac:dyDescent="0.25">
      <c r="A2862">
        <v>2861</v>
      </c>
      <c r="B2862">
        <v>28</v>
      </c>
      <c r="C2862" t="s">
        <v>153</v>
      </c>
      <c r="D2862" t="s">
        <v>56</v>
      </c>
      <c r="E2862" t="s">
        <v>21</v>
      </c>
      <c r="F2862" s="1">
        <v>38</v>
      </c>
      <c r="G2862" t="s">
        <v>44</v>
      </c>
      <c r="H2862" t="s">
        <v>45</v>
      </c>
      <c r="I2862" t="s">
        <v>81</v>
      </c>
      <c r="J2862" t="s">
        <v>39</v>
      </c>
      <c r="K2862" s="2">
        <v>2.9</v>
      </c>
      <c r="L2862" t="s">
        <v>152</v>
      </c>
      <c r="M2862" t="s">
        <v>46</v>
      </c>
      <c r="N2862" t="s">
        <v>47</v>
      </c>
      <c r="O2862" t="s">
        <v>152</v>
      </c>
      <c r="P2862" t="s">
        <v>152</v>
      </c>
      <c r="Q2862" s="3">
        <v>49</v>
      </c>
      <c r="R2862" t="s">
        <v>34</v>
      </c>
      <c r="S2862" t="s">
        <v>41</v>
      </c>
    </row>
    <row r="2863" spans="1:19" x14ac:dyDescent="0.25">
      <c r="A2863">
        <v>2862</v>
      </c>
      <c r="B2863">
        <v>66</v>
      </c>
      <c r="C2863" t="s">
        <v>153</v>
      </c>
      <c r="D2863" t="s">
        <v>64</v>
      </c>
      <c r="E2863" t="s">
        <v>65</v>
      </c>
      <c r="F2863" s="1">
        <v>54</v>
      </c>
      <c r="G2863" t="s">
        <v>128</v>
      </c>
      <c r="H2863" t="s">
        <v>45</v>
      </c>
      <c r="I2863" t="s">
        <v>86</v>
      </c>
      <c r="J2863" t="s">
        <v>58</v>
      </c>
      <c r="K2863" s="2">
        <v>3.4</v>
      </c>
      <c r="L2863" t="s">
        <v>152</v>
      </c>
      <c r="M2863" t="s">
        <v>59</v>
      </c>
      <c r="N2863" t="s">
        <v>40</v>
      </c>
      <c r="O2863" t="s">
        <v>152</v>
      </c>
      <c r="P2863" t="s">
        <v>152</v>
      </c>
      <c r="Q2863" s="3">
        <v>27</v>
      </c>
      <c r="R2863" t="s">
        <v>27</v>
      </c>
      <c r="S2863" t="s">
        <v>88</v>
      </c>
    </row>
    <row r="2864" spans="1:19" x14ac:dyDescent="0.25">
      <c r="A2864">
        <v>2863</v>
      </c>
      <c r="B2864">
        <v>68</v>
      </c>
      <c r="C2864" t="s">
        <v>153</v>
      </c>
      <c r="D2864" t="s">
        <v>64</v>
      </c>
      <c r="E2864" t="s">
        <v>65</v>
      </c>
      <c r="F2864" s="1">
        <v>75</v>
      </c>
      <c r="G2864" t="s">
        <v>78</v>
      </c>
      <c r="H2864" t="s">
        <v>38</v>
      </c>
      <c r="I2864" t="s">
        <v>84</v>
      </c>
      <c r="J2864" t="s">
        <v>54</v>
      </c>
      <c r="K2864" s="2">
        <v>4.7</v>
      </c>
      <c r="L2864" t="s">
        <v>152</v>
      </c>
      <c r="M2864" t="s">
        <v>34</v>
      </c>
      <c r="N2864" t="s">
        <v>76</v>
      </c>
      <c r="O2864" t="s">
        <v>152</v>
      </c>
      <c r="P2864" t="s">
        <v>152</v>
      </c>
      <c r="Q2864" s="3">
        <v>5</v>
      </c>
      <c r="R2864" t="s">
        <v>34</v>
      </c>
      <c r="S2864" t="s">
        <v>97</v>
      </c>
    </row>
    <row r="2865" spans="1:19" x14ac:dyDescent="0.25">
      <c r="A2865">
        <v>2864</v>
      </c>
      <c r="B2865">
        <v>37</v>
      </c>
      <c r="C2865" t="s">
        <v>153</v>
      </c>
      <c r="D2865" t="s">
        <v>113</v>
      </c>
      <c r="E2865" t="s">
        <v>21</v>
      </c>
      <c r="F2865" s="1">
        <v>56</v>
      </c>
      <c r="G2865" t="s">
        <v>139</v>
      </c>
      <c r="H2865" t="s">
        <v>45</v>
      </c>
      <c r="I2865" t="s">
        <v>134</v>
      </c>
      <c r="J2865" t="s">
        <v>58</v>
      </c>
      <c r="K2865" s="2">
        <v>3.9</v>
      </c>
      <c r="L2865" t="s">
        <v>152</v>
      </c>
      <c r="M2865" t="s">
        <v>59</v>
      </c>
      <c r="N2865" t="s">
        <v>72</v>
      </c>
      <c r="O2865" t="s">
        <v>152</v>
      </c>
      <c r="P2865" t="s">
        <v>152</v>
      </c>
      <c r="Q2865" s="3">
        <v>18</v>
      </c>
      <c r="R2865" t="s">
        <v>29</v>
      </c>
      <c r="S2865" t="s">
        <v>88</v>
      </c>
    </row>
    <row r="2866" spans="1:19" x14ac:dyDescent="0.25">
      <c r="A2866">
        <v>2865</v>
      </c>
      <c r="B2866">
        <v>58</v>
      </c>
      <c r="C2866" t="s">
        <v>153</v>
      </c>
      <c r="D2866" t="s">
        <v>31</v>
      </c>
      <c r="E2866" t="s">
        <v>21</v>
      </c>
      <c r="F2866" s="1">
        <v>43</v>
      </c>
      <c r="G2866" t="s">
        <v>115</v>
      </c>
      <c r="H2866" t="s">
        <v>38</v>
      </c>
      <c r="I2866" t="s">
        <v>33</v>
      </c>
      <c r="J2866" t="s">
        <v>58</v>
      </c>
      <c r="K2866" s="2">
        <v>3.6</v>
      </c>
      <c r="L2866" t="s">
        <v>152</v>
      </c>
      <c r="M2866" t="s">
        <v>59</v>
      </c>
      <c r="N2866" t="s">
        <v>76</v>
      </c>
      <c r="O2866" t="s">
        <v>152</v>
      </c>
      <c r="P2866" t="s">
        <v>152</v>
      </c>
      <c r="Q2866" s="3">
        <v>31</v>
      </c>
      <c r="R2866" t="s">
        <v>29</v>
      </c>
      <c r="S2866" t="s">
        <v>41</v>
      </c>
    </row>
    <row r="2867" spans="1:19" x14ac:dyDescent="0.25">
      <c r="A2867">
        <v>2866</v>
      </c>
      <c r="B2867">
        <v>28</v>
      </c>
      <c r="C2867" t="s">
        <v>153</v>
      </c>
      <c r="D2867" t="s">
        <v>87</v>
      </c>
      <c r="E2867" t="s">
        <v>21</v>
      </c>
      <c r="F2867" s="1">
        <v>97</v>
      </c>
      <c r="G2867" t="s">
        <v>99</v>
      </c>
      <c r="H2867" t="s">
        <v>45</v>
      </c>
      <c r="I2867" t="s">
        <v>67</v>
      </c>
      <c r="J2867" t="s">
        <v>58</v>
      </c>
      <c r="K2867" s="2">
        <v>3.7</v>
      </c>
      <c r="L2867" t="s">
        <v>152</v>
      </c>
      <c r="M2867" t="s">
        <v>35</v>
      </c>
      <c r="N2867" t="s">
        <v>40</v>
      </c>
      <c r="O2867" t="s">
        <v>152</v>
      </c>
      <c r="P2867" t="s">
        <v>152</v>
      </c>
      <c r="Q2867" s="3">
        <v>27</v>
      </c>
      <c r="R2867" t="s">
        <v>35</v>
      </c>
      <c r="S2867" t="s">
        <v>30</v>
      </c>
    </row>
    <row r="2868" spans="1:19" x14ac:dyDescent="0.25">
      <c r="A2868">
        <v>2867</v>
      </c>
      <c r="B2868">
        <v>54</v>
      </c>
      <c r="C2868" t="s">
        <v>153</v>
      </c>
      <c r="D2868" t="s">
        <v>20</v>
      </c>
      <c r="E2868" t="s">
        <v>21</v>
      </c>
      <c r="F2868" s="1">
        <v>75</v>
      </c>
      <c r="G2868" t="s">
        <v>139</v>
      </c>
      <c r="H2868" t="s">
        <v>38</v>
      </c>
      <c r="I2868" t="s">
        <v>84</v>
      </c>
      <c r="J2868" t="s">
        <v>54</v>
      </c>
      <c r="K2868" s="2">
        <v>3.1</v>
      </c>
      <c r="L2868" t="s">
        <v>152</v>
      </c>
      <c r="M2868" t="s">
        <v>29</v>
      </c>
      <c r="N2868" t="s">
        <v>40</v>
      </c>
      <c r="O2868" t="s">
        <v>152</v>
      </c>
      <c r="P2868" t="s">
        <v>152</v>
      </c>
      <c r="Q2868" s="3">
        <v>19</v>
      </c>
      <c r="R2868" t="s">
        <v>35</v>
      </c>
      <c r="S2868" t="s">
        <v>50</v>
      </c>
    </row>
    <row r="2869" spans="1:19" x14ac:dyDescent="0.25">
      <c r="A2869">
        <v>2868</v>
      </c>
      <c r="B2869">
        <v>21</v>
      </c>
      <c r="C2869" t="s">
        <v>153</v>
      </c>
      <c r="D2869" t="s">
        <v>51</v>
      </c>
      <c r="E2869" t="s">
        <v>43</v>
      </c>
      <c r="F2869" s="1">
        <v>55</v>
      </c>
      <c r="G2869" t="s">
        <v>112</v>
      </c>
      <c r="H2869" t="s">
        <v>23</v>
      </c>
      <c r="I2869" t="s">
        <v>53</v>
      </c>
      <c r="J2869" t="s">
        <v>54</v>
      </c>
      <c r="K2869" s="2">
        <v>4.9000000000000004</v>
      </c>
      <c r="L2869" t="s">
        <v>152</v>
      </c>
      <c r="M2869" t="s">
        <v>29</v>
      </c>
      <c r="N2869" t="s">
        <v>47</v>
      </c>
      <c r="O2869" t="s">
        <v>152</v>
      </c>
      <c r="P2869" t="s">
        <v>152</v>
      </c>
      <c r="Q2869" s="3">
        <v>33</v>
      </c>
      <c r="R2869" t="s">
        <v>35</v>
      </c>
      <c r="S2869" t="s">
        <v>30</v>
      </c>
    </row>
    <row r="2870" spans="1:19" x14ac:dyDescent="0.25">
      <c r="A2870">
        <v>2869</v>
      </c>
      <c r="B2870">
        <v>45</v>
      </c>
      <c r="C2870" t="s">
        <v>153</v>
      </c>
      <c r="D2870" t="s">
        <v>132</v>
      </c>
      <c r="E2870" t="s">
        <v>69</v>
      </c>
      <c r="F2870" s="1">
        <v>49</v>
      </c>
      <c r="G2870" t="s">
        <v>112</v>
      </c>
      <c r="H2870" t="s">
        <v>45</v>
      </c>
      <c r="I2870" t="s">
        <v>94</v>
      </c>
      <c r="J2870" t="s">
        <v>25</v>
      </c>
      <c r="K2870" s="2">
        <v>2.6</v>
      </c>
      <c r="L2870" t="s">
        <v>152</v>
      </c>
      <c r="M2870" t="s">
        <v>59</v>
      </c>
      <c r="N2870" t="s">
        <v>47</v>
      </c>
      <c r="O2870" t="s">
        <v>152</v>
      </c>
      <c r="P2870" t="s">
        <v>152</v>
      </c>
      <c r="Q2870" s="3">
        <v>42</v>
      </c>
      <c r="R2870" t="s">
        <v>46</v>
      </c>
      <c r="S2870" t="s">
        <v>97</v>
      </c>
    </row>
    <row r="2871" spans="1:19" x14ac:dyDescent="0.25">
      <c r="A2871">
        <v>2870</v>
      </c>
      <c r="B2871">
        <v>57</v>
      </c>
      <c r="C2871" t="s">
        <v>153</v>
      </c>
      <c r="D2871" t="s">
        <v>125</v>
      </c>
      <c r="E2871" t="s">
        <v>21</v>
      </c>
      <c r="F2871" s="1">
        <v>58</v>
      </c>
      <c r="G2871" t="s">
        <v>142</v>
      </c>
      <c r="H2871" t="s">
        <v>45</v>
      </c>
      <c r="I2871" t="s">
        <v>53</v>
      </c>
      <c r="J2871" t="s">
        <v>54</v>
      </c>
      <c r="K2871" s="2">
        <v>4.2</v>
      </c>
      <c r="L2871" t="s">
        <v>152</v>
      </c>
      <c r="M2871" t="s">
        <v>35</v>
      </c>
      <c r="N2871" t="s">
        <v>55</v>
      </c>
      <c r="O2871" t="s">
        <v>152</v>
      </c>
      <c r="P2871" t="s">
        <v>152</v>
      </c>
      <c r="Q2871" s="3">
        <v>16</v>
      </c>
      <c r="R2871" t="s">
        <v>34</v>
      </c>
      <c r="S2871" t="s">
        <v>41</v>
      </c>
    </row>
    <row r="2872" spans="1:19" x14ac:dyDescent="0.25">
      <c r="A2872">
        <v>2871</v>
      </c>
      <c r="B2872">
        <v>47</v>
      </c>
      <c r="C2872" t="s">
        <v>153</v>
      </c>
      <c r="D2872" t="s">
        <v>106</v>
      </c>
      <c r="E2872" t="s">
        <v>69</v>
      </c>
      <c r="F2872" s="1">
        <v>34</v>
      </c>
      <c r="G2872" t="s">
        <v>114</v>
      </c>
      <c r="H2872" t="s">
        <v>45</v>
      </c>
      <c r="I2872" t="s">
        <v>144</v>
      </c>
      <c r="J2872" t="s">
        <v>25</v>
      </c>
      <c r="K2872" s="2">
        <v>4.8</v>
      </c>
      <c r="L2872" t="s">
        <v>152</v>
      </c>
      <c r="M2872" t="s">
        <v>59</v>
      </c>
      <c r="N2872" t="s">
        <v>40</v>
      </c>
      <c r="O2872" t="s">
        <v>152</v>
      </c>
      <c r="P2872" t="s">
        <v>152</v>
      </c>
      <c r="Q2872" s="3">
        <v>49</v>
      </c>
      <c r="R2872" t="s">
        <v>59</v>
      </c>
      <c r="S2872" t="s">
        <v>97</v>
      </c>
    </row>
    <row r="2873" spans="1:19" x14ac:dyDescent="0.25">
      <c r="A2873">
        <v>2872</v>
      </c>
      <c r="B2873">
        <v>46</v>
      </c>
      <c r="C2873" t="s">
        <v>153</v>
      </c>
      <c r="D2873" t="s">
        <v>61</v>
      </c>
      <c r="E2873" t="s">
        <v>21</v>
      </c>
      <c r="F2873" s="1">
        <v>43</v>
      </c>
      <c r="G2873" t="s">
        <v>135</v>
      </c>
      <c r="H2873" t="s">
        <v>38</v>
      </c>
      <c r="I2873" t="s">
        <v>94</v>
      </c>
      <c r="J2873" t="s">
        <v>54</v>
      </c>
      <c r="K2873" s="2">
        <v>2.7</v>
      </c>
      <c r="L2873" t="s">
        <v>152</v>
      </c>
      <c r="M2873" t="s">
        <v>35</v>
      </c>
      <c r="N2873" t="s">
        <v>72</v>
      </c>
      <c r="O2873" t="s">
        <v>152</v>
      </c>
      <c r="P2873" t="s">
        <v>152</v>
      </c>
      <c r="Q2873" s="3">
        <v>40</v>
      </c>
      <c r="R2873" t="s">
        <v>29</v>
      </c>
      <c r="S2873" t="s">
        <v>77</v>
      </c>
    </row>
    <row r="2874" spans="1:19" x14ac:dyDescent="0.25">
      <c r="A2874">
        <v>2873</v>
      </c>
      <c r="B2874">
        <v>63</v>
      </c>
      <c r="C2874" t="s">
        <v>153</v>
      </c>
      <c r="D2874" t="s">
        <v>106</v>
      </c>
      <c r="E2874" t="s">
        <v>69</v>
      </c>
      <c r="F2874" s="1">
        <v>48</v>
      </c>
      <c r="G2874" t="s">
        <v>139</v>
      </c>
      <c r="H2874" t="s">
        <v>23</v>
      </c>
      <c r="I2874" t="s">
        <v>79</v>
      </c>
      <c r="J2874" t="s">
        <v>58</v>
      </c>
      <c r="K2874" s="2">
        <v>2.6</v>
      </c>
      <c r="L2874" t="s">
        <v>152</v>
      </c>
      <c r="M2874" t="s">
        <v>29</v>
      </c>
      <c r="N2874" t="s">
        <v>47</v>
      </c>
      <c r="O2874" t="s">
        <v>152</v>
      </c>
      <c r="P2874" t="s">
        <v>152</v>
      </c>
      <c r="Q2874" s="3">
        <v>5</v>
      </c>
      <c r="R2874" t="s">
        <v>35</v>
      </c>
      <c r="S2874" t="s">
        <v>50</v>
      </c>
    </row>
    <row r="2875" spans="1:19" x14ac:dyDescent="0.25">
      <c r="A2875">
        <v>2874</v>
      </c>
      <c r="B2875">
        <v>44</v>
      </c>
      <c r="C2875" t="s">
        <v>153</v>
      </c>
      <c r="D2875" t="s">
        <v>31</v>
      </c>
      <c r="E2875" t="s">
        <v>21</v>
      </c>
      <c r="F2875" s="1">
        <v>40</v>
      </c>
      <c r="G2875" t="s">
        <v>57</v>
      </c>
      <c r="H2875" t="s">
        <v>45</v>
      </c>
      <c r="I2875" t="s">
        <v>86</v>
      </c>
      <c r="J2875" t="s">
        <v>39</v>
      </c>
      <c r="K2875" s="2">
        <v>2.6</v>
      </c>
      <c r="L2875" t="s">
        <v>152</v>
      </c>
      <c r="M2875" t="s">
        <v>46</v>
      </c>
      <c r="N2875" t="s">
        <v>40</v>
      </c>
      <c r="O2875" t="s">
        <v>152</v>
      </c>
      <c r="P2875" t="s">
        <v>152</v>
      </c>
      <c r="Q2875" s="3">
        <v>8</v>
      </c>
      <c r="R2875" t="s">
        <v>34</v>
      </c>
      <c r="S2875" t="s">
        <v>88</v>
      </c>
    </row>
    <row r="2876" spans="1:19" x14ac:dyDescent="0.25">
      <c r="A2876">
        <v>2875</v>
      </c>
      <c r="B2876">
        <v>36</v>
      </c>
      <c r="C2876" t="s">
        <v>153</v>
      </c>
      <c r="D2876" t="s">
        <v>56</v>
      </c>
      <c r="E2876" t="s">
        <v>21</v>
      </c>
      <c r="F2876" s="1">
        <v>29</v>
      </c>
      <c r="G2876" t="s">
        <v>112</v>
      </c>
      <c r="H2876" t="s">
        <v>23</v>
      </c>
      <c r="I2876" t="s">
        <v>67</v>
      </c>
      <c r="J2876" t="s">
        <v>54</v>
      </c>
      <c r="K2876" s="2">
        <v>3.1</v>
      </c>
      <c r="L2876" t="s">
        <v>152</v>
      </c>
      <c r="M2876" t="s">
        <v>59</v>
      </c>
      <c r="N2876" t="s">
        <v>55</v>
      </c>
      <c r="O2876" t="s">
        <v>152</v>
      </c>
      <c r="P2876" t="s">
        <v>152</v>
      </c>
      <c r="Q2876" s="3">
        <v>2</v>
      </c>
      <c r="R2876" t="s">
        <v>59</v>
      </c>
      <c r="S2876" t="s">
        <v>50</v>
      </c>
    </row>
    <row r="2877" spans="1:19" x14ac:dyDescent="0.25">
      <c r="A2877">
        <v>2876</v>
      </c>
      <c r="B2877">
        <v>24</v>
      </c>
      <c r="C2877" t="s">
        <v>153</v>
      </c>
      <c r="D2877" t="s">
        <v>95</v>
      </c>
      <c r="E2877" t="s">
        <v>21</v>
      </c>
      <c r="F2877" s="1">
        <v>81</v>
      </c>
      <c r="G2877" t="s">
        <v>22</v>
      </c>
      <c r="H2877" t="s">
        <v>45</v>
      </c>
      <c r="I2877" t="s">
        <v>71</v>
      </c>
      <c r="J2877" t="s">
        <v>58</v>
      </c>
      <c r="K2877" s="2">
        <v>2.6</v>
      </c>
      <c r="L2877" t="s">
        <v>152</v>
      </c>
      <c r="M2877" t="s">
        <v>27</v>
      </c>
      <c r="N2877" t="s">
        <v>40</v>
      </c>
      <c r="O2877" t="s">
        <v>152</v>
      </c>
      <c r="P2877" t="s">
        <v>152</v>
      </c>
      <c r="Q2877" s="3">
        <v>14</v>
      </c>
      <c r="R2877" t="s">
        <v>59</v>
      </c>
      <c r="S2877" t="s">
        <v>41</v>
      </c>
    </row>
    <row r="2878" spans="1:19" x14ac:dyDescent="0.25">
      <c r="A2878">
        <v>2877</v>
      </c>
      <c r="B2878">
        <v>65</v>
      </c>
      <c r="C2878" t="s">
        <v>153</v>
      </c>
      <c r="D2878" t="s">
        <v>104</v>
      </c>
      <c r="E2878" t="s">
        <v>21</v>
      </c>
      <c r="F2878" s="1">
        <v>84</v>
      </c>
      <c r="G2878" t="s">
        <v>130</v>
      </c>
      <c r="H2878" t="s">
        <v>45</v>
      </c>
      <c r="I2878" t="s">
        <v>63</v>
      </c>
      <c r="J2878" t="s">
        <v>39</v>
      </c>
      <c r="K2878" s="2">
        <v>3.4</v>
      </c>
      <c r="L2878" t="s">
        <v>152</v>
      </c>
      <c r="M2878" t="s">
        <v>27</v>
      </c>
      <c r="N2878" t="s">
        <v>72</v>
      </c>
      <c r="O2878" t="s">
        <v>152</v>
      </c>
      <c r="P2878" t="s">
        <v>152</v>
      </c>
      <c r="Q2878" s="3">
        <v>5</v>
      </c>
      <c r="R2878" t="s">
        <v>34</v>
      </c>
      <c r="S2878" t="s">
        <v>30</v>
      </c>
    </row>
    <row r="2879" spans="1:19" x14ac:dyDescent="0.25">
      <c r="A2879">
        <v>2878</v>
      </c>
      <c r="B2879">
        <v>32</v>
      </c>
      <c r="C2879" t="s">
        <v>153</v>
      </c>
      <c r="D2879" t="s">
        <v>125</v>
      </c>
      <c r="E2879" t="s">
        <v>21</v>
      </c>
      <c r="F2879" s="1">
        <v>46</v>
      </c>
      <c r="G2879" t="s">
        <v>127</v>
      </c>
      <c r="H2879" t="s">
        <v>45</v>
      </c>
      <c r="I2879" t="s">
        <v>67</v>
      </c>
      <c r="J2879" t="s">
        <v>54</v>
      </c>
      <c r="K2879" s="2">
        <v>3.6</v>
      </c>
      <c r="L2879" t="s">
        <v>152</v>
      </c>
      <c r="M2879" t="s">
        <v>46</v>
      </c>
      <c r="N2879" t="s">
        <v>55</v>
      </c>
      <c r="O2879" t="s">
        <v>152</v>
      </c>
      <c r="P2879" t="s">
        <v>152</v>
      </c>
      <c r="Q2879" s="3">
        <v>34</v>
      </c>
      <c r="R2879" t="s">
        <v>29</v>
      </c>
      <c r="S2879" t="s">
        <v>88</v>
      </c>
    </row>
    <row r="2880" spans="1:19" x14ac:dyDescent="0.25">
      <c r="A2880">
        <v>2879</v>
      </c>
      <c r="B2880">
        <v>63</v>
      </c>
      <c r="C2880" t="s">
        <v>153</v>
      </c>
      <c r="D2880" t="s">
        <v>82</v>
      </c>
      <c r="E2880" t="s">
        <v>21</v>
      </c>
      <c r="F2880" s="1">
        <v>86</v>
      </c>
      <c r="G2880" t="s">
        <v>99</v>
      </c>
      <c r="H2880" t="s">
        <v>23</v>
      </c>
      <c r="I2880" t="s">
        <v>49</v>
      </c>
      <c r="J2880" t="s">
        <v>54</v>
      </c>
      <c r="K2880" s="2">
        <v>4.3</v>
      </c>
      <c r="L2880" t="s">
        <v>152</v>
      </c>
      <c r="M2880" t="s">
        <v>29</v>
      </c>
      <c r="N2880" t="s">
        <v>47</v>
      </c>
      <c r="O2880" t="s">
        <v>152</v>
      </c>
      <c r="P2880" t="s">
        <v>152</v>
      </c>
      <c r="Q2880" s="3">
        <v>13</v>
      </c>
      <c r="R2880" t="s">
        <v>34</v>
      </c>
      <c r="S2880" t="s">
        <v>50</v>
      </c>
    </row>
    <row r="2881" spans="1:19" x14ac:dyDescent="0.25">
      <c r="A2881">
        <v>2880</v>
      </c>
      <c r="B2881">
        <v>62</v>
      </c>
      <c r="C2881" t="s">
        <v>153</v>
      </c>
      <c r="D2881" t="s">
        <v>20</v>
      </c>
      <c r="E2881" t="s">
        <v>21</v>
      </c>
      <c r="F2881" s="1">
        <v>57</v>
      </c>
      <c r="G2881" t="s">
        <v>114</v>
      </c>
      <c r="H2881" t="s">
        <v>92</v>
      </c>
      <c r="I2881" t="s">
        <v>49</v>
      </c>
      <c r="J2881" t="s">
        <v>25</v>
      </c>
      <c r="K2881" s="2">
        <v>4.9000000000000004</v>
      </c>
      <c r="L2881" t="s">
        <v>152</v>
      </c>
      <c r="M2881" t="s">
        <v>27</v>
      </c>
      <c r="N2881" t="s">
        <v>40</v>
      </c>
      <c r="O2881" t="s">
        <v>152</v>
      </c>
      <c r="P2881" t="s">
        <v>152</v>
      </c>
      <c r="Q2881" s="3">
        <v>31</v>
      </c>
      <c r="R2881" t="s">
        <v>29</v>
      </c>
      <c r="S2881" t="s">
        <v>50</v>
      </c>
    </row>
    <row r="2882" spans="1:19" x14ac:dyDescent="0.25">
      <c r="A2882">
        <v>2881</v>
      </c>
      <c r="B2882">
        <v>19</v>
      </c>
      <c r="C2882" t="s">
        <v>153</v>
      </c>
      <c r="D2882" t="s">
        <v>87</v>
      </c>
      <c r="E2882" t="s">
        <v>21</v>
      </c>
      <c r="F2882" s="1">
        <v>61</v>
      </c>
      <c r="G2882" t="s">
        <v>103</v>
      </c>
      <c r="H2882" t="s">
        <v>23</v>
      </c>
      <c r="I2882" t="s">
        <v>118</v>
      </c>
      <c r="J2882" t="s">
        <v>25</v>
      </c>
      <c r="K2882" s="2">
        <v>4.8</v>
      </c>
      <c r="L2882" t="s">
        <v>152</v>
      </c>
      <c r="M2882" t="s">
        <v>59</v>
      </c>
      <c r="N2882" t="s">
        <v>76</v>
      </c>
      <c r="O2882" t="s">
        <v>152</v>
      </c>
      <c r="P2882" t="s">
        <v>152</v>
      </c>
      <c r="Q2882" s="3">
        <v>43</v>
      </c>
      <c r="R2882" t="s">
        <v>46</v>
      </c>
      <c r="S2882" t="s">
        <v>60</v>
      </c>
    </row>
    <row r="2883" spans="1:19" x14ac:dyDescent="0.25">
      <c r="A2883">
        <v>2882</v>
      </c>
      <c r="B2883">
        <v>38</v>
      </c>
      <c r="C2883" t="s">
        <v>153</v>
      </c>
      <c r="D2883" t="s">
        <v>132</v>
      </c>
      <c r="E2883" t="s">
        <v>69</v>
      </c>
      <c r="F2883" s="1">
        <v>90</v>
      </c>
      <c r="G2883" t="s">
        <v>105</v>
      </c>
      <c r="H2883" t="s">
        <v>45</v>
      </c>
      <c r="I2883" t="s">
        <v>109</v>
      </c>
      <c r="J2883" t="s">
        <v>25</v>
      </c>
      <c r="K2883" s="2">
        <v>4.2</v>
      </c>
      <c r="L2883" t="s">
        <v>152</v>
      </c>
      <c r="M2883" t="s">
        <v>27</v>
      </c>
      <c r="N2883" t="s">
        <v>40</v>
      </c>
      <c r="O2883" t="s">
        <v>152</v>
      </c>
      <c r="P2883" t="s">
        <v>152</v>
      </c>
      <c r="Q2883" s="3">
        <v>6</v>
      </c>
      <c r="R2883" t="s">
        <v>34</v>
      </c>
      <c r="S2883" t="s">
        <v>50</v>
      </c>
    </row>
    <row r="2884" spans="1:19" x14ac:dyDescent="0.25">
      <c r="A2884">
        <v>2883</v>
      </c>
      <c r="B2884">
        <v>59</v>
      </c>
      <c r="C2884" t="s">
        <v>153</v>
      </c>
      <c r="D2884" t="s">
        <v>20</v>
      </c>
      <c r="E2884" t="s">
        <v>21</v>
      </c>
      <c r="F2884" s="1">
        <v>51</v>
      </c>
      <c r="G2884" t="s">
        <v>101</v>
      </c>
      <c r="H2884" t="s">
        <v>23</v>
      </c>
      <c r="I2884" t="s">
        <v>81</v>
      </c>
      <c r="J2884" t="s">
        <v>25</v>
      </c>
      <c r="K2884" s="2">
        <v>2.6</v>
      </c>
      <c r="L2884" t="s">
        <v>152</v>
      </c>
      <c r="M2884" t="s">
        <v>27</v>
      </c>
      <c r="N2884" t="s">
        <v>76</v>
      </c>
      <c r="O2884" t="s">
        <v>152</v>
      </c>
      <c r="P2884" t="s">
        <v>152</v>
      </c>
      <c r="Q2884" s="3">
        <v>23</v>
      </c>
      <c r="R2884" t="s">
        <v>27</v>
      </c>
      <c r="S2884" t="s">
        <v>77</v>
      </c>
    </row>
    <row r="2885" spans="1:19" x14ac:dyDescent="0.25">
      <c r="A2885">
        <v>2884</v>
      </c>
      <c r="B2885">
        <v>22</v>
      </c>
      <c r="C2885" t="s">
        <v>153</v>
      </c>
      <c r="D2885" t="s">
        <v>125</v>
      </c>
      <c r="E2885" t="s">
        <v>21</v>
      </c>
      <c r="F2885" s="1">
        <v>48</v>
      </c>
      <c r="G2885" t="s">
        <v>44</v>
      </c>
      <c r="H2885" t="s">
        <v>92</v>
      </c>
      <c r="I2885" t="s">
        <v>67</v>
      </c>
      <c r="J2885" t="s">
        <v>39</v>
      </c>
      <c r="K2885" s="2">
        <v>3.2</v>
      </c>
      <c r="L2885" t="s">
        <v>152</v>
      </c>
      <c r="M2885" t="s">
        <v>59</v>
      </c>
      <c r="N2885" t="s">
        <v>55</v>
      </c>
      <c r="O2885" t="s">
        <v>152</v>
      </c>
      <c r="P2885" t="s">
        <v>152</v>
      </c>
      <c r="Q2885" s="3">
        <v>10</v>
      </c>
      <c r="R2885" t="s">
        <v>46</v>
      </c>
      <c r="S2885" t="s">
        <v>41</v>
      </c>
    </row>
    <row r="2886" spans="1:19" x14ac:dyDescent="0.25">
      <c r="A2886">
        <v>2885</v>
      </c>
      <c r="B2886">
        <v>55</v>
      </c>
      <c r="C2886" t="s">
        <v>153</v>
      </c>
      <c r="D2886" t="s">
        <v>137</v>
      </c>
      <c r="E2886" t="s">
        <v>43</v>
      </c>
      <c r="F2886" s="1">
        <v>50</v>
      </c>
      <c r="G2886" t="s">
        <v>74</v>
      </c>
      <c r="H2886" t="s">
        <v>45</v>
      </c>
      <c r="I2886" t="s">
        <v>75</v>
      </c>
      <c r="J2886" t="s">
        <v>54</v>
      </c>
      <c r="K2886" s="2">
        <v>3.4</v>
      </c>
      <c r="L2886" t="s">
        <v>152</v>
      </c>
      <c r="M2886" t="s">
        <v>34</v>
      </c>
      <c r="N2886" t="s">
        <v>72</v>
      </c>
      <c r="O2886" t="s">
        <v>152</v>
      </c>
      <c r="P2886" t="s">
        <v>152</v>
      </c>
      <c r="Q2886" s="3">
        <v>47</v>
      </c>
      <c r="R2886" t="s">
        <v>27</v>
      </c>
      <c r="S2886" t="s">
        <v>97</v>
      </c>
    </row>
    <row r="2887" spans="1:19" x14ac:dyDescent="0.25">
      <c r="A2887">
        <v>2886</v>
      </c>
      <c r="B2887">
        <v>29</v>
      </c>
      <c r="C2887" t="s">
        <v>153</v>
      </c>
      <c r="D2887" t="s">
        <v>132</v>
      </c>
      <c r="E2887" t="s">
        <v>69</v>
      </c>
      <c r="F2887" s="1">
        <v>82</v>
      </c>
      <c r="G2887" t="s">
        <v>107</v>
      </c>
      <c r="H2887" t="s">
        <v>45</v>
      </c>
      <c r="I2887" t="s">
        <v>134</v>
      </c>
      <c r="J2887" t="s">
        <v>54</v>
      </c>
      <c r="K2887" s="2">
        <v>3.5</v>
      </c>
      <c r="L2887" t="s">
        <v>152</v>
      </c>
      <c r="M2887" t="s">
        <v>34</v>
      </c>
      <c r="N2887" t="s">
        <v>47</v>
      </c>
      <c r="O2887" t="s">
        <v>152</v>
      </c>
      <c r="P2887" t="s">
        <v>152</v>
      </c>
      <c r="Q2887" s="3">
        <v>14</v>
      </c>
      <c r="R2887" t="s">
        <v>27</v>
      </c>
      <c r="S2887" t="s">
        <v>77</v>
      </c>
    </row>
    <row r="2888" spans="1:19" x14ac:dyDescent="0.25">
      <c r="A2888">
        <v>2887</v>
      </c>
      <c r="B2888">
        <v>42</v>
      </c>
      <c r="C2888" t="s">
        <v>153</v>
      </c>
      <c r="D2888" t="s">
        <v>124</v>
      </c>
      <c r="E2888" t="s">
        <v>69</v>
      </c>
      <c r="F2888" s="1">
        <v>33</v>
      </c>
      <c r="G2888" t="s">
        <v>140</v>
      </c>
      <c r="H2888" t="s">
        <v>23</v>
      </c>
      <c r="I2888" t="s">
        <v>144</v>
      </c>
      <c r="J2888" t="s">
        <v>39</v>
      </c>
      <c r="K2888" s="2">
        <v>4.2</v>
      </c>
      <c r="L2888" t="s">
        <v>152</v>
      </c>
      <c r="M2888" t="s">
        <v>27</v>
      </c>
      <c r="N2888" t="s">
        <v>40</v>
      </c>
      <c r="O2888" t="s">
        <v>152</v>
      </c>
      <c r="P2888" t="s">
        <v>152</v>
      </c>
      <c r="Q2888" s="3">
        <v>29</v>
      </c>
      <c r="R2888" t="s">
        <v>46</v>
      </c>
      <c r="S2888" t="s">
        <v>41</v>
      </c>
    </row>
    <row r="2889" spans="1:19" x14ac:dyDescent="0.25">
      <c r="A2889">
        <v>2888</v>
      </c>
      <c r="B2889">
        <v>23</v>
      </c>
      <c r="C2889" t="s">
        <v>153</v>
      </c>
      <c r="D2889" t="s">
        <v>42</v>
      </c>
      <c r="E2889" t="s">
        <v>43</v>
      </c>
      <c r="F2889" s="1">
        <v>28</v>
      </c>
      <c r="G2889" t="s">
        <v>22</v>
      </c>
      <c r="H2889" t="s">
        <v>23</v>
      </c>
      <c r="I2889" t="s">
        <v>144</v>
      </c>
      <c r="J2889" t="s">
        <v>25</v>
      </c>
      <c r="K2889" s="2">
        <v>2.8</v>
      </c>
      <c r="L2889" t="s">
        <v>152</v>
      </c>
      <c r="M2889" t="s">
        <v>59</v>
      </c>
      <c r="N2889" t="s">
        <v>28</v>
      </c>
      <c r="O2889" t="s">
        <v>152</v>
      </c>
      <c r="P2889" t="s">
        <v>152</v>
      </c>
      <c r="Q2889" s="3">
        <v>12</v>
      </c>
      <c r="R2889" t="s">
        <v>35</v>
      </c>
      <c r="S2889" t="s">
        <v>77</v>
      </c>
    </row>
    <row r="2890" spans="1:19" x14ac:dyDescent="0.25">
      <c r="A2890">
        <v>2889</v>
      </c>
      <c r="B2890">
        <v>70</v>
      </c>
      <c r="C2890" t="s">
        <v>153</v>
      </c>
      <c r="D2890" t="s">
        <v>104</v>
      </c>
      <c r="E2890" t="s">
        <v>21</v>
      </c>
      <c r="F2890" s="1">
        <v>42</v>
      </c>
      <c r="G2890" t="s">
        <v>150</v>
      </c>
      <c r="H2890" t="s">
        <v>23</v>
      </c>
      <c r="I2890" t="s">
        <v>96</v>
      </c>
      <c r="J2890" t="s">
        <v>39</v>
      </c>
      <c r="K2890" s="2">
        <v>5</v>
      </c>
      <c r="L2890" t="s">
        <v>152</v>
      </c>
      <c r="M2890" t="s">
        <v>29</v>
      </c>
      <c r="N2890" t="s">
        <v>72</v>
      </c>
      <c r="O2890" t="s">
        <v>152</v>
      </c>
      <c r="P2890" t="s">
        <v>152</v>
      </c>
      <c r="Q2890" s="3">
        <v>25</v>
      </c>
      <c r="R2890" t="s">
        <v>59</v>
      </c>
      <c r="S2890" t="s">
        <v>60</v>
      </c>
    </row>
    <row r="2891" spans="1:19" x14ac:dyDescent="0.25">
      <c r="A2891">
        <v>2890</v>
      </c>
      <c r="B2891">
        <v>64</v>
      </c>
      <c r="C2891" t="s">
        <v>153</v>
      </c>
      <c r="D2891" t="s">
        <v>89</v>
      </c>
      <c r="E2891" t="s">
        <v>69</v>
      </c>
      <c r="F2891" s="1">
        <v>43</v>
      </c>
      <c r="G2891" t="s">
        <v>148</v>
      </c>
      <c r="H2891" t="s">
        <v>45</v>
      </c>
      <c r="I2891" t="s">
        <v>63</v>
      </c>
      <c r="J2891" t="s">
        <v>58</v>
      </c>
      <c r="K2891" s="2">
        <v>3.3</v>
      </c>
      <c r="L2891" t="s">
        <v>152</v>
      </c>
      <c r="M2891" t="s">
        <v>27</v>
      </c>
      <c r="N2891" t="s">
        <v>76</v>
      </c>
      <c r="O2891" t="s">
        <v>152</v>
      </c>
      <c r="P2891" t="s">
        <v>152</v>
      </c>
      <c r="Q2891" s="3">
        <v>21</v>
      </c>
      <c r="R2891" t="s">
        <v>29</v>
      </c>
      <c r="S2891" t="s">
        <v>50</v>
      </c>
    </row>
    <row r="2892" spans="1:19" x14ac:dyDescent="0.25">
      <c r="A2892">
        <v>2891</v>
      </c>
      <c r="B2892">
        <v>39</v>
      </c>
      <c r="C2892" t="s">
        <v>153</v>
      </c>
      <c r="D2892" t="s">
        <v>36</v>
      </c>
      <c r="E2892" t="s">
        <v>21</v>
      </c>
      <c r="F2892" s="1">
        <v>55</v>
      </c>
      <c r="G2892" t="s">
        <v>114</v>
      </c>
      <c r="H2892" t="s">
        <v>45</v>
      </c>
      <c r="I2892" t="s">
        <v>84</v>
      </c>
      <c r="J2892" t="s">
        <v>25</v>
      </c>
      <c r="K2892" s="2">
        <v>3.7</v>
      </c>
      <c r="L2892" t="s">
        <v>152</v>
      </c>
      <c r="M2892" t="s">
        <v>46</v>
      </c>
      <c r="N2892" t="s">
        <v>40</v>
      </c>
      <c r="O2892" t="s">
        <v>152</v>
      </c>
      <c r="P2892" t="s">
        <v>152</v>
      </c>
      <c r="Q2892" s="3">
        <v>23</v>
      </c>
      <c r="R2892" t="s">
        <v>27</v>
      </c>
      <c r="S2892" t="s">
        <v>88</v>
      </c>
    </row>
    <row r="2893" spans="1:19" x14ac:dyDescent="0.25">
      <c r="A2893">
        <v>2892</v>
      </c>
      <c r="B2893">
        <v>47</v>
      </c>
      <c r="C2893" t="s">
        <v>153</v>
      </c>
      <c r="D2893" t="s">
        <v>113</v>
      </c>
      <c r="E2893" t="s">
        <v>21</v>
      </c>
      <c r="F2893" s="1">
        <v>73</v>
      </c>
      <c r="G2893" t="s">
        <v>123</v>
      </c>
      <c r="H2893" t="s">
        <v>92</v>
      </c>
      <c r="I2893" t="s">
        <v>94</v>
      </c>
      <c r="J2893" t="s">
        <v>25</v>
      </c>
      <c r="K2893" s="2">
        <v>2.5</v>
      </c>
      <c r="L2893" t="s">
        <v>152</v>
      </c>
      <c r="M2893" t="s">
        <v>29</v>
      </c>
      <c r="N2893" t="s">
        <v>40</v>
      </c>
      <c r="O2893" t="s">
        <v>152</v>
      </c>
      <c r="P2893" t="s">
        <v>152</v>
      </c>
      <c r="Q2893" s="3">
        <v>10</v>
      </c>
      <c r="R2893" t="s">
        <v>46</v>
      </c>
      <c r="S2893" t="s">
        <v>88</v>
      </c>
    </row>
    <row r="2894" spans="1:19" x14ac:dyDescent="0.25">
      <c r="A2894">
        <v>2893</v>
      </c>
      <c r="B2894">
        <v>22</v>
      </c>
      <c r="C2894" t="s">
        <v>153</v>
      </c>
      <c r="D2894" t="s">
        <v>82</v>
      </c>
      <c r="E2894" t="s">
        <v>21</v>
      </c>
      <c r="F2894" s="1">
        <v>39</v>
      </c>
      <c r="G2894" t="s">
        <v>107</v>
      </c>
      <c r="H2894" t="s">
        <v>45</v>
      </c>
      <c r="I2894" t="s">
        <v>86</v>
      </c>
      <c r="J2894" t="s">
        <v>39</v>
      </c>
      <c r="K2894" s="2">
        <v>3.2</v>
      </c>
      <c r="L2894" t="s">
        <v>152</v>
      </c>
      <c r="M2894" t="s">
        <v>34</v>
      </c>
      <c r="N2894" t="s">
        <v>55</v>
      </c>
      <c r="O2894" t="s">
        <v>152</v>
      </c>
      <c r="P2894" t="s">
        <v>152</v>
      </c>
      <c r="Q2894" s="3">
        <v>47</v>
      </c>
      <c r="R2894" t="s">
        <v>27</v>
      </c>
      <c r="S2894" t="s">
        <v>88</v>
      </c>
    </row>
    <row r="2895" spans="1:19" x14ac:dyDescent="0.25">
      <c r="A2895">
        <v>2894</v>
      </c>
      <c r="B2895">
        <v>69</v>
      </c>
      <c r="C2895" t="s">
        <v>153</v>
      </c>
      <c r="D2895" t="s">
        <v>133</v>
      </c>
      <c r="E2895" t="s">
        <v>69</v>
      </c>
      <c r="F2895" s="1">
        <v>20</v>
      </c>
      <c r="G2895" t="s">
        <v>22</v>
      </c>
      <c r="H2895" t="s">
        <v>38</v>
      </c>
      <c r="I2895" t="s">
        <v>121</v>
      </c>
      <c r="J2895" t="s">
        <v>39</v>
      </c>
      <c r="K2895" s="2">
        <v>3.1</v>
      </c>
      <c r="L2895" t="s">
        <v>152</v>
      </c>
      <c r="M2895" t="s">
        <v>27</v>
      </c>
      <c r="N2895" t="s">
        <v>40</v>
      </c>
      <c r="O2895" t="s">
        <v>152</v>
      </c>
      <c r="P2895" t="s">
        <v>152</v>
      </c>
      <c r="Q2895" s="3">
        <v>44</v>
      </c>
      <c r="R2895" t="s">
        <v>59</v>
      </c>
      <c r="S2895" t="s">
        <v>97</v>
      </c>
    </row>
    <row r="2896" spans="1:19" x14ac:dyDescent="0.25">
      <c r="A2896">
        <v>2895</v>
      </c>
      <c r="B2896">
        <v>35</v>
      </c>
      <c r="C2896" t="s">
        <v>153</v>
      </c>
      <c r="D2896" t="s">
        <v>106</v>
      </c>
      <c r="E2896" t="s">
        <v>69</v>
      </c>
      <c r="F2896" s="1">
        <v>32</v>
      </c>
      <c r="G2896" t="s">
        <v>22</v>
      </c>
      <c r="H2896" t="s">
        <v>38</v>
      </c>
      <c r="I2896" t="s">
        <v>110</v>
      </c>
      <c r="J2896" t="s">
        <v>39</v>
      </c>
      <c r="K2896" s="2">
        <v>3.5</v>
      </c>
      <c r="L2896" t="s">
        <v>152</v>
      </c>
      <c r="M2896" t="s">
        <v>35</v>
      </c>
      <c r="N2896" t="s">
        <v>55</v>
      </c>
      <c r="O2896" t="s">
        <v>152</v>
      </c>
      <c r="P2896" t="s">
        <v>152</v>
      </c>
      <c r="Q2896" s="3">
        <v>41</v>
      </c>
      <c r="R2896" t="s">
        <v>29</v>
      </c>
      <c r="S2896" t="s">
        <v>50</v>
      </c>
    </row>
    <row r="2897" spans="1:19" x14ac:dyDescent="0.25">
      <c r="A2897">
        <v>2896</v>
      </c>
      <c r="B2897">
        <v>56</v>
      </c>
      <c r="C2897" t="s">
        <v>153</v>
      </c>
      <c r="D2897" t="s">
        <v>104</v>
      </c>
      <c r="E2897" t="s">
        <v>21</v>
      </c>
      <c r="F2897" s="1">
        <v>86</v>
      </c>
      <c r="G2897" t="s">
        <v>57</v>
      </c>
      <c r="H2897" t="s">
        <v>23</v>
      </c>
      <c r="I2897" t="s">
        <v>96</v>
      </c>
      <c r="J2897" t="s">
        <v>54</v>
      </c>
      <c r="K2897" s="2">
        <v>4.5999999999999996</v>
      </c>
      <c r="L2897" t="s">
        <v>152</v>
      </c>
      <c r="M2897" t="s">
        <v>59</v>
      </c>
      <c r="N2897" t="s">
        <v>55</v>
      </c>
      <c r="O2897" t="s">
        <v>152</v>
      </c>
      <c r="P2897" t="s">
        <v>152</v>
      </c>
      <c r="Q2897" s="3">
        <v>29</v>
      </c>
      <c r="R2897" t="s">
        <v>34</v>
      </c>
      <c r="S2897" t="s">
        <v>88</v>
      </c>
    </row>
    <row r="2898" spans="1:19" x14ac:dyDescent="0.25">
      <c r="A2898">
        <v>2897</v>
      </c>
      <c r="B2898">
        <v>30</v>
      </c>
      <c r="C2898" t="s">
        <v>153</v>
      </c>
      <c r="D2898" t="s">
        <v>20</v>
      </c>
      <c r="E2898" t="s">
        <v>21</v>
      </c>
      <c r="F2898" s="1">
        <v>91</v>
      </c>
      <c r="G2898" t="s">
        <v>80</v>
      </c>
      <c r="H2898" t="s">
        <v>45</v>
      </c>
      <c r="I2898" t="s">
        <v>67</v>
      </c>
      <c r="J2898" t="s">
        <v>54</v>
      </c>
      <c r="K2898" s="2">
        <v>3.3</v>
      </c>
      <c r="L2898" t="s">
        <v>152</v>
      </c>
      <c r="M2898" t="s">
        <v>27</v>
      </c>
      <c r="N2898" t="s">
        <v>40</v>
      </c>
      <c r="O2898" t="s">
        <v>152</v>
      </c>
      <c r="P2898" t="s">
        <v>152</v>
      </c>
      <c r="Q2898" s="3">
        <v>2</v>
      </c>
      <c r="R2898" t="s">
        <v>29</v>
      </c>
      <c r="S2898" t="s">
        <v>97</v>
      </c>
    </row>
    <row r="2899" spans="1:19" x14ac:dyDescent="0.25">
      <c r="A2899">
        <v>2898</v>
      </c>
      <c r="B2899">
        <v>43</v>
      </c>
      <c r="C2899" t="s">
        <v>153</v>
      </c>
      <c r="D2899" t="s">
        <v>102</v>
      </c>
      <c r="E2899" t="s">
        <v>65</v>
      </c>
      <c r="F2899" s="1">
        <v>59</v>
      </c>
      <c r="G2899" t="s">
        <v>57</v>
      </c>
      <c r="H2899" t="s">
        <v>23</v>
      </c>
      <c r="I2899" t="s">
        <v>84</v>
      </c>
      <c r="J2899" t="s">
        <v>58</v>
      </c>
      <c r="K2899" s="2">
        <v>2.5</v>
      </c>
      <c r="L2899" t="s">
        <v>152</v>
      </c>
      <c r="M2899" t="s">
        <v>27</v>
      </c>
      <c r="N2899" t="s">
        <v>40</v>
      </c>
      <c r="O2899" t="s">
        <v>152</v>
      </c>
      <c r="P2899" t="s">
        <v>152</v>
      </c>
      <c r="Q2899" s="3">
        <v>2</v>
      </c>
      <c r="R2899" t="s">
        <v>35</v>
      </c>
      <c r="S2899" t="s">
        <v>30</v>
      </c>
    </row>
    <row r="2900" spans="1:19" x14ac:dyDescent="0.25">
      <c r="A2900">
        <v>2899</v>
      </c>
      <c r="B2900">
        <v>23</v>
      </c>
      <c r="C2900" t="s">
        <v>153</v>
      </c>
      <c r="D2900" t="s">
        <v>51</v>
      </c>
      <c r="E2900" t="s">
        <v>43</v>
      </c>
      <c r="F2900" s="1">
        <v>33</v>
      </c>
      <c r="G2900" t="s">
        <v>127</v>
      </c>
      <c r="H2900" t="s">
        <v>92</v>
      </c>
      <c r="I2900" t="s">
        <v>100</v>
      </c>
      <c r="J2900" t="s">
        <v>54</v>
      </c>
      <c r="K2900" s="2">
        <v>4.5999999999999996</v>
      </c>
      <c r="L2900" t="s">
        <v>152</v>
      </c>
      <c r="M2900" t="s">
        <v>27</v>
      </c>
      <c r="N2900" t="s">
        <v>28</v>
      </c>
      <c r="O2900" t="s">
        <v>152</v>
      </c>
      <c r="P2900" t="s">
        <v>152</v>
      </c>
      <c r="Q2900" s="3">
        <v>29</v>
      </c>
      <c r="R2900" t="s">
        <v>27</v>
      </c>
      <c r="S2900" t="s">
        <v>50</v>
      </c>
    </row>
    <row r="2901" spans="1:19" x14ac:dyDescent="0.25">
      <c r="A2901">
        <v>2900</v>
      </c>
      <c r="B2901">
        <v>50</v>
      </c>
      <c r="C2901" t="s">
        <v>153</v>
      </c>
      <c r="D2901" t="s">
        <v>137</v>
      </c>
      <c r="E2901" t="s">
        <v>43</v>
      </c>
      <c r="F2901" s="1">
        <v>64</v>
      </c>
      <c r="G2901" t="s">
        <v>145</v>
      </c>
      <c r="H2901" t="s">
        <v>45</v>
      </c>
      <c r="I2901" t="s">
        <v>81</v>
      </c>
      <c r="J2901" t="s">
        <v>39</v>
      </c>
      <c r="K2901" s="2">
        <v>4.2</v>
      </c>
      <c r="L2901" t="s">
        <v>152</v>
      </c>
      <c r="M2901" t="s">
        <v>46</v>
      </c>
      <c r="N2901" t="s">
        <v>72</v>
      </c>
      <c r="O2901" t="s">
        <v>152</v>
      </c>
      <c r="P2901" t="s">
        <v>152</v>
      </c>
      <c r="Q2901" s="3">
        <v>22</v>
      </c>
      <c r="R2901" t="s">
        <v>34</v>
      </c>
      <c r="S2901" t="s">
        <v>30</v>
      </c>
    </row>
    <row r="2902" spans="1:19" x14ac:dyDescent="0.25">
      <c r="A2902">
        <v>2901</v>
      </c>
      <c r="B2902">
        <v>41</v>
      </c>
      <c r="C2902" t="s">
        <v>153</v>
      </c>
      <c r="D2902" t="s">
        <v>20</v>
      </c>
      <c r="E2902" t="s">
        <v>21</v>
      </c>
      <c r="F2902" s="1">
        <v>67</v>
      </c>
      <c r="G2902" t="s">
        <v>128</v>
      </c>
      <c r="H2902" t="s">
        <v>92</v>
      </c>
      <c r="I2902" t="s">
        <v>84</v>
      </c>
      <c r="J2902" t="s">
        <v>25</v>
      </c>
      <c r="K2902" s="2">
        <v>4</v>
      </c>
      <c r="L2902" t="s">
        <v>152</v>
      </c>
      <c r="M2902" t="s">
        <v>34</v>
      </c>
      <c r="N2902" t="s">
        <v>55</v>
      </c>
      <c r="O2902" t="s">
        <v>152</v>
      </c>
      <c r="P2902" t="s">
        <v>152</v>
      </c>
      <c r="Q2902" s="3">
        <v>23</v>
      </c>
      <c r="R2902" t="s">
        <v>35</v>
      </c>
      <c r="S2902" t="s">
        <v>77</v>
      </c>
    </row>
    <row r="2903" spans="1:19" x14ac:dyDescent="0.25">
      <c r="A2903">
        <v>2902</v>
      </c>
      <c r="B2903">
        <v>41</v>
      </c>
      <c r="C2903" t="s">
        <v>153</v>
      </c>
      <c r="D2903" t="s">
        <v>20</v>
      </c>
      <c r="E2903" t="s">
        <v>21</v>
      </c>
      <c r="F2903" s="1">
        <v>43</v>
      </c>
      <c r="G2903" t="s">
        <v>90</v>
      </c>
      <c r="H2903" t="s">
        <v>23</v>
      </c>
      <c r="I2903" t="s">
        <v>79</v>
      </c>
      <c r="J2903" t="s">
        <v>25</v>
      </c>
      <c r="K2903" s="2">
        <v>2.6</v>
      </c>
      <c r="L2903" t="s">
        <v>152</v>
      </c>
      <c r="M2903" t="s">
        <v>27</v>
      </c>
      <c r="N2903" t="s">
        <v>40</v>
      </c>
      <c r="O2903" t="s">
        <v>152</v>
      </c>
      <c r="P2903" t="s">
        <v>152</v>
      </c>
      <c r="Q2903" s="3">
        <v>46</v>
      </c>
      <c r="R2903" t="s">
        <v>27</v>
      </c>
      <c r="S2903" t="s">
        <v>60</v>
      </c>
    </row>
    <row r="2904" spans="1:19" x14ac:dyDescent="0.25">
      <c r="A2904">
        <v>2903</v>
      </c>
      <c r="B2904">
        <v>27</v>
      </c>
      <c r="C2904" t="s">
        <v>153</v>
      </c>
      <c r="D2904" t="s">
        <v>137</v>
      </c>
      <c r="E2904" t="s">
        <v>43</v>
      </c>
      <c r="F2904" s="1">
        <v>32</v>
      </c>
      <c r="G2904" t="s">
        <v>98</v>
      </c>
      <c r="H2904" t="s">
        <v>38</v>
      </c>
      <c r="I2904" t="s">
        <v>121</v>
      </c>
      <c r="J2904" t="s">
        <v>39</v>
      </c>
      <c r="K2904" s="2">
        <v>4.5999999999999996</v>
      </c>
      <c r="L2904" t="s">
        <v>152</v>
      </c>
      <c r="M2904" t="s">
        <v>59</v>
      </c>
      <c r="N2904" t="s">
        <v>55</v>
      </c>
      <c r="O2904" t="s">
        <v>152</v>
      </c>
      <c r="P2904" t="s">
        <v>152</v>
      </c>
      <c r="Q2904" s="3">
        <v>19</v>
      </c>
      <c r="R2904" t="s">
        <v>46</v>
      </c>
      <c r="S2904" t="s">
        <v>77</v>
      </c>
    </row>
    <row r="2905" spans="1:19" x14ac:dyDescent="0.25">
      <c r="A2905">
        <v>2904</v>
      </c>
      <c r="B2905">
        <v>38</v>
      </c>
      <c r="C2905" t="s">
        <v>153</v>
      </c>
      <c r="D2905" t="s">
        <v>119</v>
      </c>
      <c r="E2905" t="s">
        <v>69</v>
      </c>
      <c r="F2905" s="1">
        <v>39</v>
      </c>
      <c r="G2905" t="s">
        <v>80</v>
      </c>
      <c r="H2905" t="s">
        <v>38</v>
      </c>
      <c r="I2905" t="s">
        <v>86</v>
      </c>
      <c r="J2905" t="s">
        <v>39</v>
      </c>
      <c r="K2905" s="2">
        <v>3.5</v>
      </c>
      <c r="L2905" t="s">
        <v>152</v>
      </c>
      <c r="M2905" t="s">
        <v>29</v>
      </c>
      <c r="N2905" t="s">
        <v>72</v>
      </c>
      <c r="O2905" t="s">
        <v>152</v>
      </c>
      <c r="P2905" t="s">
        <v>152</v>
      </c>
      <c r="Q2905" s="3">
        <v>24</v>
      </c>
      <c r="R2905" t="s">
        <v>27</v>
      </c>
      <c r="S2905" t="s">
        <v>97</v>
      </c>
    </row>
    <row r="2906" spans="1:19" x14ac:dyDescent="0.25">
      <c r="A2906">
        <v>2905</v>
      </c>
      <c r="B2906">
        <v>41</v>
      </c>
      <c r="C2906" t="s">
        <v>153</v>
      </c>
      <c r="D2906" t="s">
        <v>42</v>
      </c>
      <c r="E2906" t="s">
        <v>43</v>
      </c>
      <c r="F2906" s="1">
        <v>41</v>
      </c>
      <c r="G2906" t="s">
        <v>146</v>
      </c>
      <c r="H2906" t="s">
        <v>45</v>
      </c>
      <c r="I2906" t="s">
        <v>24</v>
      </c>
      <c r="J2906" t="s">
        <v>39</v>
      </c>
      <c r="K2906" s="2">
        <v>4</v>
      </c>
      <c r="L2906" t="s">
        <v>152</v>
      </c>
      <c r="M2906" t="s">
        <v>34</v>
      </c>
      <c r="N2906" t="s">
        <v>72</v>
      </c>
      <c r="O2906" t="s">
        <v>152</v>
      </c>
      <c r="P2906" t="s">
        <v>152</v>
      </c>
      <c r="Q2906" s="3">
        <v>43</v>
      </c>
      <c r="R2906" t="s">
        <v>29</v>
      </c>
      <c r="S2906" t="s">
        <v>88</v>
      </c>
    </row>
    <row r="2907" spans="1:19" x14ac:dyDescent="0.25">
      <c r="A2907">
        <v>2906</v>
      </c>
      <c r="B2907">
        <v>58</v>
      </c>
      <c r="C2907" t="s">
        <v>153</v>
      </c>
      <c r="D2907" t="s">
        <v>89</v>
      </c>
      <c r="E2907" t="s">
        <v>69</v>
      </c>
      <c r="F2907" s="1">
        <v>53</v>
      </c>
      <c r="G2907" t="s">
        <v>85</v>
      </c>
      <c r="H2907" t="s">
        <v>23</v>
      </c>
      <c r="I2907" t="s">
        <v>94</v>
      </c>
      <c r="J2907" t="s">
        <v>25</v>
      </c>
      <c r="K2907" s="2">
        <v>4.8</v>
      </c>
      <c r="L2907" t="s">
        <v>152</v>
      </c>
      <c r="M2907" t="s">
        <v>46</v>
      </c>
      <c r="N2907" t="s">
        <v>55</v>
      </c>
      <c r="O2907" t="s">
        <v>152</v>
      </c>
      <c r="P2907" t="s">
        <v>152</v>
      </c>
      <c r="Q2907" s="3">
        <v>14</v>
      </c>
      <c r="R2907" t="s">
        <v>59</v>
      </c>
      <c r="S2907" t="s">
        <v>30</v>
      </c>
    </row>
    <row r="2908" spans="1:19" x14ac:dyDescent="0.25">
      <c r="A2908">
        <v>2907</v>
      </c>
      <c r="B2908">
        <v>58</v>
      </c>
      <c r="C2908" t="s">
        <v>153</v>
      </c>
      <c r="D2908" t="s">
        <v>64</v>
      </c>
      <c r="E2908" t="s">
        <v>65</v>
      </c>
      <c r="F2908" s="1">
        <v>27</v>
      </c>
      <c r="G2908" t="s">
        <v>141</v>
      </c>
      <c r="H2908" t="s">
        <v>45</v>
      </c>
      <c r="I2908" t="s">
        <v>126</v>
      </c>
      <c r="J2908" t="s">
        <v>39</v>
      </c>
      <c r="K2908" s="2">
        <v>3.9</v>
      </c>
      <c r="L2908" t="s">
        <v>152</v>
      </c>
      <c r="M2908" t="s">
        <v>46</v>
      </c>
      <c r="N2908" t="s">
        <v>55</v>
      </c>
      <c r="O2908" t="s">
        <v>152</v>
      </c>
      <c r="P2908" t="s">
        <v>152</v>
      </c>
      <c r="Q2908" s="3">
        <v>7</v>
      </c>
      <c r="R2908" t="s">
        <v>29</v>
      </c>
      <c r="S2908" t="s">
        <v>50</v>
      </c>
    </row>
    <row r="2909" spans="1:19" x14ac:dyDescent="0.25">
      <c r="A2909">
        <v>2908</v>
      </c>
      <c r="B2909">
        <v>19</v>
      </c>
      <c r="C2909" t="s">
        <v>153</v>
      </c>
      <c r="D2909" t="s">
        <v>89</v>
      </c>
      <c r="E2909" t="s">
        <v>69</v>
      </c>
      <c r="F2909" s="1">
        <v>82</v>
      </c>
      <c r="G2909" t="s">
        <v>128</v>
      </c>
      <c r="H2909" t="s">
        <v>92</v>
      </c>
      <c r="I2909" t="s">
        <v>93</v>
      </c>
      <c r="J2909" t="s">
        <v>54</v>
      </c>
      <c r="K2909" s="2">
        <v>3.7</v>
      </c>
      <c r="L2909" t="s">
        <v>152</v>
      </c>
      <c r="M2909" t="s">
        <v>35</v>
      </c>
      <c r="N2909" t="s">
        <v>47</v>
      </c>
      <c r="O2909" t="s">
        <v>152</v>
      </c>
      <c r="P2909" t="s">
        <v>152</v>
      </c>
      <c r="Q2909" s="3">
        <v>50</v>
      </c>
      <c r="R2909" t="s">
        <v>46</v>
      </c>
      <c r="S2909" t="s">
        <v>77</v>
      </c>
    </row>
    <row r="2910" spans="1:19" x14ac:dyDescent="0.25">
      <c r="A2910">
        <v>2909</v>
      </c>
      <c r="B2910">
        <v>43</v>
      </c>
      <c r="C2910" t="s">
        <v>153</v>
      </c>
      <c r="D2910" t="s">
        <v>20</v>
      </c>
      <c r="E2910" t="s">
        <v>21</v>
      </c>
      <c r="F2910" s="1">
        <v>87</v>
      </c>
      <c r="G2910" t="s">
        <v>105</v>
      </c>
      <c r="H2910" t="s">
        <v>45</v>
      </c>
      <c r="I2910" t="s">
        <v>118</v>
      </c>
      <c r="J2910" t="s">
        <v>25</v>
      </c>
      <c r="K2910" s="2">
        <v>3.1</v>
      </c>
      <c r="L2910" t="s">
        <v>152</v>
      </c>
      <c r="M2910" t="s">
        <v>59</v>
      </c>
      <c r="N2910" t="s">
        <v>76</v>
      </c>
      <c r="O2910" t="s">
        <v>152</v>
      </c>
      <c r="P2910" t="s">
        <v>152</v>
      </c>
      <c r="Q2910" s="3">
        <v>15</v>
      </c>
      <c r="R2910" t="s">
        <v>59</v>
      </c>
      <c r="S2910" t="s">
        <v>97</v>
      </c>
    </row>
    <row r="2911" spans="1:19" x14ac:dyDescent="0.25">
      <c r="A2911">
        <v>2910</v>
      </c>
      <c r="B2911">
        <v>27</v>
      </c>
      <c r="C2911" t="s">
        <v>153</v>
      </c>
      <c r="D2911" t="s">
        <v>132</v>
      </c>
      <c r="E2911" t="s">
        <v>69</v>
      </c>
      <c r="F2911" s="1">
        <v>78</v>
      </c>
      <c r="G2911" t="s">
        <v>62</v>
      </c>
      <c r="H2911" t="s">
        <v>45</v>
      </c>
      <c r="I2911" t="s">
        <v>126</v>
      </c>
      <c r="J2911" t="s">
        <v>25</v>
      </c>
      <c r="K2911" s="2">
        <v>3</v>
      </c>
      <c r="L2911" t="s">
        <v>152</v>
      </c>
      <c r="M2911" t="s">
        <v>34</v>
      </c>
      <c r="N2911" t="s">
        <v>47</v>
      </c>
      <c r="O2911" t="s">
        <v>152</v>
      </c>
      <c r="P2911" t="s">
        <v>152</v>
      </c>
      <c r="Q2911" s="3">
        <v>40</v>
      </c>
      <c r="R2911" t="s">
        <v>27</v>
      </c>
      <c r="S2911" t="s">
        <v>97</v>
      </c>
    </row>
    <row r="2912" spans="1:19" x14ac:dyDescent="0.25">
      <c r="A2912">
        <v>2911</v>
      </c>
      <c r="B2912">
        <v>32</v>
      </c>
      <c r="C2912" t="s">
        <v>153</v>
      </c>
      <c r="D2912" t="s">
        <v>133</v>
      </c>
      <c r="E2912" t="s">
        <v>69</v>
      </c>
      <c r="F2912" s="1">
        <v>32</v>
      </c>
      <c r="G2912" t="s">
        <v>91</v>
      </c>
      <c r="H2912" t="s">
        <v>45</v>
      </c>
      <c r="I2912" t="s">
        <v>144</v>
      </c>
      <c r="J2912" t="s">
        <v>54</v>
      </c>
      <c r="K2912" s="2">
        <v>2.9</v>
      </c>
      <c r="L2912" t="s">
        <v>152</v>
      </c>
      <c r="M2912" t="s">
        <v>34</v>
      </c>
      <c r="N2912" t="s">
        <v>76</v>
      </c>
      <c r="O2912" t="s">
        <v>152</v>
      </c>
      <c r="P2912" t="s">
        <v>152</v>
      </c>
      <c r="Q2912" s="3">
        <v>41</v>
      </c>
      <c r="R2912" t="s">
        <v>27</v>
      </c>
      <c r="S2912" t="s">
        <v>88</v>
      </c>
    </row>
    <row r="2913" spans="1:19" x14ac:dyDescent="0.25">
      <c r="A2913">
        <v>2912</v>
      </c>
      <c r="B2913">
        <v>28</v>
      </c>
      <c r="C2913" t="s">
        <v>153</v>
      </c>
      <c r="D2913" t="s">
        <v>125</v>
      </c>
      <c r="E2913" t="s">
        <v>21</v>
      </c>
      <c r="F2913" s="1">
        <v>38</v>
      </c>
      <c r="G2913" t="s">
        <v>123</v>
      </c>
      <c r="H2913" t="s">
        <v>92</v>
      </c>
      <c r="I2913" t="s">
        <v>121</v>
      </c>
      <c r="J2913" t="s">
        <v>58</v>
      </c>
      <c r="K2913" s="2">
        <v>2.9</v>
      </c>
      <c r="L2913" t="s">
        <v>152</v>
      </c>
      <c r="M2913" t="s">
        <v>59</v>
      </c>
      <c r="N2913" t="s">
        <v>47</v>
      </c>
      <c r="O2913" t="s">
        <v>152</v>
      </c>
      <c r="P2913" t="s">
        <v>152</v>
      </c>
      <c r="Q2913" s="3">
        <v>34</v>
      </c>
      <c r="R2913" t="s">
        <v>29</v>
      </c>
      <c r="S2913" t="s">
        <v>60</v>
      </c>
    </row>
    <row r="2914" spans="1:19" x14ac:dyDescent="0.25">
      <c r="A2914">
        <v>2913</v>
      </c>
      <c r="B2914">
        <v>48</v>
      </c>
      <c r="C2914" t="s">
        <v>153</v>
      </c>
      <c r="D2914" t="s">
        <v>73</v>
      </c>
      <c r="E2914" t="s">
        <v>43</v>
      </c>
      <c r="F2914" s="1">
        <v>37</v>
      </c>
      <c r="G2914" t="s">
        <v>48</v>
      </c>
      <c r="H2914" t="s">
        <v>45</v>
      </c>
      <c r="I2914" t="s">
        <v>134</v>
      </c>
      <c r="J2914" t="s">
        <v>25</v>
      </c>
      <c r="K2914" s="2">
        <v>4</v>
      </c>
      <c r="L2914" t="s">
        <v>152</v>
      </c>
      <c r="M2914" t="s">
        <v>35</v>
      </c>
      <c r="N2914" t="s">
        <v>55</v>
      </c>
      <c r="O2914" t="s">
        <v>152</v>
      </c>
      <c r="P2914" t="s">
        <v>152</v>
      </c>
      <c r="Q2914" s="3">
        <v>27</v>
      </c>
      <c r="R2914" t="s">
        <v>35</v>
      </c>
      <c r="S2914" t="s">
        <v>77</v>
      </c>
    </row>
    <row r="2915" spans="1:19" x14ac:dyDescent="0.25">
      <c r="A2915">
        <v>2914</v>
      </c>
      <c r="B2915">
        <v>43</v>
      </c>
      <c r="C2915" t="s">
        <v>153</v>
      </c>
      <c r="D2915" t="s">
        <v>64</v>
      </c>
      <c r="E2915" t="s">
        <v>65</v>
      </c>
      <c r="F2915" s="1">
        <v>83</v>
      </c>
      <c r="G2915" t="s">
        <v>52</v>
      </c>
      <c r="H2915" t="s">
        <v>23</v>
      </c>
      <c r="I2915" t="s">
        <v>109</v>
      </c>
      <c r="J2915" t="s">
        <v>25</v>
      </c>
      <c r="K2915" s="2">
        <v>3.5</v>
      </c>
      <c r="L2915" t="s">
        <v>152</v>
      </c>
      <c r="M2915" t="s">
        <v>59</v>
      </c>
      <c r="N2915" t="s">
        <v>28</v>
      </c>
      <c r="O2915" t="s">
        <v>152</v>
      </c>
      <c r="P2915" t="s">
        <v>152</v>
      </c>
      <c r="Q2915" s="3">
        <v>12</v>
      </c>
      <c r="R2915" t="s">
        <v>35</v>
      </c>
      <c r="S2915" t="s">
        <v>97</v>
      </c>
    </row>
    <row r="2916" spans="1:19" x14ac:dyDescent="0.25">
      <c r="A2916">
        <v>2915</v>
      </c>
      <c r="B2916">
        <v>45</v>
      </c>
      <c r="C2916" t="s">
        <v>153</v>
      </c>
      <c r="D2916" t="s">
        <v>31</v>
      </c>
      <c r="E2916" t="s">
        <v>21</v>
      </c>
      <c r="F2916" s="1">
        <v>72</v>
      </c>
      <c r="G2916" t="s">
        <v>138</v>
      </c>
      <c r="H2916" t="s">
        <v>45</v>
      </c>
      <c r="I2916" t="s">
        <v>134</v>
      </c>
      <c r="J2916" t="s">
        <v>58</v>
      </c>
      <c r="K2916" s="2">
        <v>3.8</v>
      </c>
      <c r="L2916" t="s">
        <v>152</v>
      </c>
      <c r="M2916" t="s">
        <v>46</v>
      </c>
      <c r="N2916" t="s">
        <v>28</v>
      </c>
      <c r="O2916" t="s">
        <v>152</v>
      </c>
      <c r="P2916" t="s">
        <v>152</v>
      </c>
      <c r="Q2916" s="3">
        <v>1</v>
      </c>
      <c r="R2916" t="s">
        <v>59</v>
      </c>
      <c r="S2916" t="s">
        <v>77</v>
      </c>
    </row>
    <row r="2917" spans="1:19" x14ac:dyDescent="0.25">
      <c r="A2917">
        <v>2916</v>
      </c>
      <c r="B2917">
        <v>26</v>
      </c>
      <c r="C2917" t="s">
        <v>153</v>
      </c>
      <c r="D2917" t="s">
        <v>56</v>
      </c>
      <c r="E2917" t="s">
        <v>21</v>
      </c>
      <c r="F2917" s="1">
        <v>30</v>
      </c>
      <c r="G2917" t="s">
        <v>48</v>
      </c>
      <c r="H2917" t="s">
        <v>45</v>
      </c>
      <c r="I2917" t="s">
        <v>109</v>
      </c>
      <c r="J2917" t="s">
        <v>58</v>
      </c>
      <c r="K2917" s="2">
        <v>4.5</v>
      </c>
      <c r="L2917" t="s">
        <v>152</v>
      </c>
      <c r="M2917" t="s">
        <v>27</v>
      </c>
      <c r="N2917" t="s">
        <v>28</v>
      </c>
      <c r="O2917" t="s">
        <v>152</v>
      </c>
      <c r="P2917" t="s">
        <v>152</v>
      </c>
      <c r="Q2917" s="3">
        <v>39</v>
      </c>
      <c r="R2917" t="s">
        <v>59</v>
      </c>
      <c r="S2917" t="s">
        <v>77</v>
      </c>
    </row>
    <row r="2918" spans="1:19" x14ac:dyDescent="0.25">
      <c r="A2918">
        <v>2917</v>
      </c>
      <c r="B2918">
        <v>62</v>
      </c>
      <c r="C2918" t="s">
        <v>153</v>
      </c>
      <c r="D2918" t="s">
        <v>61</v>
      </c>
      <c r="E2918" t="s">
        <v>21</v>
      </c>
      <c r="F2918" s="1">
        <v>66</v>
      </c>
      <c r="G2918" t="s">
        <v>101</v>
      </c>
      <c r="H2918" t="s">
        <v>45</v>
      </c>
      <c r="I2918" t="s">
        <v>96</v>
      </c>
      <c r="J2918" t="s">
        <v>25</v>
      </c>
      <c r="K2918" s="2">
        <v>2.7</v>
      </c>
      <c r="L2918" t="s">
        <v>152</v>
      </c>
      <c r="M2918" t="s">
        <v>27</v>
      </c>
      <c r="N2918" t="s">
        <v>28</v>
      </c>
      <c r="O2918" t="s">
        <v>152</v>
      </c>
      <c r="P2918" t="s">
        <v>152</v>
      </c>
      <c r="Q2918" s="3">
        <v>13</v>
      </c>
      <c r="R2918" t="s">
        <v>27</v>
      </c>
      <c r="S2918" t="s">
        <v>77</v>
      </c>
    </row>
    <row r="2919" spans="1:19" x14ac:dyDescent="0.25">
      <c r="A2919">
        <v>2918</v>
      </c>
      <c r="B2919">
        <v>58</v>
      </c>
      <c r="C2919" t="s">
        <v>153</v>
      </c>
      <c r="D2919" t="s">
        <v>56</v>
      </c>
      <c r="E2919" t="s">
        <v>21</v>
      </c>
      <c r="F2919" s="1">
        <v>45</v>
      </c>
      <c r="G2919" t="s">
        <v>112</v>
      </c>
      <c r="H2919" t="s">
        <v>92</v>
      </c>
      <c r="I2919" t="s">
        <v>53</v>
      </c>
      <c r="J2919" t="s">
        <v>25</v>
      </c>
      <c r="K2919" s="2">
        <v>2.9</v>
      </c>
      <c r="L2919" t="s">
        <v>152</v>
      </c>
      <c r="M2919" t="s">
        <v>35</v>
      </c>
      <c r="N2919" t="s">
        <v>76</v>
      </c>
      <c r="O2919" t="s">
        <v>152</v>
      </c>
      <c r="P2919" t="s">
        <v>152</v>
      </c>
      <c r="Q2919" s="3">
        <v>50</v>
      </c>
      <c r="R2919" t="s">
        <v>29</v>
      </c>
      <c r="S2919" t="s">
        <v>50</v>
      </c>
    </row>
    <row r="2920" spans="1:19" x14ac:dyDescent="0.25">
      <c r="A2920">
        <v>2919</v>
      </c>
      <c r="B2920">
        <v>19</v>
      </c>
      <c r="C2920" t="s">
        <v>153</v>
      </c>
      <c r="D2920" t="s">
        <v>89</v>
      </c>
      <c r="E2920" t="s">
        <v>69</v>
      </c>
      <c r="F2920" s="1">
        <v>73</v>
      </c>
      <c r="G2920" t="s">
        <v>85</v>
      </c>
      <c r="H2920" t="s">
        <v>38</v>
      </c>
      <c r="I2920" t="s">
        <v>94</v>
      </c>
      <c r="J2920" t="s">
        <v>58</v>
      </c>
      <c r="K2920" s="2">
        <v>4.9000000000000004</v>
      </c>
      <c r="L2920" t="s">
        <v>152</v>
      </c>
      <c r="M2920" t="s">
        <v>27</v>
      </c>
      <c r="N2920" t="s">
        <v>40</v>
      </c>
      <c r="O2920" t="s">
        <v>152</v>
      </c>
      <c r="P2920" t="s">
        <v>152</v>
      </c>
      <c r="Q2920" s="3">
        <v>36</v>
      </c>
      <c r="R2920" t="s">
        <v>35</v>
      </c>
      <c r="S2920" t="s">
        <v>41</v>
      </c>
    </row>
    <row r="2921" spans="1:19" x14ac:dyDescent="0.25">
      <c r="A2921">
        <v>2920</v>
      </c>
      <c r="B2921">
        <v>64</v>
      </c>
      <c r="C2921" t="s">
        <v>153</v>
      </c>
      <c r="D2921" t="s">
        <v>73</v>
      </c>
      <c r="E2921" t="s">
        <v>43</v>
      </c>
      <c r="F2921" s="1">
        <v>67</v>
      </c>
      <c r="G2921" t="s">
        <v>148</v>
      </c>
      <c r="H2921" t="s">
        <v>23</v>
      </c>
      <c r="I2921" t="s">
        <v>63</v>
      </c>
      <c r="J2921" t="s">
        <v>25</v>
      </c>
      <c r="K2921" s="2">
        <v>3.8</v>
      </c>
      <c r="L2921" t="s">
        <v>152</v>
      </c>
      <c r="M2921" t="s">
        <v>34</v>
      </c>
      <c r="N2921" t="s">
        <v>55</v>
      </c>
      <c r="O2921" t="s">
        <v>152</v>
      </c>
      <c r="P2921" t="s">
        <v>152</v>
      </c>
      <c r="Q2921" s="3">
        <v>31</v>
      </c>
      <c r="R2921" t="s">
        <v>59</v>
      </c>
      <c r="S2921" t="s">
        <v>88</v>
      </c>
    </row>
    <row r="2922" spans="1:19" x14ac:dyDescent="0.25">
      <c r="A2922">
        <v>2921</v>
      </c>
      <c r="B2922">
        <v>33</v>
      </c>
      <c r="C2922" t="s">
        <v>153</v>
      </c>
      <c r="D2922" t="s">
        <v>89</v>
      </c>
      <c r="E2922" t="s">
        <v>69</v>
      </c>
      <c r="F2922" s="1">
        <v>72</v>
      </c>
      <c r="G2922" t="s">
        <v>105</v>
      </c>
      <c r="H2922" t="s">
        <v>92</v>
      </c>
      <c r="I2922" t="s">
        <v>110</v>
      </c>
      <c r="J2922" t="s">
        <v>39</v>
      </c>
      <c r="K2922" s="2">
        <v>4.9000000000000004</v>
      </c>
      <c r="L2922" t="s">
        <v>152</v>
      </c>
      <c r="M2922" t="s">
        <v>29</v>
      </c>
      <c r="N2922" t="s">
        <v>40</v>
      </c>
      <c r="O2922" t="s">
        <v>152</v>
      </c>
      <c r="P2922" t="s">
        <v>152</v>
      </c>
      <c r="Q2922" s="3">
        <v>3</v>
      </c>
      <c r="R2922" t="s">
        <v>59</v>
      </c>
      <c r="S2922" t="s">
        <v>77</v>
      </c>
    </row>
    <row r="2923" spans="1:19" x14ac:dyDescent="0.25">
      <c r="A2923">
        <v>2922</v>
      </c>
      <c r="B2923">
        <v>20</v>
      </c>
      <c r="C2923" t="s">
        <v>153</v>
      </c>
      <c r="D2923" t="s">
        <v>68</v>
      </c>
      <c r="E2923" t="s">
        <v>69</v>
      </c>
      <c r="F2923" s="1">
        <v>24</v>
      </c>
      <c r="G2923" t="s">
        <v>150</v>
      </c>
      <c r="H2923" t="s">
        <v>45</v>
      </c>
      <c r="I2923" t="s">
        <v>109</v>
      </c>
      <c r="J2923" t="s">
        <v>58</v>
      </c>
      <c r="K2923" s="2">
        <v>4.5999999999999996</v>
      </c>
      <c r="L2923" t="s">
        <v>152</v>
      </c>
      <c r="M2923" t="s">
        <v>29</v>
      </c>
      <c r="N2923" t="s">
        <v>55</v>
      </c>
      <c r="O2923" t="s">
        <v>152</v>
      </c>
      <c r="P2923" t="s">
        <v>152</v>
      </c>
      <c r="Q2923" s="3">
        <v>11</v>
      </c>
      <c r="R2923" t="s">
        <v>35</v>
      </c>
      <c r="S2923" t="s">
        <v>30</v>
      </c>
    </row>
    <row r="2924" spans="1:19" x14ac:dyDescent="0.25">
      <c r="A2924">
        <v>2923</v>
      </c>
      <c r="B2924">
        <v>45</v>
      </c>
      <c r="C2924" t="s">
        <v>153</v>
      </c>
      <c r="D2924" t="s">
        <v>89</v>
      </c>
      <c r="E2924" t="s">
        <v>69</v>
      </c>
      <c r="F2924" s="1">
        <v>68</v>
      </c>
      <c r="G2924" t="s">
        <v>22</v>
      </c>
      <c r="H2924" t="s">
        <v>23</v>
      </c>
      <c r="I2924" t="s">
        <v>118</v>
      </c>
      <c r="J2924" t="s">
        <v>25</v>
      </c>
      <c r="K2924" s="2">
        <v>3.5</v>
      </c>
      <c r="L2924" t="s">
        <v>152</v>
      </c>
      <c r="M2924" t="s">
        <v>29</v>
      </c>
      <c r="N2924" t="s">
        <v>28</v>
      </c>
      <c r="O2924" t="s">
        <v>152</v>
      </c>
      <c r="P2924" t="s">
        <v>152</v>
      </c>
      <c r="Q2924" s="3">
        <v>16</v>
      </c>
      <c r="R2924" t="s">
        <v>46</v>
      </c>
      <c r="S2924" t="s">
        <v>60</v>
      </c>
    </row>
    <row r="2925" spans="1:19" x14ac:dyDescent="0.25">
      <c r="A2925">
        <v>2924</v>
      </c>
      <c r="B2925">
        <v>28</v>
      </c>
      <c r="C2925" t="s">
        <v>153</v>
      </c>
      <c r="D2925" t="s">
        <v>56</v>
      </c>
      <c r="E2925" t="s">
        <v>21</v>
      </c>
      <c r="F2925" s="1">
        <v>70</v>
      </c>
      <c r="G2925" t="s">
        <v>138</v>
      </c>
      <c r="H2925" t="s">
        <v>45</v>
      </c>
      <c r="I2925" t="s">
        <v>136</v>
      </c>
      <c r="J2925" t="s">
        <v>39</v>
      </c>
      <c r="K2925" s="2">
        <v>4.2</v>
      </c>
      <c r="L2925" t="s">
        <v>152</v>
      </c>
      <c r="M2925" t="s">
        <v>34</v>
      </c>
      <c r="N2925" t="s">
        <v>72</v>
      </c>
      <c r="O2925" t="s">
        <v>152</v>
      </c>
      <c r="P2925" t="s">
        <v>152</v>
      </c>
      <c r="Q2925" s="3">
        <v>12</v>
      </c>
      <c r="R2925" t="s">
        <v>35</v>
      </c>
      <c r="S2925" t="s">
        <v>60</v>
      </c>
    </row>
    <row r="2926" spans="1:19" x14ac:dyDescent="0.25">
      <c r="A2926">
        <v>2925</v>
      </c>
      <c r="B2926">
        <v>47</v>
      </c>
      <c r="C2926" t="s">
        <v>153</v>
      </c>
      <c r="D2926" t="s">
        <v>56</v>
      </c>
      <c r="E2926" t="s">
        <v>21</v>
      </c>
      <c r="F2926" s="1">
        <v>64</v>
      </c>
      <c r="G2926" t="s">
        <v>44</v>
      </c>
      <c r="H2926" t="s">
        <v>23</v>
      </c>
      <c r="I2926" t="s">
        <v>126</v>
      </c>
      <c r="J2926" t="s">
        <v>25</v>
      </c>
      <c r="K2926" s="2">
        <v>3.7</v>
      </c>
      <c r="L2926" t="s">
        <v>152</v>
      </c>
      <c r="M2926" t="s">
        <v>34</v>
      </c>
      <c r="N2926" t="s">
        <v>40</v>
      </c>
      <c r="O2926" t="s">
        <v>152</v>
      </c>
      <c r="P2926" t="s">
        <v>152</v>
      </c>
      <c r="Q2926" s="3">
        <v>37</v>
      </c>
      <c r="R2926" t="s">
        <v>59</v>
      </c>
      <c r="S2926" t="s">
        <v>97</v>
      </c>
    </row>
    <row r="2927" spans="1:19" x14ac:dyDescent="0.25">
      <c r="A2927">
        <v>2926</v>
      </c>
      <c r="B2927">
        <v>54</v>
      </c>
      <c r="C2927" t="s">
        <v>153</v>
      </c>
      <c r="D2927" t="s">
        <v>31</v>
      </c>
      <c r="E2927" t="s">
        <v>21</v>
      </c>
      <c r="F2927" s="1">
        <v>91</v>
      </c>
      <c r="G2927" t="s">
        <v>115</v>
      </c>
      <c r="H2927" t="s">
        <v>45</v>
      </c>
      <c r="I2927" t="s">
        <v>33</v>
      </c>
      <c r="J2927" t="s">
        <v>39</v>
      </c>
      <c r="K2927" s="2">
        <v>2.8</v>
      </c>
      <c r="L2927" t="s">
        <v>152</v>
      </c>
      <c r="M2927" t="s">
        <v>35</v>
      </c>
      <c r="N2927" t="s">
        <v>76</v>
      </c>
      <c r="O2927" t="s">
        <v>152</v>
      </c>
      <c r="P2927" t="s">
        <v>152</v>
      </c>
      <c r="Q2927" s="3">
        <v>43</v>
      </c>
      <c r="R2927" t="s">
        <v>27</v>
      </c>
      <c r="S2927" t="s">
        <v>97</v>
      </c>
    </row>
    <row r="2928" spans="1:19" x14ac:dyDescent="0.25">
      <c r="A2928">
        <v>2927</v>
      </c>
      <c r="B2928">
        <v>64</v>
      </c>
      <c r="C2928" t="s">
        <v>153</v>
      </c>
      <c r="D2928" t="s">
        <v>68</v>
      </c>
      <c r="E2928" t="s">
        <v>69</v>
      </c>
      <c r="F2928" s="1">
        <v>82</v>
      </c>
      <c r="G2928" t="s">
        <v>128</v>
      </c>
      <c r="H2928" t="s">
        <v>45</v>
      </c>
      <c r="I2928" t="s">
        <v>24</v>
      </c>
      <c r="J2928" t="s">
        <v>25</v>
      </c>
      <c r="K2928" s="2">
        <v>4.8</v>
      </c>
      <c r="L2928" t="s">
        <v>152</v>
      </c>
      <c r="M2928" t="s">
        <v>59</v>
      </c>
      <c r="N2928" t="s">
        <v>72</v>
      </c>
      <c r="O2928" t="s">
        <v>152</v>
      </c>
      <c r="P2928" t="s">
        <v>152</v>
      </c>
      <c r="Q2928" s="3">
        <v>9</v>
      </c>
      <c r="R2928" t="s">
        <v>35</v>
      </c>
      <c r="S2928" t="s">
        <v>41</v>
      </c>
    </row>
    <row r="2929" spans="1:19" x14ac:dyDescent="0.25">
      <c r="A2929">
        <v>2928</v>
      </c>
      <c r="B2929">
        <v>45</v>
      </c>
      <c r="C2929" t="s">
        <v>153</v>
      </c>
      <c r="D2929" t="s">
        <v>56</v>
      </c>
      <c r="E2929" t="s">
        <v>21</v>
      </c>
      <c r="F2929" s="1">
        <v>24</v>
      </c>
      <c r="G2929" t="s">
        <v>70</v>
      </c>
      <c r="H2929" t="s">
        <v>45</v>
      </c>
      <c r="I2929" t="s">
        <v>94</v>
      </c>
      <c r="J2929" t="s">
        <v>54</v>
      </c>
      <c r="K2929" s="2">
        <v>2.7</v>
      </c>
      <c r="L2929" t="s">
        <v>152</v>
      </c>
      <c r="M2929" t="s">
        <v>59</v>
      </c>
      <c r="N2929" t="s">
        <v>28</v>
      </c>
      <c r="O2929" t="s">
        <v>152</v>
      </c>
      <c r="P2929" t="s">
        <v>152</v>
      </c>
      <c r="Q2929" s="3">
        <v>15</v>
      </c>
      <c r="R2929" t="s">
        <v>29</v>
      </c>
      <c r="S2929" t="s">
        <v>77</v>
      </c>
    </row>
    <row r="2930" spans="1:19" x14ac:dyDescent="0.25">
      <c r="A2930">
        <v>2929</v>
      </c>
      <c r="B2930">
        <v>40</v>
      </c>
      <c r="C2930" t="s">
        <v>153</v>
      </c>
      <c r="D2930" t="s">
        <v>106</v>
      </c>
      <c r="E2930" t="s">
        <v>69</v>
      </c>
      <c r="F2930" s="1">
        <v>80</v>
      </c>
      <c r="G2930" t="s">
        <v>90</v>
      </c>
      <c r="H2930" t="s">
        <v>23</v>
      </c>
      <c r="I2930" t="s">
        <v>134</v>
      </c>
      <c r="J2930" t="s">
        <v>39</v>
      </c>
      <c r="K2930" s="2">
        <v>3.6</v>
      </c>
      <c r="L2930" t="s">
        <v>152</v>
      </c>
      <c r="M2930" t="s">
        <v>29</v>
      </c>
      <c r="N2930" t="s">
        <v>76</v>
      </c>
      <c r="O2930" t="s">
        <v>152</v>
      </c>
      <c r="P2930" t="s">
        <v>152</v>
      </c>
      <c r="Q2930" s="3">
        <v>17</v>
      </c>
      <c r="R2930" t="s">
        <v>27</v>
      </c>
      <c r="S2930" t="s">
        <v>41</v>
      </c>
    </row>
    <row r="2931" spans="1:19" x14ac:dyDescent="0.25">
      <c r="A2931">
        <v>2930</v>
      </c>
      <c r="B2931">
        <v>31</v>
      </c>
      <c r="C2931" t="s">
        <v>153</v>
      </c>
      <c r="D2931" t="s">
        <v>125</v>
      </c>
      <c r="E2931" t="s">
        <v>21</v>
      </c>
      <c r="F2931" s="1">
        <v>53</v>
      </c>
      <c r="G2931" t="s">
        <v>32</v>
      </c>
      <c r="H2931" t="s">
        <v>92</v>
      </c>
      <c r="I2931" t="s">
        <v>53</v>
      </c>
      <c r="J2931" t="s">
        <v>25</v>
      </c>
      <c r="K2931" s="2">
        <v>4.5</v>
      </c>
      <c r="L2931" t="s">
        <v>152</v>
      </c>
      <c r="M2931" t="s">
        <v>59</v>
      </c>
      <c r="N2931" t="s">
        <v>47</v>
      </c>
      <c r="O2931" t="s">
        <v>152</v>
      </c>
      <c r="P2931" t="s">
        <v>152</v>
      </c>
      <c r="Q2931" s="3">
        <v>42</v>
      </c>
      <c r="R2931" t="s">
        <v>29</v>
      </c>
      <c r="S2931" t="s">
        <v>30</v>
      </c>
    </row>
    <row r="2932" spans="1:19" x14ac:dyDescent="0.25">
      <c r="A2932">
        <v>2931</v>
      </c>
      <c r="B2932">
        <v>38</v>
      </c>
      <c r="C2932" t="s">
        <v>153</v>
      </c>
      <c r="D2932" t="s">
        <v>113</v>
      </c>
      <c r="E2932" t="s">
        <v>21</v>
      </c>
      <c r="F2932" s="1">
        <v>50</v>
      </c>
      <c r="G2932" t="s">
        <v>91</v>
      </c>
      <c r="H2932" t="s">
        <v>45</v>
      </c>
      <c r="I2932" t="s">
        <v>121</v>
      </c>
      <c r="J2932" t="s">
        <v>39</v>
      </c>
      <c r="K2932" s="2">
        <v>4</v>
      </c>
      <c r="L2932" t="s">
        <v>152</v>
      </c>
      <c r="M2932" t="s">
        <v>27</v>
      </c>
      <c r="N2932" t="s">
        <v>40</v>
      </c>
      <c r="O2932" t="s">
        <v>152</v>
      </c>
      <c r="P2932" t="s">
        <v>152</v>
      </c>
      <c r="Q2932" s="3">
        <v>14</v>
      </c>
      <c r="R2932" t="s">
        <v>29</v>
      </c>
      <c r="S2932" t="s">
        <v>88</v>
      </c>
    </row>
    <row r="2933" spans="1:19" x14ac:dyDescent="0.25">
      <c r="A2933">
        <v>2932</v>
      </c>
      <c r="B2933">
        <v>36</v>
      </c>
      <c r="C2933" t="s">
        <v>153</v>
      </c>
      <c r="D2933" t="s">
        <v>106</v>
      </c>
      <c r="E2933" t="s">
        <v>69</v>
      </c>
      <c r="F2933" s="1">
        <v>31</v>
      </c>
      <c r="G2933" t="s">
        <v>90</v>
      </c>
      <c r="H2933" t="s">
        <v>45</v>
      </c>
      <c r="I2933" t="s">
        <v>136</v>
      </c>
      <c r="J2933" t="s">
        <v>58</v>
      </c>
      <c r="K2933" s="2">
        <v>4.5</v>
      </c>
      <c r="L2933" t="s">
        <v>152</v>
      </c>
      <c r="M2933" t="s">
        <v>35</v>
      </c>
      <c r="N2933" t="s">
        <v>72</v>
      </c>
      <c r="O2933" t="s">
        <v>152</v>
      </c>
      <c r="P2933" t="s">
        <v>152</v>
      </c>
      <c r="Q2933" s="3">
        <v>49</v>
      </c>
      <c r="R2933" t="s">
        <v>27</v>
      </c>
      <c r="S2933" t="s">
        <v>77</v>
      </c>
    </row>
    <row r="2934" spans="1:19" x14ac:dyDescent="0.25">
      <c r="A2934">
        <v>2933</v>
      </c>
      <c r="B2934">
        <v>65</v>
      </c>
      <c r="C2934" t="s">
        <v>153</v>
      </c>
      <c r="D2934" t="s">
        <v>132</v>
      </c>
      <c r="E2934" t="s">
        <v>69</v>
      </c>
      <c r="F2934" s="1">
        <v>88</v>
      </c>
      <c r="G2934" t="s">
        <v>120</v>
      </c>
      <c r="H2934" t="s">
        <v>23</v>
      </c>
      <c r="I2934" t="s">
        <v>94</v>
      </c>
      <c r="J2934" t="s">
        <v>39</v>
      </c>
      <c r="K2934" s="2">
        <v>3.9</v>
      </c>
      <c r="L2934" t="s">
        <v>152</v>
      </c>
      <c r="M2934" t="s">
        <v>27</v>
      </c>
      <c r="N2934" t="s">
        <v>28</v>
      </c>
      <c r="O2934" t="s">
        <v>152</v>
      </c>
      <c r="P2934" t="s">
        <v>152</v>
      </c>
      <c r="Q2934" s="3">
        <v>3</v>
      </c>
      <c r="R2934" t="s">
        <v>46</v>
      </c>
      <c r="S2934" t="s">
        <v>60</v>
      </c>
    </row>
    <row r="2935" spans="1:19" x14ac:dyDescent="0.25">
      <c r="A2935">
        <v>2934</v>
      </c>
      <c r="B2935">
        <v>27</v>
      </c>
      <c r="C2935" t="s">
        <v>153</v>
      </c>
      <c r="D2935" t="s">
        <v>124</v>
      </c>
      <c r="E2935" t="s">
        <v>69</v>
      </c>
      <c r="F2935" s="1">
        <v>52</v>
      </c>
      <c r="G2935" t="s">
        <v>115</v>
      </c>
      <c r="H2935" t="s">
        <v>45</v>
      </c>
      <c r="I2935" t="s">
        <v>110</v>
      </c>
      <c r="J2935" t="s">
        <v>54</v>
      </c>
      <c r="K2935" s="2">
        <v>3.8</v>
      </c>
      <c r="L2935" t="s">
        <v>152</v>
      </c>
      <c r="M2935" t="s">
        <v>27</v>
      </c>
      <c r="N2935" t="s">
        <v>55</v>
      </c>
      <c r="O2935" t="s">
        <v>152</v>
      </c>
      <c r="P2935" t="s">
        <v>152</v>
      </c>
      <c r="Q2935" s="3">
        <v>28</v>
      </c>
      <c r="R2935" t="s">
        <v>29</v>
      </c>
      <c r="S2935" t="s">
        <v>88</v>
      </c>
    </row>
    <row r="2936" spans="1:19" x14ac:dyDescent="0.25">
      <c r="A2936">
        <v>2935</v>
      </c>
      <c r="B2936">
        <v>38</v>
      </c>
      <c r="C2936" t="s">
        <v>153</v>
      </c>
      <c r="D2936" t="s">
        <v>143</v>
      </c>
      <c r="E2936" t="s">
        <v>69</v>
      </c>
      <c r="F2936" s="1">
        <v>22</v>
      </c>
      <c r="G2936" t="s">
        <v>135</v>
      </c>
      <c r="H2936" t="s">
        <v>45</v>
      </c>
      <c r="I2936" t="s">
        <v>121</v>
      </c>
      <c r="J2936" t="s">
        <v>58</v>
      </c>
      <c r="K2936" s="2">
        <v>4.7</v>
      </c>
      <c r="L2936" t="s">
        <v>152</v>
      </c>
      <c r="M2936" t="s">
        <v>34</v>
      </c>
      <c r="N2936" t="s">
        <v>47</v>
      </c>
      <c r="O2936" t="s">
        <v>152</v>
      </c>
      <c r="P2936" t="s">
        <v>152</v>
      </c>
      <c r="Q2936" s="3">
        <v>41</v>
      </c>
      <c r="R2936" t="s">
        <v>34</v>
      </c>
      <c r="S2936" t="s">
        <v>60</v>
      </c>
    </row>
    <row r="2937" spans="1:19" x14ac:dyDescent="0.25">
      <c r="A2937">
        <v>2936</v>
      </c>
      <c r="B2937">
        <v>58</v>
      </c>
      <c r="C2937" t="s">
        <v>153</v>
      </c>
      <c r="D2937" t="s">
        <v>51</v>
      </c>
      <c r="E2937" t="s">
        <v>43</v>
      </c>
      <c r="F2937" s="1">
        <v>27</v>
      </c>
      <c r="G2937" t="s">
        <v>98</v>
      </c>
      <c r="H2937" t="s">
        <v>92</v>
      </c>
      <c r="I2937" t="s">
        <v>24</v>
      </c>
      <c r="J2937" t="s">
        <v>39</v>
      </c>
      <c r="K2937" s="2">
        <v>4.5999999999999996</v>
      </c>
      <c r="L2937" t="s">
        <v>152</v>
      </c>
      <c r="M2937" t="s">
        <v>59</v>
      </c>
      <c r="N2937" t="s">
        <v>55</v>
      </c>
      <c r="O2937" t="s">
        <v>152</v>
      </c>
      <c r="P2937" t="s">
        <v>152</v>
      </c>
      <c r="Q2937" s="3">
        <v>11</v>
      </c>
      <c r="R2937" t="s">
        <v>29</v>
      </c>
      <c r="S2937" t="s">
        <v>41</v>
      </c>
    </row>
    <row r="2938" spans="1:19" x14ac:dyDescent="0.25">
      <c r="A2938">
        <v>2937</v>
      </c>
      <c r="B2938">
        <v>31</v>
      </c>
      <c r="C2938" t="s">
        <v>153</v>
      </c>
      <c r="D2938" t="s">
        <v>87</v>
      </c>
      <c r="E2938" t="s">
        <v>21</v>
      </c>
      <c r="F2938" s="1">
        <v>34</v>
      </c>
      <c r="G2938" t="s">
        <v>149</v>
      </c>
      <c r="H2938" t="s">
        <v>45</v>
      </c>
      <c r="I2938" t="s">
        <v>53</v>
      </c>
      <c r="J2938" t="s">
        <v>39</v>
      </c>
      <c r="K2938" s="2">
        <v>3.6</v>
      </c>
      <c r="L2938" t="s">
        <v>152</v>
      </c>
      <c r="M2938" t="s">
        <v>59</v>
      </c>
      <c r="N2938" t="s">
        <v>28</v>
      </c>
      <c r="O2938" t="s">
        <v>152</v>
      </c>
      <c r="P2938" t="s">
        <v>152</v>
      </c>
      <c r="Q2938" s="3">
        <v>46</v>
      </c>
      <c r="R2938" t="s">
        <v>46</v>
      </c>
      <c r="S2938" t="s">
        <v>41</v>
      </c>
    </row>
    <row r="2939" spans="1:19" x14ac:dyDescent="0.25">
      <c r="A2939">
        <v>2938</v>
      </c>
      <c r="B2939">
        <v>28</v>
      </c>
      <c r="C2939" t="s">
        <v>153</v>
      </c>
      <c r="D2939" t="s">
        <v>68</v>
      </c>
      <c r="E2939" t="s">
        <v>69</v>
      </c>
      <c r="F2939" s="1">
        <v>39</v>
      </c>
      <c r="G2939" t="s">
        <v>66</v>
      </c>
      <c r="H2939" t="s">
        <v>45</v>
      </c>
      <c r="I2939" t="s">
        <v>53</v>
      </c>
      <c r="J2939" t="s">
        <v>39</v>
      </c>
      <c r="K2939" s="2">
        <v>4.3</v>
      </c>
      <c r="L2939" t="s">
        <v>152</v>
      </c>
      <c r="M2939" t="s">
        <v>59</v>
      </c>
      <c r="N2939" t="s">
        <v>72</v>
      </c>
      <c r="O2939" t="s">
        <v>152</v>
      </c>
      <c r="P2939" t="s">
        <v>152</v>
      </c>
      <c r="Q2939" s="3">
        <v>15</v>
      </c>
      <c r="R2939" t="s">
        <v>27</v>
      </c>
      <c r="S2939" t="s">
        <v>41</v>
      </c>
    </row>
    <row r="2940" spans="1:19" x14ac:dyDescent="0.25">
      <c r="A2940">
        <v>2939</v>
      </c>
      <c r="B2940">
        <v>28</v>
      </c>
      <c r="C2940" t="s">
        <v>153</v>
      </c>
      <c r="D2940" t="s">
        <v>89</v>
      </c>
      <c r="E2940" t="s">
        <v>69</v>
      </c>
      <c r="F2940" s="1">
        <v>53</v>
      </c>
      <c r="G2940" t="s">
        <v>32</v>
      </c>
      <c r="H2940" t="s">
        <v>45</v>
      </c>
      <c r="I2940" t="s">
        <v>84</v>
      </c>
      <c r="J2940" t="s">
        <v>58</v>
      </c>
      <c r="K2940" s="2">
        <v>3</v>
      </c>
      <c r="L2940" t="s">
        <v>152</v>
      </c>
      <c r="M2940" t="s">
        <v>35</v>
      </c>
      <c r="N2940" t="s">
        <v>55</v>
      </c>
      <c r="O2940" t="s">
        <v>152</v>
      </c>
      <c r="P2940" t="s">
        <v>152</v>
      </c>
      <c r="Q2940" s="3">
        <v>15</v>
      </c>
      <c r="R2940" t="s">
        <v>35</v>
      </c>
      <c r="S2940" t="s">
        <v>88</v>
      </c>
    </row>
    <row r="2941" spans="1:19" x14ac:dyDescent="0.25">
      <c r="A2941">
        <v>2940</v>
      </c>
      <c r="B2941">
        <v>32</v>
      </c>
      <c r="C2941" t="s">
        <v>153</v>
      </c>
      <c r="D2941" t="s">
        <v>31</v>
      </c>
      <c r="E2941" t="s">
        <v>21</v>
      </c>
      <c r="F2941" s="1">
        <v>46</v>
      </c>
      <c r="G2941" t="s">
        <v>22</v>
      </c>
      <c r="H2941" t="s">
        <v>45</v>
      </c>
      <c r="I2941" t="s">
        <v>118</v>
      </c>
      <c r="J2941" t="s">
        <v>25</v>
      </c>
      <c r="K2941" s="2">
        <v>4.3</v>
      </c>
      <c r="L2941" t="s">
        <v>152</v>
      </c>
      <c r="M2941" t="s">
        <v>46</v>
      </c>
      <c r="N2941" t="s">
        <v>28</v>
      </c>
      <c r="O2941" t="s">
        <v>152</v>
      </c>
      <c r="P2941" t="s">
        <v>152</v>
      </c>
      <c r="Q2941" s="3">
        <v>34</v>
      </c>
      <c r="R2941" t="s">
        <v>29</v>
      </c>
      <c r="S2941" t="s">
        <v>41</v>
      </c>
    </row>
    <row r="2942" spans="1:19" x14ac:dyDescent="0.25">
      <c r="A2942">
        <v>2941</v>
      </c>
      <c r="B2942">
        <v>61</v>
      </c>
      <c r="C2942" t="s">
        <v>153</v>
      </c>
      <c r="D2942" t="s">
        <v>68</v>
      </c>
      <c r="E2942" t="s">
        <v>69</v>
      </c>
      <c r="F2942" s="1">
        <v>85</v>
      </c>
      <c r="G2942" t="s">
        <v>37</v>
      </c>
      <c r="H2942" t="s">
        <v>23</v>
      </c>
      <c r="I2942" t="s">
        <v>118</v>
      </c>
      <c r="J2942" t="s">
        <v>54</v>
      </c>
      <c r="K2942" s="2">
        <v>4.8</v>
      </c>
      <c r="L2942" t="s">
        <v>152</v>
      </c>
      <c r="M2942" t="s">
        <v>29</v>
      </c>
      <c r="N2942" t="s">
        <v>47</v>
      </c>
      <c r="O2942" t="s">
        <v>152</v>
      </c>
      <c r="P2942" t="s">
        <v>152</v>
      </c>
      <c r="Q2942" s="3">
        <v>13</v>
      </c>
      <c r="R2942" t="s">
        <v>35</v>
      </c>
      <c r="S2942" t="s">
        <v>88</v>
      </c>
    </row>
    <row r="2943" spans="1:19" x14ac:dyDescent="0.25">
      <c r="A2943">
        <v>2942</v>
      </c>
      <c r="B2943">
        <v>38</v>
      </c>
      <c r="C2943" t="s">
        <v>153</v>
      </c>
      <c r="D2943" t="s">
        <v>87</v>
      </c>
      <c r="E2943" t="s">
        <v>21</v>
      </c>
      <c r="F2943" s="1">
        <v>86</v>
      </c>
      <c r="G2943" t="s">
        <v>138</v>
      </c>
      <c r="H2943" t="s">
        <v>23</v>
      </c>
      <c r="I2943" t="s">
        <v>75</v>
      </c>
      <c r="J2943" t="s">
        <v>39</v>
      </c>
      <c r="K2943" s="2">
        <v>3.7</v>
      </c>
      <c r="L2943" t="s">
        <v>152</v>
      </c>
      <c r="M2943" t="s">
        <v>34</v>
      </c>
      <c r="N2943" t="s">
        <v>40</v>
      </c>
      <c r="O2943" t="s">
        <v>152</v>
      </c>
      <c r="P2943" t="s">
        <v>152</v>
      </c>
      <c r="Q2943" s="3">
        <v>27</v>
      </c>
      <c r="R2943" t="s">
        <v>46</v>
      </c>
      <c r="S2943" t="s">
        <v>88</v>
      </c>
    </row>
    <row r="2944" spans="1:19" x14ac:dyDescent="0.25">
      <c r="A2944">
        <v>2943</v>
      </c>
      <c r="B2944">
        <v>54</v>
      </c>
      <c r="C2944" t="s">
        <v>153</v>
      </c>
      <c r="D2944" t="s">
        <v>125</v>
      </c>
      <c r="E2944" t="s">
        <v>21</v>
      </c>
      <c r="F2944" s="1">
        <v>63</v>
      </c>
      <c r="G2944" t="s">
        <v>78</v>
      </c>
      <c r="H2944" t="s">
        <v>45</v>
      </c>
      <c r="I2944" t="s">
        <v>110</v>
      </c>
      <c r="J2944" t="s">
        <v>54</v>
      </c>
      <c r="K2944" s="2">
        <v>2.6</v>
      </c>
      <c r="L2944" t="s">
        <v>152</v>
      </c>
      <c r="M2944" t="s">
        <v>35</v>
      </c>
      <c r="N2944" t="s">
        <v>40</v>
      </c>
      <c r="O2944" t="s">
        <v>152</v>
      </c>
      <c r="P2944" t="s">
        <v>152</v>
      </c>
      <c r="Q2944" s="3">
        <v>37</v>
      </c>
      <c r="R2944" t="s">
        <v>34</v>
      </c>
      <c r="S2944" t="s">
        <v>41</v>
      </c>
    </row>
    <row r="2945" spans="1:19" x14ac:dyDescent="0.25">
      <c r="A2945">
        <v>2944</v>
      </c>
      <c r="B2945">
        <v>29</v>
      </c>
      <c r="C2945" t="s">
        <v>153</v>
      </c>
      <c r="D2945" t="s">
        <v>56</v>
      </c>
      <c r="E2945" t="s">
        <v>21</v>
      </c>
      <c r="F2945" s="1">
        <v>44</v>
      </c>
      <c r="G2945" t="s">
        <v>141</v>
      </c>
      <c r="H2945" t="s">
        <v>45</v>
      </c>
      <c r="I2945" t="s">
        <v>121</v>
      </c>
      <c r="J2945" t="s">
        <v>39</v>
      </c>
      <c r="K2945" s="2">
        <v>3.4</v>
      </c>
      <c r="L2945" t="s">
        <v>152</v>
      </c>
      <c r="M2945" t="s">
        <v>59</v>
      </c>
      <c r="N2945" t="s">
        <v>55</v>
      </c>
      <c r="O2945" t="s">
        <v>152</v>
      </c>
      <c r="P2945" t="s">
        <v>152</v>
      </c>
      <c r="Q2945" s="3">
        <v>37</v>
      </c>
      <c r="R2945" t="s">
        <v>27</v>
      </c>
      <c r="S2945" t="s">
        <v>88</v>
      </c>
    </row>
    <row r="2946" spans="1:19" x14ac:dyDescent="0.25">
      <c r="A2946">
        <v>2945</v>
      </c>
      <c r="B2946">
        <v>50</v>
      </c>
      <c r="C2946" t="s">
        <v>153</v>
      </c>
      <c r="D2946" t="s">
        <v>51</v>
      </c>
      <c r="E2946" t="s">
        <v>43</v>
      </c>
      <c r="F2946" s="1">
        <v>95</v>
      </c>
      <c r="G2946" t="s">
        <v>85</v>
      </c>
      <c r="H2946" t="s">
        <v>92</v>
      </c>
      <c r="I2946" t="s">
        <v>109</v>
      </c>
      <c r="J2946" t="s">
        <v>54</v>
      </c>
      <c r="K2946" s="2">
        <v>3.9</v>
      </c>
      <c r="L2946" t="s">
        <v>152</v>
      </c>
      <c r="M2946" t="s">
        <v>35</v>
      </c>
      <c r="N2946" t="s">
        <v>40</v>
      </c>
      <c r="O2946" t="s">
        <v>152</v>
      </c>
      <c r="P2946" t="s">
        <v>152</v>
      </c>
      <c r="Q2946" s="3">
        <v>4</v>
      </c>
      <c r="R2946" t="s">
        <v>29</v>
      </c>
      <c r="S2946" t="s">
        <v>97</v>
      </c>
    </row>
    <row r="2947" spans="1:19" x14ac:dyDescent="0.25">
      <c r="A2947">
        <v>2946</v>
      </c>
      <c r="B2947">
        <v>32</v>
      </c>
      <c r="C2947" t="s">
        <v>153</v>
      </c>
      <c r="D2947" t="s">
        <v>133</v>
      </c>
      <c r="E2947" t="s">
        <v>69</v>
      </c>
      <c r="F2947" s="1">
        <v>49</v>
      </c>
      <c r="G2947" t="s">
        <v>80</v>
      </c>
      <c r="H2947" t="s">
        <v>45</v>
      </c>
      <c r="I2947" t="s">
        <v>63</v>
      </c>
      <c r="J2947" t="s">
        <v>54</v>
      </c>
      <c r="K2947" s="2">
        <v>4.8</v>
      </c>
      <c r="L2947" t="s">
        <v>152</v>
      </c>
      <c r="M2947" t="s">
        <v>29</v>
      </c>
      <c r="N2947" t="s">
        <v>40</v>
      </c>
      <c r="O2947" t="s">
        <v>152</v>
      </c>
      <c r="P2947" t="s">
        <v>152</v>
      </c>
      <c r="Q2947" s="3">
        <v>1</v>
      </c>
      <c r="R2947" t="s">
        <v>27</v>
      </c>
      <c r="S2947" t="s">
        <v>97</v>
      </c>
    </row>
    <row r="2948" spans="1:19" x14ac:dyDescent="0.25">
      <c r="A2948">
        <v>2947</v>
      </c>
      <c r="B2948">
        <v>38</v>
      </c>
      <c r="C2948" t="s">
        <v>153</v>
      </c>
      <c r="D2948" t="s">
        <v>95</v>
      </c>
      <c r="E2948" t="s">
        <v>21</v>
      </c>
      <c r="F2948" s="1">
        <v>77</v>
      </c>
      <c r="G2948" t="s">
        <v>78</v>
      </c>
      <c r="H2948" t="s">
        <v>23</v>
      </c>
      <c r="I2948" t="s">
        <v>75</v>
      </c>
      <c r="J2948" t="s">
        <v>39</v>
      </c>
      <c r="K2948" s="2">
        <v>2.8</v>
      </c>
      <c r="L2948" t="s">
        <v>152</v>
      </c>
      <c r="M2948" t="s">
        <v>27</v>
      </c>
      <c r="N2948" t="s">
        <v>40</v>
      </c>
      <c r="O2948" t="s">
        <v>152</v>
      </c>
      <c r="P2948" t="s">
        <v>152</v>
      </c>
      <c r="Q2948" s="3">
        <v>29</v>
      </c>
      <c r="R2948" t="s">
        <v>34</v>
      </c>
      <c r="S2948" t="s">
        <v>60</v>
      </c>
    </row>
    <row r="2949" spans="1:19" x14ac:dyDescent="0.25">
      <c r="A2949">
        <v>2948</v>
      </c>
      <c r="B2949">
        <v>52</v>
      </c>
      <c r="C2949" t="s">
        <v>153</v>
      </c>
      <c r="D2949" t="s">
        <v>106</v>
      </c>
      <c r="E2949" t="s">
        <v>69</v>
      </c>
      <c r="F2949" s="1">
        <v>63</v>
      </c>
      <c r="G2949" t="s">
        <v>145</v>
      </c>
      <c r="H2949" t="s">
        <v>23</v>
      </c>
      <c r="I2949" t="s">
        <v>100</v>
      </c>
      <c r="J2949" t="s">
        <v>39</v>
      </c>
      <c r="K2949" s="2">
        <v>4.4000000000000004</v>
      </c>
      <c r="L2949" t="s">
        <v>152</v>
      </c>
      <c r="M2949" t="s">
        <v>29</v>
      </c>
      <c r="N2949" t="s">
        <v>55</v>
      </c>
      <c r="O2949" t="s">
        <v>152</v>
      </c>
      <c r="P2949" t="s">
        <v>152</v>
      </c>
      <c r="Q2949" s="3">
        <v>50</v>
      </c>
      <c r="R2949" t="s">
        <v>29</v>
      </c>
      <c r="S2949" t="s">
        <v>50</v>
      </c>
    </row>
    <row r="2950" spans="1:19" x14ac:dyDescent="0.25">
      <c r="A2950">
        <v>2949</v>
      </c>
      <c r="B2950">
        <v>61</v>
      </c>
      <c r="C2950" t="s">
        <v>153</v>
      </c>
      <c r="D2950" t="s">
        <v>95</v>
      </c>
      <c r="E2950" t="s">
        <v>21</v>
      </c>
      <c r="F2950" s="1">
        <v>83</v>
      </c>
      <c r="G2950" t="s">
        <v>129</v>
      </c>
      <c r="H2950" t="s">
        <v>45</v>
      </c>
      <c r="I2950" t="s">
        <v>84</v>
      </c>
      <c r="J2950" t="s">
        <v>25</v>
      </c>
      <c r="K2950" s="2">
        <v>3.1</v>
      </c>
      <c r="L2950" t="s">
        <v>152</v>
      </c>
      <c r="M2950" t="s">
        <v>27</v>
      </c>
      <c r="N2950" t="s">
        <v>55</v>
      </c>
      <c r="O2950" t="s">
        <v>152</v>
      </c>
      <c r="P2950" t="s">
        <v>152</v>
      </c>
      <c r="Q2950" s="3">
        <v>38</v>
      </c>
      <c r="R2950" t="s">
        <v>59</v>
      </c>
      <c r="S2950" t="s">
        <v>77</v>
      </c>
    </row>
    <row r="2951" spans="1:19" x14ac:dyDescent="0.25">
      <c r="A2951">
        <v>2950</v>
      </c>
      <c r="B2951">
        <v>25</v>
      </c>
      <c r="C2951" t="s">
        <v>153</v>
      </c>
      <c r="D2951" t="s">
        <v>106</v>
      </c>
      <c r="E2951" t="s">
        <v>69</v>
      </c>
      <c r="F2951" s="1">
        <v>93</v>
      </c>
      <c r="G2951" t="s">
        <v>146</v>
      </c>
      <c r="H2951" t="s">
        <v>45</v>
      </c>
      <c r="I2951" t="s">
        <v>100</v>
      </c>
      <c r="J2951" t="s">
        <v>39</v>
      </c>
      <c r="K2951" s="2">
        <v>3.8</v>
      </c>
      <c r="L2951" t="s">
        <v>152</v>
      </c>
      <c r="M2951" t="s">
        <v>27</v>
      </c>
      <c r="N2951" t="s">
        <v>76</v>
      </c>
      <c r="O2951" t="s">
        <v>152</v>
      </c>
      <c r="P2951" t="s">
        <v>152</v>
      </c>
      <c r="Q2951" s="3">
        <v>15</v>
      </c>
      <c r="R2951" t="s">
        <v>46</v>
      </c>
      <c r="S2951" t="s">
        <v>50</v>
      </c>
    </row>
    <row r="2952" spans="1:19" x14ac:dyDescent="0.25">
      <c r="A2952">
        <v>2951</v>
      </c>
      <c r="B2952">
        <v>22</v>
      </c>
      <c r="C2952" t="s">
        <v>153</v>
      </c>
      <c r="D2952" t="s">
        <v>36</v>
      </c>
      <c r="E2952" t="s">
        <v>21</v>
      </c>
      <c r="F2952" s="1">
        <v>91</v>
      </c>
      <c r="G2952" t="s">
        <v>146</v>
      </c>
      <c r="H2952" t="s">
        <v>38</v>
      </c>
      <c r="I2952" t="s">
        <v>33</v>
      </c>
      <c r="J2952" t="s">
        <v>25</v>
      </c>
      <c r="K2952" s="2">
        <v>4.0999999999999996</v>
      </c>
      <c r="L2952" t="s">
        <v>152</v>
      </c>
      <c r="M2952" t="s">
        <v>34</v>
      </c>
      <c r="N2952" t="s">
        <v>72</v>
      </c>
      <c r="O2952" t="s">
        <v>152</v>
      </c>
      <c r="P2952" t="s">
        <v>152</v>
      </c>
      <c r="Q2952" s="3">
        <v>44</v>
      </c>
      <c r="R2952" t="s">
        <v>59</v>
      </c>
      <c r="S2952" t="s">
        <v>97</v>
      </c>
    </row>
    <row r="2953" spans="1:19" x14ac:dyDescent="0.25">
      <c r="A2953">
        <v>2952</v>
      </c>
      <c r="B2953">
        <v>47</v>
      </c>
      <c r="C2953" t="s">
        <v>153</v>
      </c>
      <c r="D2953" t="s">
        <v>119</v>
      </c>
      <c r="E2953" t="s">
        <v>69</v>
      </c>
      <c r="F2953" s="1">
        <v>99</v>
      </c>
      <c r="G2953" t="s">
        <v>74</v>
      </c>
      <c r="H2953" t="s">
        <v>23</v>
      </c>
      <c r="I2953" t="s">
        <v>33</v>
      </c>
      <c r="J2953" t="s">
        <v>58</v>
      </c>
      <c r="K2953" s="2">
        <v>4.5999999999999996</v>
      </c>
      <c r="L2953" t="s">
        <v>152</v>
      </c>
      <c r="M2953" t="s">
        <v>27</v>
      </c>
      <c r="N2953" t="s">
        <v>40</v>
      </c>
      <c r="O2953" t="s">
        <v>152</v>
      </c>
      <c r="P2953" t="s">
        <v>152</v>
      </c>
      <c r="Q2953" s="3">
        <v>14</v>
      </c>
      <c r="R2953" t="s">
        <v>35</v>
      </c>
      <c r="S2953" t="s">
        <v>41</v>
      </c>
    </row>
    <row r="2954" spans="1:19" x14ac:dyDescent="0.25">
      <c r="A2954">
        <v>2953</v>
      </c>
      <c r="B2954">
        <v>50</v>
      </c>
      <c r="C2954" t="s">
        <v>153</v>
      </c>
      <c r="D2954" t="s">
        <v>133</v>
      </c>
      <c r="E2954" t="s">
        <v>69</v>
      </c>
      <c r="F2954" s="1">
        <v>24</v>
      </c>
      <c r="G2954" t="s">
        <v>90</v>
      </c>
      <c r="H2954" t="s">
        <v>45</v>
      </c>
      <c r="I2954" t="s">
        <v>100</v>
      </c>
      <c r="J2954" t="s">
        <v>39</v>
      </c>
      <c r="K2954" s="2">
        <v>4.9000000000000004</v>
      </c>
      <c r="L2954" t="s">
        <v>152</v>
      </c>
      <c r="M2954" t="s">
        <v>46</v>
      </c>
      <c r="N2954" t="s">
        <v>47</v>
      </c>
      <c r="O2954" t="s">
        <v>152</v>
      </c>
      <c r="P2954" t="s">
        <v>152</v>
      </c>
      <c r="Q2954" s="3">
        <v>5</v>
      </c>
      <c r="R2954" t="s">
        <v>59</v>
      </c>
      <c r="S2954" t="s">
        <v>88</v>
      </c>
    </row>
    <row r="2955" spans="1:19" x14ac:dyDescent="0.25">
      <c r="A2955">
        <v>2954</v>
      </c>
      <c r="B2955">
        <v>45</v>
      </c>
      <c r="C2955" t="s">
        <v>153</v>
      </c>
      <c r="D2955" t="s">
        <v>82</v>
      </c>
      <c r="E2955" t="s">
        <v>21</v>
      </c>
      <c r="F2955" s="1">
        <v>82</v>
      </c>
      <c r="G2955" t="s">
        <v>128</v>
      </c>
      <c r="H2955" t="s">
        <v>45</v>
      </c>
      <c r="I2955" t="s">
        <v>67</v>
      </c>
      <c r="J2955" t="s">
        <v>54</v>
      </c>
      <c r="K2955" s="2">
        <v>4.8</v>
      </c>
      <c r="L2955" t="s">
        <v>152</v>
      </c>
      <c r="M2955" t="s">
        <v>46</v>
      </c>
      <c r="N2955" t="s">
        <v>47</v>
      </c>
      <c r="O2955" t="s">
        <v>152</v>
      </c>
      <c r="P2955" t="s">
        <v>152</v>
      </c>
      <c r="Q2955" s="3">
        <v>11</v>
      </c>
      <c r="R2955" t="s">
        <v>27</v>
      </c>
      <c r="S2955" t="s">
        <v>50</v>
      </c>
    </row>
    <row r="2956" spans="1:19" x14ac:dyDescent="0.25">
      <c r="A2956">
        <v>2955</v>
      </c>
      <c r="B2956">
        <v>33</v>
      </c>
      <c r="C2956" t="s">
        <v>153</v>
      </c>
      <c r="D2956" t="s">
        <v>113</v>
      </c>
      <c r="E2956" t="s">
        <v>21</v>
      </c>
      <c r="F2956" s="1">
        <v>28</v>
      </c>
      <c r="G2956" t="s">
        <v>147</v>
      </c>
      <c r="H2956" t="s">
        <v>45</v>
      </c>
      <c r="I2956" t="s">
        <v>126</v>
      </c>
      <c r="J2956" t="s">
        <v>25</v>
      </c>
      <c r="K2956" s="2">
        <v>3.9</v>
      </c>
      <c r="L2956" t="s">
        <v>152</v>
      </c>
      <c r="M2956" t="s">
        <v>46</v>
      </c>
      <c r="N2956" t="s">
        <v>28</v>
      </c>
      <c r="O2956" t="s">
        <v>152</v>
      </c>
      <c r="P2956" t="s">
        <v>152</v>
      </c>
      <c r="Q2956" s="3">
        <v>15</v>
      </c>
      <c r="R2956" t="s">
        <v>27</v>
      </c>
      <c r="S2956" t="s">
        <v>50</v>
      </c>
    </row>
    <row r="2957" spans="1:19" x14ac:dyDescent="0.25">
      <c r="A2957">
        <v>2956</v>
      </c>
      <c r="B2957">
        <v>42</v>
      </c>
      <c r="C2957" t="s">
        <v>153</v>
      </c>
      <c r="D2957" t="s">
        <v>137</v>
      </c>
      <c r="E2957" t="s">
        <v>43</v>
      </c>
      <c r="F2957" s="1">
        <v>67</v>
      </c>
      <c r="G2957" t="s">
        <v>129</v>
      </c>
      <c r="H2957" t="s">
        <v>45</v>
      </c>
      <c r="I2957" t="s">
        <v>67</v>
      </c>
      <c r="J2957" t="s">
        <v>25</v>
      </c>
      <c r="K2957" s="2">
        <v>2.6</v>
      </c>
      <c r="L2957" t="s">
        <v>152</v>
      </c>
      <c r="M2957" t="s">
        <v>29</v>
      </c>
      <c r="N2957" t="s">
        <v>40</v>
      </c>
      <c r="O2957" t="s">
        <v>152</v>
      </c>
      <c r="P2957" t="s">
        <v>152</v>
      </c>
      <c r="Q2957" s="3">
        <v>46</v>
      </c>
      <c r="R2957" t="s">
        <v>27</v>
      </c>
      <c r="S2957" t="s">
        <v>50</v>
      </c>
    </row>
    <row r="2958" spans="1:19" x14ac:dyDescent="0.25">
      <c r="A2958">
        <v>2957</v>
      </c>
      <c r="B2958">
        <v>52</v>
      </c>
      <c r="C2958" t="s">
        <v>153</v>
      </c>
      <c r="D2958" t="s">
        <v>82</v>
      </c>
      <c r="E2958" t="s">
        <v>21</v>
      </c>
      <c r="F2958" s="1">
        <v>88</v>
      </c>
      <c r="G2958" t="s">
        <v>57</v>
      </c>
      <c r="H2958" t="s">
        <v>45</v>
      </c>
      <c r="I2958" t="s">
        <v>79</v>
      </c>
      <c r="J2958" t="s">
        <v>58</v>
      </c>
      <c r="K2958" s="2">
        <v>3.7</v>
      </c>
      <c r="L2958" t="s">
        <v>152</v>
      </c>
      <c r="M2958" t="s">
        <v>46</v>
      </c>
      <c r="N2958" t="s">
        <v>55</v>
      </c>
      <c r="O2958" t="s">
        <v>152</v>
      </c>
      <c r="P2958" t="s">
        <v>152</v>
      </c>
      <c r="Q2958" s="3">
        <v>30</v>
      </c>
      <c r="R2958" t="s">
        <v>29</v>
      </c>
      <c r="S2958" t="s">
        <v>88</v>
      </c>
    </row>
    <row r="2959" spans="1:19" x14ac:dyDescent="0.25">
      <c r="A2959">
        <v>2958</v>
      </c>
      <c r="B2959">
        <v>69</v>
      </c>
      <c r="C2959" t="s">
        <v>153</v>
      </c>
      <c r="D2959" t="s">
        <v>106</v>
      </c>
      <c r="E2959" t="s">
        <v>69</v>
      </c>
      <c r="F2959" s="1">
        <v>70</v>
      </c>
      <c r="G2959" t="s">
        <v>147</v>
      </c>
      <c r="H2959" t="s">
        <v>38</v>
      </c>
      <c r="I2959" t="s">
        <v>24</v>
      </c>
      <c r="J2959" t="s">
        <v>58</v>
      </c>
      <c r="K2959" s="2">
        <v>4.7</v>
      </c>
      <c r="L2959" t="s">
        <v>152</v>
      </c>
      <c r="M2959" t="s">
        <v>35</v>
      </c>
      <c r="N2959" t="s">
        <v>55</v>
      </c>
      <c r="O2959" t="s">
        <v>152</v>
      </c>
      <c r="P2959" t="s">
        <v>152</v>
      </c>
      <c r="Q2959" s="3">
        <v>2</v>
      </c>
      <c r="R2959" t="s">
        <v>35</v>
      </c>
      <c r="S2959" t="s">
        <v>50</v>
      </c>
    </row>
    <row r="2960" spans="1:19" x14ac:dyDescent="0.25">
      <c r="A2960">
        <v>2959</v>
      </c>
      <c r="B2960">
        <v>55</v>
      </c>
      <c r="C2960" t="s">
        <v>153</v>
      </c>
      <c r="D2960" t="s">
        <v>87</v>
      </c>
      <c r="E2960" t="s">
        <v>21</v>
      </c>
      <c r="F2960" s="1">
        <v>100</v>
      </c>
      <c r="G2960" t="s">
        <v>123</v>
      </c>
      <c r="H2960" t="s">
        <v>45</v>
      </c>
      <c r="I2960" t="s">
        <v>94</v>
      </c>
      <c r="J2960" t="s">
        <v>54</v>
      </c>
      <c r="K2960" s="2">
        <v>4.5</v>
      </c>
      <c r="L2960" t="s">
        <v>152</v>
      </c>
      <c r="M2960" t="s">
        <v>29</v>
      </c>
      <c r="N2960" t="s">
        <v>55</v>
      </c>
      <c r="O2960" t="s">
        <v>152</v>
      </c>
      <c r="P2960" t="s">
        <v>152</v>
      </c>
      <c r="Q2960" s="3">
        <v>28</v>
      </c>
      <c r="R2960" t="s">
        <v>46</v>
      </c>
      <c r="S2960" t="s">
        <v>88</v>
      </c>
    </row>
    <row r="2961" spans="1:19" x14ac:dyDescent="0.25">
      <c r="A2961">
        <v>2960</v>
      </c>
      <c r="B2961">
        <v>38</v>
      </c>
      <c r="C2961" t="s">
        <v>153</v>
      </c>
      <c r="D2961" t="s">
        <v>68</v>
      </c>
      <c r="E2961" t="s">
        <v>69</v>
      </c>
      <c r="F2961" s="1">
        <v>28</v>
      </c>
      <c r="G2961" t="s">
        <v>105</v>
      </c>
      <c r="H2961" t="s">
        <v>23</v>
      </c>
      <c r="I2961" t="s">
        <v>33</v>
      </c>
      <c r="J2961" t="s">
        <v>54</v>
      </c>
      <c r="K2961" s="2">
        <v>4.7</v>
      </c>
      <c r="L2961" t="s">
        <v>152</v>
      </c>
      <c r="M2961" t="s">
        <v>46</v>
      </c>
      <c r="N2961" t="s">
        <v>40</v>
      </c>
      <c r="O2961" t="s">
        <v>152</v>
      </c>
      <c r="P2961" t="s">
        <v>152</v>
      </c>
      <c r="Q2961" s="3">
        <v>9</v>
      </c>
      <c r="R2961" t="s">
        <v>46</v>
      </c>
      <c r="S2961" t="s">
        <v>60</v>
      </c>
    </row>
    <row r="2962" spans="1:19" x14ac:dyDescent="0.25">
      <c r="A2962">
        <v>2961</v>
      </c>
      <c r="B2962">
        <v>57</v>
      </c>
      <c r="C2962" t="s">
        <v>153</v>
      </c>
      <c r="D2962" t="s">
        <v>64</v>
      </c>
      <c r="E2962" t="s">
        <v>65</v>
      </c>
      <c r="F2962" s="1">
        <v>48</v>
      </c>
      <c r="G2962" t="s">
        <v>116</v>
      </c>
      <c r="H2962" t="s">
        <v>38</v>
      </c>
      <c r="I2962" t="s">
        <v>79</v>
      </c>
      <c r="J2962" t="s">
        <v>39</v>
      </c>
      <c r="K2962" s="2">
        <v>3.6</v>
      </c>
      <c r="L2962" t="s">
        <v>152</v>
      </c>
      <c r="M2962" t="s">
        <v>29</v>
      </c>
      <c r="N2962" t="s">
        <v>55</v>
      </c>
      <c r="O2962" t="s">
        <v>152</v>
      </c>
      <c r="P2962" t="s">
        <v>152</v>
      </c>
      <c r="Q2962" s="3">
        <v>47</v>
      </c>
      <c r="R2962" t="s">
        <v>27</v>
      </c>
      <c r="S2962" t="s">
        <v>41</v>
      </c>
    </row>
    <row r="2963" spans="1:19" x14ac:dyDescent="0.25">
      <c r="A2963">
        <v>2962</v>
      </c>
      <c r="B2963">
        <v>33</v>
      </c>
      <c r="C2963" t="s">
        <v>153</v>
      </c>
      <c r="D2963" t="s">
        <v>104</v>
      </c>
      <c r="E2963" t="s">
        <v>21</v>
      </c>
      <c r="F2963" s="1">
        <v>43</v>
      </c>
      <c r="G2963" t="s">
        <v>83</v>
      </c>
      <c r="H2963" t="s">
        <v>38</v>
      </c>
      <c r="I2963" t="s">
        <v>81</v>
      </c>
      <c r="J2963" t="s">
        <v>58</v>
      </c>
      <c r="K2963" s="2">
        <v>2.8</v>
      </c>
      <c r="L2963" t="s">
        <v>152</v>
      </c>
      <c r="M2963" t="s">
        <v>27</v>
      </c>
      <c r="N2963" t="s">
        <v>40</v>
      </c>
      <c r="O2963" t="s">
        <v>152</v>
      </c>
      <c r="P2963" t="s">
        <v>152</v>
      </c>
      <c r="Q2963" s="3">
        <v>21</v>
      </c>
      <c r="R2963" t="s">
        <v>59</v>
      </c>
      <c r="S2963" t="s">
        <v>77</v>
      </c>
    </row>
    <row r="2964" spans="1:19" x14ac:dyDescent="0.25">
      <c r="A2964">
        <v>2963</v>
      </c>
      <c r="B2964">
        <v>57</v>
      </c>
      <c r="C2964" t="s">
        <v>153</v>
      </c>
      <c r="D2964" t="s">
        <v>95</v>
      </c>
      <c r="E2964" t="s">
        <v>21</v>
      </c>
      <c r="F2964" s="1">
        <v>40</v>
      </c>
      <c r="G2964" t="s">
        <v>99</v>
      </c>
      <c r="H2964" t="s">
        <v>23</v>
      </c>
      <c r="I2964" t="s">
        <v>71</v>
      </c>
      <c r="J2964" t="s">
        <v>58</v>
      </c>
      <c r="K2964" s="2">
        <v>4</v>
      </c>
      <c r="L2964" t="s">
        <v>152</v>
      </c>
      <c r="M2964" t="s">
        <v>46</v>
      </c>
      <c r="N2964" t="s">
        <v>28</v>
      </c>
      <c r="O2964" t="s">
        <v>152</v>
      </c>
      <c r="P2964" t="s">
        <v>152</v>
      </c>
      <c r="Q2964" s="3">
        <v>42</v>
      </c>
      <c r="R2964" t="s">
        <v>27</v>
      </c>
      <c r="S2964" t="s">
        <v>97</v>
      </c>
    </row>
    <row r="2965" spans="1:19" x14ac:dyDescent="0.25">
      <c r="A2965">
        <v>2964</v>
      </c>
      <c r="B2965">
        <v>52</v>
      </c>
      <c r="C2965" t="s">
        <v>153</v>
      </c>
      <c r="D2965" t="s">
        <v>137</v>
      </c>
      <c r="E2965" t="s">
        <v>43</v>
      </c>
      <c r="F2965" s="1">
        <v>97</v>
      </c>
      <c r="G2965" t="s">
        <v>32</v>
      </c>
      <c r="H2965" t="s">
        <v>45</v>
      </c>
      <c r="I2965" t="s">
        <v>110</v>
      </c>
      <c r="J2965" t="s">
        <v>39</v>
      </c>
      <c r="K2965" s="2">
        <v>3.6</v>
      </c>
      <c r="L2965" t="s">
        <v>152</v>
      </c>
      <c r="M2965" t="s">
        <v>59</v>
      </c>
      <c r="N2965" t="s">
        <v>40</v>
      </c>
      <c r="O2965" t="s">
        <v>152</v>
      </c>
      <c r="P2965" t="s">
        <v>152</v>
      </c>
      <c r="Q2965" s="3">
        <v>28</v>
      </c>
      <c r="R2965" t="s">
        <v>27</v>
      </c>
      <c r="S2965" t="s">
        <v>41</v>
      </c>
    </row>
    <row r="2966" spans="1:19" x14ac:dyDescent="0.25">
      <c r="A2966">
        <v>2965</v>
      </c>
      <c r="B2966">
        <v>44</v>
      </c>
      <c r="C2966" t="s">
        <v>153</v>
      </c>
      <c r="D2966" t="s">
        <v>64</v>
      </c>
      <c r="E2966" t="s">
        <v>65</v>
      </c>
      <c r="F2966" s="1">
        <v>25</v>
      </c>
      <c r="G2966" t="s">
        <v>123</v>
      </c>
      <c r="H2966" t="s">
        <v>38</v>
      </c>
      <c r="I2966" t="s">
        <v>53</v>
      </c>
      <c r="J2966" t="s">
        <v>58</v>
      </c>
      <c r="K2966" s="2">
        <v>3.8</v>
      </c>
      <c r="L2966" t="s">
        <v>152</v>
      </c>
      <c r="M2966" t="s">
        <v>27</v>
      </c>
      <c r="N2966" t="s">
        <v>72</v>
      </c>
      <c r="O2966" t="s">
        <v>152</v>
      </c>
      <c r="P2966" t="s">
        <v>152</v>
      </c>
      <c r="Q2966" s="3">
        <v>13</v>
      </c>
      <c r="R2966" t="s">
        <v>29</v>
      </c>
      <c r="S2966" t="s">
        <v>30</v>
      </c>
    </row>
    <row r="2967" spans="1:19" x14ac:dyDescent="0.25">
      <c r="A2967">
        <v>2966</v>
      </c>
      <c r="B2967">
        <v>48</v>
      </c>
      <c r="C2967" t="s">
        <v>153</v>
      </c>
      <c r="D2967" t="s">
        <v>119</v>
      </c>
      <c r="E2967" t="s">
        <v>69</v>
      </c>
      <c r="F2967" s="1">
        <v>45</v>
      </c>
      <c r="G2967" t="s">
        <v>80</v>
      </c>
      <c r="H2967" t="s">
        <v>45</v>
      </c>
      <c r="I2967" t="s">
        <v>144</v>
      </c>
      <c r="J2967" t="s">
        <v>54</v>
      </c>
      <c r="K2967" s="2">
        <v>4.4000000000000004</v>
      </c>
      <c r="L2967" t="s">
        <v>152</v>
      </c>
      <c r="M2967" t="s">
        <v>34</v>
      </c>
      <c r="N2967" t="s">
        <v>55</v>
      </c>
      <c r="O2967" t="s">
        <v>152</v>
      </c>
      <c r="P2967" t="s">
        <v>152</v>
      </c>
      <c r="Q2967" s="3">
        <v>25</v>
      </c>
      <c r="R2967" t="s">
        <v>46</v>
      </c>
      <c r="S2967" t="s">
        <v>30</v>
      </c>
    </row>
    <row r="2968" spans="1:19" x14ac:dyDescent="0.25">
      <c r="A2968">
        <v>2967</v>
      </c>
      <c r="B2968">
        <v>52</v>
      </c>
      <c r="C2968" t="s">
        <v>153</v>
      </c>
      <c r="D2968" t="s">
        <v>137</v>
      </c>
      <c r="E2968" t="s">
        <v>43</v>
      </c>
      <c r="F2968" s="1">
        <v>49</v>
      </c>
      <c r="G2968" t="s">
        <v>101</v>
      </c>
      <c r="H2968" t="s">
        <v>23</v>
      </c>
      <c r="I2968" t="s">
        <v>121</v>
      </c>
      <c r="J2968" t="s">
        <v>58</v>
      </c>
      <c r="K2968" s="2">
        <v>2.8</v>
      </c>
      <c r="L2968" t="s">
        <v>152</v>
      </c>
      <c r="M2968" t="s">
        <v>35</v>
      </c>
      <c r="N2968" t="s">
        <v>76</v>
      </c>
      <c r="O2968" t="s">
        <v>152</v>
      </c>
      <c r="P2968" t="s">
        <v>152</v>
      </c>
      <c r="Q2968" s="3">
        <v>38</v>
      </c>
      <c r="R2968" t="s">
        <v>59</v>
      </c>
      <c r="S2968" t="s">
        <v>97</v>
      </c>
    </row>
    <row r="2969" spans="1:19" x14ac:dyDescent="0.25">
      <c r="A2969">
        <v>2968</v>
      </c>
      <c r="B2969">
        <v>34</v>
      </c>
      <c r="C2969" t="s">
        <v>153</v>
      </c>
      <c r="D2969" t="s">
        <v>51</v>
      </c>
      <c r="E2969" t="s">
        <v>43</v>
      </c>
      <c r="F2969" s="1">
        <v>36</v>
      </c>
      <c r="G2969" t="s">
        <v>116</v>
      </c>
      <c r="H2969" t="s">
        <v>23</v>
      </c>
      <c r="I2969" t="s">
        <v>67</v>
      </c>
      <c r="J2969" t="s">
        <v>54</v>
      </c>
      <c r="K2969" s="2">
        <v>3.4</v>
      </c>
      <c r="L2969" t="s">
        <v>152</v>
      </c>
      <c r="M2969" t="s">
        <v>35</v>
      </c>
      <c r="N2969" t="s">
        <v>40</v>
      </c>
      <c r="O2969" t="s">
        <v>152</v>
      </c>
      <c r="P2969" t="s">
        <v>152</v>
      </c>
      <c r="Q2969" s="3">
        <v>40</v>
      </c>
      <c r="R2969" t="s">
        <v>29</v>
      </c>
      <c r="S2969" t="s">
        <v>50</v>
      </c>
    </row>
    <row r="2970" spans="1:19" x14ac:dyDescent="0.25">
      <c r="A2970">
        <v>2969</v>
      </c>
      <c r="B2970">
        <v>26</v>
      </c>
      <c r="C2970" t="s">
        <v>153</v>
      </c>
      <c r="D2970" t="s">
        <v>31</v>
      </c>
      <c r="E2970" t="s">
        <v>21</v>
      </c>
      <c r="F2970" s="1">
        <v>48</v>
      </c>
      <c r="G2970" t="s">
        <v>131</v>
      </c>
      <c r="H2970" t="s">
        <v>38</v>
      </c>
      <c r="I2970" t="s">
        <v>24</v>
      </c>
      <c r="J2970" t="s">
        <v>58</v>
      </c>
      <c r="K2970" s="2">
        <v>4.9000000000000004</v>
      </c>
      <c r="L2970" t="s">
        <v>152</v>
      </c>
      <c r="M2970" t="s">
        <v>35</v>
      </c>
      <c r="N2970" t="s">
        <v>28</v>
      </c>
      <c r="O2970" t="s">
        <v>152</v>
      </c>
      <c r="P2970" t="s">
        <v>152</v>
      </c>
      <c r="Q2970" s="3">
        <v>25</v>
      </c>
      <c r="R2970" t="s">
        <v>35</v>
      </c>
      <c r="S2970" t="s">
        <v>97</v>
      </c>
    </row>
    <row r="2971" spans="1:19" x14ac:dyDescent="0.25">
      <c r="A2971">
        <v>2970</v>
      </c>
      <c r="B2971">
        <v>36</v>
      </c>
      <c r="C2971" t="s">
        <v>153</v>
      </c>
      <c r="D2971" t="s">
        <v>133</v>
      </c>
      <c r="E2971" t="s">
        <v>69</v>
      </c>
      <c r="F2971" s="1">
        <v>62</v>
      </c>
      <c r="G2971" t="s">
        <v>129</v>
      </c>
      <c r="H2971" t="s">
        <v>38</v>
      </c>
      <c r="I2971" t="s">
        <v>144</v>
      </c>
      <c r="J2971" t="s">
        <v>58</v>
      </c>
      <c r="K2971" s="2">
        <v>4.3</v>
      </c>
      <c r="L2971" t="s">
        <v>152</v>
      </c>
      <c r="M2971" t="s">
        <v>34</v>
      </c>
      <c r="N2971" t="s">
        <v>47</v>
      </c>
      <c r="O2971" t="s">
        <v>152</v>
      </c>
      <c r="P2971" t="s">
        <v>152</v>
      </c>
      <c r="Q2971" s="3">
        <v>20</v>
      </c>
      <c r="R2971" t="s">
        <v>35</v>
      </c>
      <c r="S2971" t="s">
        <v>97</v>
      </c>
    </row>
    <row r="2972" spans="1:19" x14ac:dyDescent="0.25">
      <c r="A2972">
        <v>2971</v>
      </c>
      <c r="B2972">
        <v>24</v>
      </c>
      <c r="C2972" t="s">
        <v>153</v>
      </c>
      <c r="D2972" t="s">
        <v>106</v>
      </c>
      <c r="E2972" t="s">
        <v>69</v>
      </c>
      <c r="F2972" s="1">
        <v>74</v>
      </c>
      <c r="G2972" t="s">
        <v>111</v>
      </c>
      <c r="H2972" t="s">
        <v>45</v>
      </c>
      <c r="I2972" t="s">
        <v>53</v>
      </c>
      <c r="J2972" t="s">
        <v>25</v>
      </c>
      <c r="K2972" s="2">
        <v>3.4</v>
      </c>
      <c r="L2972" t="s">
        <v>152</v>
      </c>
      <c r="M2972" t="s">
        <v>34</v>
      </c>
      <c r="N2972" t="s">
        <v>40</v>
      </c>
      <c r="O2972" t="s">
        <v>152</v>
      </c>
      <c r="P2972" t="s">
        <v>152</v>
      </c>
      <c r="Q2972" s="3">
        <v>44</v>
      </c>
      <c r="R2972" t="s">
        <v>27</v>
      </c>
      <c r="S2972" t="s">
        <v>77</v>
      </c>
    </row>
    <row r="2973" spans="1:19" x14ac:dyDescent="0.25">
      <c r="A2973">
        <v>2972</v>
      </c>
      <c r="B2973">
        <v>30</v>
      </c>
      <c r="C2973" t="s">
        <v>153</v>
      </c>
      <c r="D2973" t="s">
        <v>68</v>
      </c>
      <c r="E2973" t="s">
        <v>69</v>
      </c>
      <c r="F2973" s="1">
        <v>100</v>
      </c>
      <c r="G2973" t="s">
        <v>140</v>
      </c>
      <c r="H2973" t="s">
        <v>23</v>
      </c>
      <c r="I2973" t="s">
        <v>134</v>
      </c>
      <c r="J2973" t="s">
        <v>58</v>
      </c>
      <c r="K2973" s="2">
        <v>3.9</v>
      </c>
      <c r="L2973" t="s">
        <v>152</v>
      </c>
      <c r="M2973" t="s">
        <v>27</v>
      </c>
      <c r="N2973" t="s">
        <v>47</v>
      </c>
      <c r="O2973" t="s">
        <v>152</v>
      </c>
      <c r="P2973" t="s">
        <v>152</v>
      </c>
      <c r="Q2973" s="3">
        <v>9</v>
      </c>
      <c r="R2973" t="s">
        <v>46</v>
      </c>
      <c r="S2973" t="s">
        <v>97</v>
      </c>
    </row>
    <row r="2974" spans="1:19" x14ac:dyDescent="0.25">
      <c r="A2974">
        <v>2973</v>
      </c>
      <c r="B2974">
        <v>31</v>
      </c>
      <c r="C2974" t="s">
        <v>153</v>
      </c>
      <c r="D2974" t="s">
        <v>102</v>
      </c>
      <c r="E2974" t="s">
        <v>65</v>
      </c>
      <c r="F2974" s="1">
        <v>39</v>
      </c>
      <c r="G2974" t="s">
        <v>85</v>
      </c>
      <c r="H2974" t="s">
        <v>38</v>
      </c>
      <c r="I2974" t="s">
        <v>126</v>
      </c>
      <c r="J2974" t="s">
        <v>58</v>
      </c>
      <c r="K2974" s="2">
        <v>4.2</v>
      </c>
      <c r="L2974" t="s">
        <v>152</v>
      </c>
      <c r="M2974" t="s">
        <v>29</v>
      </c>
      <c r="N2974" t="s">
        <v>40</v>
      </c>
      <c r="O2974" t="s">
        <v>152</v>
      </c>
      <c r="P2974" t="s">
        <v>152</v>
      </c>
      <c r="Q2974" s="3">
        <v>11</v>
      </c>
      <c r="R2974" t="s">
        <v>29</v>
      </c>
      <c r="S2974" t="s">
        <v>97</v>
      </c>
    </row>
    <row r="2975" spans="1:19" x14ac:dyDescent="0.25">
      <c r="A2975">
        <v>2974</v>
      </c>
      <c r="B2975">
        <v>25</v>
      </c>
      <c r="C2975" t="s">
        <v>153</v>
      </c>
      <c r="D2975" t="s">
        <v>137</v>
      </c>
      <c r="E2975" t="s">
        <v>43</v>
      </c>
      <c r="F2975" s="1">
        <v>65</v>
      </c>
      <c r="G2975" t="s">
        <v>116</v>
      </c>
      <c r="H2975" t="s">
        <v>45</v>
      </c>
      <c r="I2975" t="s">
        <v>144</v>
      </c>
      <c r="J2975" t="s">
        <v>54</v>
      </c>
      <c r="K2975" s="2">
        <v>2.7</v>
      </c>
      <c r="L2975" t="s">
        <v>152</v>
      </c>
      <c r="M2975" t="s">
        <v>46</v>
      </c>
      <c r="N2975" t="s">
        <v>76</v>
      </c>
      <c r="O2975" t="s">
        <v>152</v>
      </c>
      <c r="P2975" t="s">
        <v>152</v>
      </c>
      <c r="Q2975" s="3">
        <v>3</v>
      </c>
      <c r="R2975" t="s">
        <v>34</v>
      </c>
      <c r="S2975" t="s">
        <v>30</v>
      </c>
    </row>
    <row r="2976" spans="1:19" x14ac:dyDescent="0.25">
      <c r="A2976">
        <v>2975</v>
      </c>
      <c r="B2976">
        <v>57</v>
      </c>
      <c r="C2976" t="s">
        <v>153</v>
      </c>
      <c r="D2976" t="s">
        <v>51</v>
      </c>
      <c r="E2976" t="s">
        <v>43</v>
      </c>
      <c r="F2976" s="1">
        <v>99</v>
      </c>
      <c r="G2976" t="s">
        <v>122</v>
      </c>
      <c r="H2976" t="s">
        <v>92</v>
      </c>
      <c r="I2976" t="s">
        <v>100</v>
      </c>
      <c r="J2976" t="s">
        <v>54</v>
      </c>
      <c r="K2976" s="2">
        <v>4.0999999999999996</v>
      </c>
      <c r="L2976" t="s">
        <v>152</v>
      </c>
      <c r="M2976" t="s">
        <v>35</v>
      </c>
      <c r="N2976" t="s">
        <v>76</v>
      </c>
      <c r="O2976" t="s">
        <v>152</v>
      </c>
      <c r="P2976" t="s">
        <v>152</v>
      </c>
      <c r="Q2976" s="3">
        <v>34</v>
      </c>
      <c r="R2976" t="s">
        <v>27</v>
      </c>
      <c r="S2976" t="s">
        <v>41</v>
      </c>
    </row>
    <row r="2977" spans="1:19" x14ac:dyDescent="0.25">
      <c r="A2977">
        <v>2976</v>
      </c>
      <c r="B2977">
        <v>61</v>
      </c>
      <c r="C2977" t="s">
        <v>153</v>
      </c>
      <c r="D2977" t="s">
        <v>119</v>
      </c>
      <c r="E2977" t="s">
        <v>69</v>
      </c>
      <c r="F2977" s="1">
        <v>68</v>
      </c>
      <c r="G2977" t="s">
        <v>142</v>
      </c>
      <c r="H2977" t="s">
        <v>92</v>
      </c>
      <c r="I2977" t="s">
        <v>93</v>
      </c>
      <c r="J2977" t="s">
        <v>25</v>
      </c>
      <c r="K2977" s="2">
        <v>4.5</v>
      </c>
      <c r="L2977" t="s">
        <v>152</v>
      </c>
      <c r="M2977" t="s">
        <v>46</v>
      </c>
      <c r="N2977" t="s">
        <v>72</v>
      </c>
      <c r="O2977" t="s">
        <v>152</v>
      </c>
      <c r="P2977" t="s">
        <v>152</v>
      </c>
      <c r="Q2977" s="3">
        <v>48</v>
      </c>
      <c r="R2977" t="s">
        <v>35</v>
      </c>
      <c r="S2977" t="s">
        <v>97</v>
      </c>
    </row>
    <row r="2978" spans="1:19" x14ac:dyDescent="0.25">
      <c r="A2978">
        <v>2977</v>
      </c>
      <c r="B2978">
        <v>30</v>
      </c>
      <c r="C2978" t="s">
        <v>153</v>
      </c>
      <c r="D2978" t="s">
        <v>64</v>
      </c>
      <c r="E2978" t="s">
        <v>65</v>
      </c>
      <c r="F2978" s="1">
        <v>97</v>
      </c>
      <c r="G2978" t="s">
        <v>145</v>
      </c>
      <c r="H2978" t="s">
        <v>45</v>
      </c>
      <c r="I2978" t="s">
        <v>67</v>
      </c>
      <c r="J2978" t="s">
        <v>54</v>
      </c>
      <c r="K2978" s="2">
        <v>2.8</v>
      </c>
      <c r="L2978" t="s">
        <v>152</v>
      </c>
      <c r="M2978" t="s">
        <v>59</v>
      </c>
      <c r="N2978" t="s">
        <v>28</v>
      </c>
      <c r="O2978" t="s">
        <v>152</v>
      </c>
      <c r="P2978" t="s">
        <v>152</v>
      </c>
      <c r="Q2978" s="3">
        <v>28</v>
      </c>
      <c r="R2978" t="s">
        <v>35</v>
      </c>
      <c r="S2978" t="s">
        <v>30</v>
      </c>
    </row>
    <row r="2979" spans="1:19" x14ac:dyDescent="0.25">
      <c r="A2979">
        <v>2978</v>
      </c>
      <c r="B2979">
        <v>38</v>
      </c>
      <c r="C2979" t="s">
        <v>153</v>
      </c>
      <c r="D2979" t="s">
        <v>61</v>
      </c>
      <c r="E2979" t="s">
        <v>21</v>
      </c>
      <c r="F2979" s="1">
        <v>47</v>
      </c>
      <c r="G2979" t="s">
        <v>149</v>
      </c>
      <c r="H2979" t="s">
        <v>23</v>
      </c>
      <c r="I2979" t="s">
        <v>81</v>
      </c>
      <c r="J2979" t="s">
        <v>25</v>
      </c>
      <c r="K2979" s="2">
        <v>3.4</v>
      </c>
      <c r="L2979" t="s">
        <v>152</v>
      </c>
      <c r="M2979" t="s">
        <v>46</v>
      </c>
      <c r="N2979" t="s">
        <v>55</v>
      </c>
      <c r="O2979" t="s">
        <v>152</v>
      </c>
      <c r="P2979" t="s">
        <v>152</v>
      </c>
      <c r="Q2979" s="3">
        <v>20</v>
      </c>
      <c r="R2979" t="s">
        <v>29</v>
      </c>
      <c r="S2979" t="s">
        <v>50</v>
      </c>
    </row>
    <row r="2980" spans="1:19" x14ac:dyDescent="0.25">
      <c r="A2980">
        <v>2979</v>
      </c>
      <c r="B2980">
        <v>53</v>
      </c>
      <c r="C2980" t="s">
        <v>153</v>
      </c>
      <c r="D2980" t="s">
        <v>61</v>
      </c>
      <c r="E2980" t="s">
        <v>21</v>
      </c>
      <c r="F2980" s="1">
        <v>56</v>
      </c>
      <c r="G2980" t="s">
        <v>135</v>
      </c>
      <c r="H2980" t="s">
        <v>38</v>
      </c>
      <c r="I2980" t="s">
        <v>109</v>
      </c>
      <c r="J2980" t="s">
        <v>39</v>
      </c>
      <c r="K2980" s="2">
        <v>3.9</v>
      </c>
      <c r="L2980" t="s">
        <v>152</v>
      </c>
      <c r="M2980" t="s">
        <v>27</v>
      </c>
      <c r="N2980" t="s">
        <v>40</v>
      </c>
      <c r="O2980" t="s">
        <v>152</v>
      </c>
      <c r="P2980" t="s">
        <v>152</v>
      </c>
      <c r="Q2980" s="3">
        <v>49</v>
      </c>
      <c r="R2980" t="s">
        <v>34</v>
      </c>
      <c r="S2980" t="s">
        <v>30</v>
      </c>
    </row>
    <row r="2981" spans="1:19" x14ac:dyDescent="0.25">
      <c r="A2981">
        <v>2980</v>
      </c>
      <c r="B2981">
        <v>31</v>
      </c>
      <c r="C2981" t="s">
        <v>153</v>
      </c>
      <c r="D2981" t="s">
        <v>36</v>
      </c>
      <c r="E2981" t="s">
        <v>21</v>
      </c>
      <c r="F2981" s="1">
        <v>91</v>
      </c>
      <c r="G2981" t="s">
        <v>62</v>
      </c>
      <c r="H2981" t="s">
        <v>23</v>
      </c>
      <c r="I2981" t="s">
        <v>79</v>
      </c>
      <c r="J2981" t="s">
        <v>58</v>
      </c>
      <c r="K2981" s="2">
        <v>2.6</v>
      </c>
      <c r="L2981" t="s">
        <v>152</v>
      </c>
      <c r="M2981" t="s">
        <v>46</v>
      </c>
      <c r="N2981" t="s">
        <v>47</v>
      </c>
      <c r="O2981" t="s">
        <v>152</v>
      </c>
      <c r="P2981" t="s">
        <v>152</v>
      </c>
      <c r="Q2981" s="3">
        <v>14</v>
      </c>
      <c r="R2981" t="s">
        <v>46</v>
      </c>
      <c r="S2981" t="s">
        <v>41</v>
      </c>
    </row>
    <row r="2982" spans="1:19" x14ac:dyDescent="0.25">
      <c r="A2982">
        <v>2981</v>
      </c>
      <c r="B2982">
        <v>70</v>
      </c>
      <c r="C2982" t="s">
        <v>153</v>
      </c>
      <c r="D2982" t="s">
        <v>143</v>
      </c>
      <c r="E2982" t="s">
        <v>69</v>
      </c>
      <c r="F2982" s="1">
        <v>93</v>
      </c>
      <c r="G2982" t="s">
        <v>127</v>
      </c>
      <c r="H2982" t="s">
        <v>23</v>
      </c>
      <c r="I2982" t="s">
        <v>86</v>
      </c>
      <c r="J2982" t="s">
        <v>58</v>
      </c>
      <c r="K2982" s="2">
        <v>4.4000000000000004</v>
      </c>
      <c r="L2982" t="s">
        <v>152</v>
      </c>
      <c r="M2982" t="s">
        <v>35</v>
      </c>
      <c r="N2982" t="s">
        <v>72</v>
      </c>
      <c r="O2982" t="s">
        <v>152</v>
      </c>
      <c r="P2982" t="s">
        <v>152</v>
      </c>
      <c r="Q2982" s="3">
        <v>9</v>
      </c>
      <c r="R2982" t="s">
        <v>34</v>
      </c>
      <c r="S2982" t="s">
        <v>88</v>
      </c>
    </row>
    <row r="2983" spans="1:19" x14ac:dyDescent="0.25">
      <c r="A2983">
        <v>2982</v>
      </c>
      <c r="B2983">
        <v>21</v>
      </c>
      <c r="C2983" t="s">
        <v>153</v>
      </c>
      <c r="D2983" t="s">
        <v>95</v>
      </c>
      <c r="E2983" t="s">
        <v>21</v>
      </c>
      <c r="F2983" s="1">
        <v>36</v>
      </c>
      <c r="G2983" t="s">
        <v>80</v>
      </c>
      <c r="H2983" t="s">
        <v>23</v>
      </c>
      <c r="I2983" t="s">
        <v>71</v>
      </c>
      <c r="J2983" t="s">
        <v>25</v>
      </c>
      <c r="K2983" s="2">
        <v>4.9000000000000004</v>
      </c>
      <c r="L2983" t="s">
        <v>152</v>
      </c>
      <c r="M2983" t="s">
        <v>46</v>
      </c>
      <c r="N2983" t="s">
        <v>55</v>
      </c>
      <c r="O2983" t="s">
        <v>152</v>
      </c>
      <c r="P2983" t="s">
        <v>152</v>
      </c>
      <c r="Q2983" s="3">
        <v>37</v>
      </c>
      <c r="R2983" t="s">
        <v>29</v>
      </c>
      <c r="S2983" t="s">
        <v>50</v>
      </c>
    </row>
    <row r="2984" spans="1:19" x14ac:dyDescent="0.25">
      <c r="A2984">
        <v>2983</v>
      </c>
      <c r="B2984">
        <v>33</v>
      </c>
      <c r="C2984" t="s">
        <v>153</v>
      </c>
      <c r="D2984" t="s">
        <v>82</v>
      </c>
      <c r="E2984" t="s">
        <v>21</v>
      </c>
      <c r="F2984" s="1">
        <v>45</v>
      </c>
      <c r="G2984" t="s">
        <v>150</v>
      </c>
      <c r="H2984" t="s">
        <v>45</v>
      </c>
      <c r="I2984" t="s">
        <v>121</v>
      </c>
      <c r="J2984" t="s">
        <v>54</v>
      </c>
      <c r="K2984" s="2">
        <v>3.6</v>
      </c>
      <c r="L2984" t="s">
        <v>152</v>
      </c>
      <c r="M2984" t="s">
        <v>29</v>
      </c>
      <c r="N2984" t="s">
        <v>76</v>
      </c>
      <c r="O2984" t="s">
        <v>152</v>
      </c>
      <c r="P2984" t="s">
        <v>152</v>
      </c>
      <c r="Q2984" s="3">
        <v>4</v>
      </c>
      <c r="R2984" t="s">
        <v>27</v>
      </c>
      <c r="S2984" t="s">
        <v>41</v>
      </c>
    </row>
    <row r="2985" spans="1:19" x14ac:dyDescent="0.25">
      <c r="A2985">
        <v>2984</v>
      </c>
      <c r="B2985">
        <v>60</v>
      </c>
      <c r="C2985" t="s">
        <v>153</v>
      </c>
      <c r="D2985" t="s">
        <v>95</v>
      </c>
      <c r="E2985" t="s">
        <v>21</v>
      </c>
      <c r="F2985" s="1">
        <v>44</v>
      </c>
      <c r="G2985" t="s">
        <v>66</v>
      </c>
      <c r="H2985" t="s">
        <v>45</v>
      </c>
      <c r="I2985" t="s">
        <v>63</v>
      </c>
      <c r="J2985" t="s">
        <v>25</v>
      </c>
      <c r="K2985" s="2">
        <v>2.8</v>
      </c>
      <c r="L2985" t="s">
        <v>152</v>
      </c>
      <c r="M2985" t="s">
        <v>29</v>
      </c>
      <c r="N2985" t="s">
        <v>72</v>
      </c>
      <c r="O2985" t="s">
        <v>152</v>
      </c>
      <c r="P2985" t="s">
        <v>152</v>
      </c>
      <c r="Q2985" s="3">
        <v>1</v>
      </c>
      <c r="R2985" t="s">
        <v>27</v>
      </c>
      <c r="S2985" t="s">
        <v>60</v>
      </c>
    </row>
    <row r="2986" spans="1:19" x14ac:dyDescent="0.25">
      <c r="A2986">
        <v>2985</v>
      </c>
      <c r="B2986">
        <v>45</v>
      </c>
      <c r="C2986" t="s">
        <v>153</v>
      </c>
      <c r="D2986" t="s">
        <v>143</v>
      </c>
      <c r="E2986" t="s">
        <v>69</v>
      </c>
      <c r="F2986" s="1">
        <v>32</v>
      </c>
      <c r="G2986" t="s">
        <v>105</v>
      </c>
      <c r="H2986" t="s">
        <v>23</v>
      </c>
      <c r="I2986" t="s">
        <v>108</v>
      </c>
      <c r="J2986" t="s">
        <v>39</v>
      </c>
      <c r="K2986" s="2">
        <v>4.3</v>
      </c>
      <c r="L2986" t="s">
        <v>152</v>
      </c>
      <c r="M2986" t="s">
        <v>46</v>
      </c>
      <c r="N2986" t="s">
        <v>72</v>
      </c>
      <c r="O2986" t="s">
        <v>152</v>
      </c>
      <c r="P2986" t="s">
        <v>152</v>
      </c>
      <c r="Q2986" s="3">
        <v>36</v>
      </c>
      <c r="R2986" t="s">
        <v>59</v>
      </c>
      <c r="S2986" t="s">
        <v>77</v>
      </c>
    </row>
    <row r="2987" spans="1:19" x14ac:dyDescent="0.25">
      <c r="A2987">
        <v>2986</v>
      </c>
      <c r="B2987">
        <v>46</v>
      </c>
      <c r="C2987" t="s">
        <v>153</v>
      </c>
      <c r="D2987" t="s">
        <v>133</v>
      </c>
      <c r="E2987" t="s">
        <v>69</v>
      </c>
      <c r="F2987" s="1">
        <v>36</v>
      </c>
      <c r="G2987" t="s">
        <v>78</v>
      </c>
      <c r="H2987" t="s">
        <v>38</v>
      </c>
      <c r="I2987" t="s">
        <v>86</v>
      </c>
      <c r="J2987" t="s">
        <v>54</v>
      </c>
      <c r="K2987" s="2">
        <v>3</v>
      </c>
      <c r="L2987" t="s">
        <v>152</v>
      </c>
      <c r="M2987" t="s">
        <v>29</v>
      </c>
      <c r="N2987" t="s">
        <v>28</v>
      </c>
      <c r="O2987" t="s">
        <v>152</v>
      </c>
      <c r="P2987" t="s">
        <v>152</v>
      </c>
      <c r="Q2987" s="3">
        <v>21</v>
      </c>
      <c r="R2987" t="s">
        <v>35</v>
      </c>
      <c r="S2987" t="s">
        <v>77</v>
      </c>
    </row>
    <row r="2988" spans="1:19" x14ac:dyDescent="0.25">
      <c r="A2988">
        <v>2987</v>
      </c>
      <c r="B2988">
        <v>62</v>
      </c>
      <c r="C2988" t="s">
        <v>153</v>
      </c>
      <c r="D2988" t="s">
        <v>133</v>
      </c>
      <c r="E2988" t="s">
        <v>69</v>
      </c>
      <c r="F2988" s="1">
        <v>85</v>
      </c>
      <c r="G2988" t="s">
        <v>117</v>
      </c>
      <c r="H2988" t="s">
        <v>38</v>
      </c>
      <c r="I2988" t="s">
        <v>67</v>
      </c>
      <c r="J2988" t="s">
        <v>54</v>
      </c>
      <c r="K2988" s="2">
        <v>3.3</v>
      </c>
      <c r="L2988" t="s">
        <v>152</v>
      </c>
      <c r="M2988" t="s">
        <v>27</v>
      </c>
      <c r="N2988" t="s">
        <v>72</v>
      </c>
      <c r="O2988" t="s">
        <v>152</v>
      </c>
      <c r="P2988" t="s">
        <v>152</v>
      </c>
      <c r="Q2988" s="3">
        <v>16</v>
      </c>
      <c r="R2988" t="s">
        <v>27</v>
      </c>
      <c r="S2988" t="s">
        <v>88</v>
      </c>
    </row>
    <row r="2989" spans="1:19" x14ac:dyDescent="0.25">
      <c r="A2989">
        <v>2988</v>
      </c>
      <c r="B2989">
        <v>63</v>
      </c>
      <c r="C2989" t="s">
        <v>153</v>
      </c>
      <c r="D2989" t="s">
        <v>87</v>
      </c>
      <c r="E2989" t="s">
        <v>21</v>
      </c>
      <c r="F2989" s="1">
        <v>36</v>
      </c>
      <c r="G2989" t="s">
        <v>62</v>
      </c>
      <c r="H2989" t="s">
        <v>23</v>
      </c>
      <c r="I2989" t="s">
        <v>94</v>
      </c>
      <c r="J2989" t="s">
        <v>25</v>
      </c>
      <c r="K2989" s="2">
        <v>2.5</v>
      </c>
      <c r="L2989" t="s">
        <v>152</v>
      </c>
      <c r="M2989" t="s">
        <v>59</v>
      </c>
      <c r="N2989" t="s">
        <v>76</v>
      </c>
      <c r="O2989" t="s">
        <v>152</v>
      </c>
      <c r="P2989" t="s">
        <v>152</v>
      </c>
      <c r="Q2989" s="3">
        <v>42</v>
      </c>
      <c r="R2989" t="s">
        <v>35</v>
      </c>
      <c r="S2989" t="s">
        <v>88</v>
      </c>
    </row>
    <row r="2990" spans="1:19" x14ac:dyDescent="0.25">
      <c r="A2990">
        <v>2989</v>
      </c>
      <c r="B2990">
        <v>69</v>
      </c>
      <c r="C2990" t="s">
        <v>153</v>
      </c>
      <c r="D2990" t="s">
        <v>125</v>
      </c>
      <c r="E2990" t="s">
        <v>21</v>
      </c>
      <c r="F2990" s="1">
        <v>55</v>
      </c>
      <c r="G2990" t="s">
        <v>107</v>
      </c>
      <c r="H2990" t="s">
        <v>38</v>
      </c>
      <c r="I2990" t="s">
        <v>71</v>
      </c>
      <c r="J2990" t="s">
        <v>39</v>
      </c>
      <c r="K2990" s="2">
        <v>5</v>
      </c>
      <c r="L2990" t="s">
        <v>152</v>
      </c>
      <c r="M2990" t="s">
        <v>59</v>
      </c>
      <c r="N2990" t="s">
        <v>72</v>
      </c>
      <c r="O2990" t="s">
        <v>152</v>
      </c>
      <c r="P2990" t="s">
        <v>152</v>
      </c>
      <c r="Q2990" s="3">
        <v>31</v>
      </c>
      <c r="R2990" t="s">
        <v>59</v>
      </c>
      <c r="S2990" t="s">
        <v>88</v>
      </c>
    </row>
    <row r="2991" spans="1:19" x14ac:dyDescent="0.25">
      <c r="A2991">
        <v>2990</v>
      </c>
      <c r="B2991">
        <v>46</v>
      </c>
      <c r="C2991" t="s">
        <v>153</v>
      </c>
      <c r="D2991" t="s">
        <v>133</v>
      </c>
      <c r="E2991" t="s">
        <v>69</v>
      </c>
      <c r="F2991" s="1">
        <v>20</v>
      </c>
      <c r="G2991" t="s">
        <v>44</v>
      </c>
      <c r="H2991" t="s">
        <v>92</v>
      </c>
      <c r="I2991" t="s">
        <v>86</v>
      </c>
      <c r="J2991" t="s">
        <v>54</v>
      </c>
      <c r="K2991" s="2">
        <v>4.3</v>
      </c>
      <c r="L2991" t="s">
        <v>152</v>
      </c>
      <c r="M2991" t="s">
        <v>35</v>
      </c>
      <c r="N2991" t="s">
        <v>72</v>
      </c>
      <c r="O2991" t="s">
        <v>152</v>
      </c>
      <c r="P2991" t="s">
        <v>152</v>
      </c>
      <c r="Q2991" s="3">
        <v>6</v>
      </c>
      <c r="R2991" t="s">
        <v>27</v>
      </c>
      <c r="S2991" t="s">
        <v>41</v>
      </c>
    </row>
    <row r="2992" spans="1:19" x14ac:dyDescent="0.25">
      <c r="A2992">
        <v>2991</v>
      </c>
      <c r="B2992">
        <v>69</v>
      </c>
      <c r="C2992" t="s">
        <v>153</v>
      </c>
      <c r="D2992" t="s">
        <v>56</v>
      </c>
      <c r="E2992" t="s">
        <v>21</v>
      </c>
      <c r="F2992" s="1">
        <v>91</v>
      </c>
      <c r="G2992" t="s">
        <v>115</v>
      </c>
      <c r="H2992" t="s">
        <v>45</v>
      </c>
      <c r="I2992" t="s">
        <v>86</v>
      </c>
      <c r="J2992" t="s">
        <v>58</v>
      </c>
      <c r="K2992" s="2">
        <v>4.2</v>
      </c>
      <c r="L2992" t="s">
        <v>152</v>
      </c>
      <c r="M2992" t="s">
        <v>29</v>
      </c>
      <c r="N2992" t="s">
        <v>40</v>
      </c>
      <c r="O2992" t="s">
        <v>152</v>
      </c>
      <c r="P2992" t="s">
        <v>152</v>
      </c>
      <c r="Q2992" s="3">
        <v>24</v>
      </c>
      <c r="R2992" t="s">
        <v>29</v>
      </c>
      <c r="S2992" t="s">
        <v>88</v>
      </c>
    </row>
    <row r="2993" spans="1:19" x14ac:dyDescent="0.25">
      <c r="A2993">
        <v>2992</v>
      </c>
      <c r="B2993">
        <v>66</v>
      </c>
      <c r="C2993" t="s">
        <v>153</v>
      </c>
      <c r="D2993" t="s">
        <v>82</v>
      </c>
      <c r="E2993" t="s">
        <v>21</v>
      </c>
      <c r="F2993" s="1">
        <v>71</v>
      </c>
      <c r="G2993" t="s">
        <v>140</v>
      </c>
      <c r="H2993" t="s">
        <v>23</v>
      </c>
      <c r="I2993" t="s">
        <v>96</v>
      </c>
      <c r="J2993" t="s">
        <v>54</v>
      </c>
      <c r="K2993" s="2">
        <v>3.9</v>
      </c>
      <c r="L2993" t="s">
        <v>152</v>
      </c>
      <c r="M2993" t="s">
        <v>46</v>
      </c>
      <c r="N2993" t="s">
        <v>55</v>
      </c>
      <c r="O2993" t="s">
        <v>152</v>
      </c>
      <c r="P2993" t="s">
        <v>152</v>
      </c>
      <c r="Q2993" s="3">
        <v>7</v>
      </c>
      <c r="R2993" t="s">
        <v>46</v>
      </c>
      <c r="S2993" t="s">
        <v>77</v>
      </c>
    </row>
    <row r="2994" spans="1:19" x14ac:dyDescent="0.25">
      <c r="A2994">
        <v>2993</v>
      </c>
      <c r="B2994">
        <v>41</v>
      </c>
      <c r="C2994" t="s">
        <v>153</v>
      </c>
      <c r="D2994" t="s">
        <v>125</v>
      </c>
      <c r="E2994" t="s">
        <v>21</v>
      </c>
      <c r="F2994" s="1">
        <v>64</v>
      </c>
      <c r="G2994" t="s">
        <v>114</v>
      </c>
      <c r="H2994" t="s">
        <v>45</v>
      </c>
      <c r="I2994" t="s">
        <v>63</v>
      </c>
      <c r="J2994" t="s">
        <v>39</v>
      </c>
      <c r="K2994" s="2">
        <v>3.9</v>
      </c>
      <c r="L2994" t="s">
        <v>152</v>
      </c>
      <c r="M2994" t="s">
        <v>34</v>
      </c>
      <c r="N2994" t="s">
        <v>76</v>
      </c>
      <c r="O2994" t="s">
        <v>152</v>
      </c>
      <c r="P2994" t="s">
        <v>152</v>
      </c>
      <c r="Q2994" s="3">
        <v>25</v>
      </c>
      <c r="R2994" t="s">
        <v>29</v>
      </c>
      <c r="S2994" t="s">
        <v>41</v>
      </c>
    </row>
    <row r="2995" spans="1:19" x14ac:dyDescent="0.25">
      <c r="A2995">
        <v>2994</v>
      </c>
      <c r="B2995">
        <v>32</v>
      </c>
      <c r="C2995" t="s">
        <v>153</v>
      </c>
      <c r="D2995" t="s">
        <v>102</v>
      </c>
      <c r="E2995" t="s">
        <v>65</v>
      </c>
      <c r="F2995" s="1">
        <v>21</v>
      </c>
      <c r="G2995" t="s">
        <v>111</v>
      </c>
      <c r="H2995" t="s">
        <v>23</v>
      </c>
      <c r="I2995" t="s">
        <v>126</v>
      </c>
      <c r="J2995" t="s">
        <v>39</v>
      </c>
      <c r="K2995" s="2">
        <v>4.2</v>
      </c>
      <c r="L2995" t="s">
        <v>152</v>
      </c>
      <c r="M2995" t="s">
        <v>34</v>
      </c>
      <c r="N2995" t="s">
        <v>40</v>
      </c>
      <c r="O2995" t="s">
        <v>152</v>
      </c>
      <c r="P2995" t="s">
        <v>152</v>
      </c>
      <c r="Q2995" s="3">
        <v>18</v>
      </c>
      <c r="R2995" t="s">
        <v>35</v>
      </c>
      <c r="S2995" t="s">
        <v>77</v>
      </c>
    </row>
    <row r="2996" spans="1:19" x14ac:dyDescent="0.25">
      <c r="A2996">
        <v>2995</v>
      </c>
      <c r="B2996">
        <v>69</v>
      </c>
      <c r="C2996" t="s">
        <v>153</v>
      </c>
      <c r="D2996" t="s">
        <v>31</v>
      </c>
      <c r="E2996" t="s">
        <v>21</v>
      </c>
      <c r="F2996" s="1">
        <v>100</v>
      </c>
      <c r="G2996" t="s">
        <v>107</v>
      </c>
      <c r="H2996" t="s">
        <v>38</v>
      </c>
      <c r="I2996" t="s">
        <v>53</v>
      </c>
      <c r="J2996" t="s">
        <v>25</v>
      </c>
      <c r="K2996" s="2">
        <v>3.5</v>
      </c>
      <c r="L2996" t="s">
        <v>152</v>
      </c>
      <c r="M2996" t="s">
        <v>35</v>
      </c>
      <c r="N2996" t="s">
        <v>76</v>
      </c>
      <c r="O2996" t="s">
        <v>152</v>
      </c>
      <c r="P2996" t="s">
        <v>152</v>
      </c>
      <c r="Q2996" s="3">
        <v>14</v>
      </c>
      <c r="R2996" t="s">
        <v>34</v>
      </c>
      <c r="S2996" t="s">
        <v>60</v>
      </c>
    </row>
    <row r="2997" spans="1:19" x14ac:dyDescent="0.25">
      <c r="A2997">
        <v>2996</v>
      </c>
      <c r="B2997">
        <v>29</v>
      </c>
      <c r="C2997" t="s">
        <v>153</v>
      </c>
      <c r="D2997" t="s">
        <v>36</v>
      </c>
      <c r="E2997" t="s">
        <v>21</v>
      </c>
      <c r="F2997" s="1">
        <v>96</v>
      </c>
      <c r="G2997" t="s">
        <v>141</v>
      </c>
      <c r="H2997" t="s">
        <v>45</v>
      </c>
      <c r="I2997" t="s">
        <v>121</v>
      </c>
      <c r="J2997" t="s">
        <v>54</v>
      </c>
      <c r="K2997" s="2">
        <v>2.5</v>
      </c>
      <c r="L2997" t="s">
        <v>152</v>
      </c>
      <c r="M2997" t="s">
        <v>29</v>
      </c>
      <c r="N2997" t="s">
        <v>55</v>
      </c>
      <c r="O2997" t="s">
        <v>152</v>
      </c>
      <c r="P2997" t="s">
        <v>152</v>
      </c>
      <c r="Q2997" s="3">
        <v>42</v>
      </c>
      <c r="R2997" t="s">
        <v>59</v>
      </c>
      <c r="S2997" t="s">
        <v>77</v>
      </c>
    </row>
    <row r="2998" spans="1:19" x14ac:dyDescent="0.25">
      <c r="A2998">
        <v>2997</v>
      </c>
      <c r="B2998">
        <v>70</v>
      </c>
      <c r="C2998" t="s">
        <v>153</v>
      </c>
      <c r="D2998" t="s">
        <v>106</v>
      </c>
      <c r="E2998" t="s">
        <v>69</v>
      </c>
      <c r="F2998" s="1">
        <v>91</v>
      </c>
      <c r="G2998" t="s">
        <v>140</v>
      </c>
      <c r="H2998" t="s">
        <v>45</v>
      </c>
      <c r="I2998" t="s">
        <v>53</v>
      </c>
      <c r="J2998" t="s">
        <v>39</v>
      </c>
      <c r="K2998" s="2">
        <v>2.9</v>
      </c>
      <c r="L2998" t="s">
        <v>152</v>
      </c>
      <c r="M2998" t="s">
        <v>27</v>
      </c>
      <c r="N2998" t="s">
        <v>28</v>
      </c>
      <c r="O2998" t="s">
        <v>152</v>
      </c>
      <c r="P2998" t="s">
        <v>152</v>
      </c>
      <c r="Q2998" s="3">
        <v>6</v>
      </c>
      <c r="R2998" t="s">
        <v>29</v>
      </c>
      <c r="S2998" t="s">
        <v>97</v>
      </c>
    </row>
    <row r="2999" spans="1:19" x14ac:dyDescent="0.25">
      <c r="A2999">
        <v>2998</v>
      </c>
      <c r="B2999">
        <v>41</v>
      </c>
      <c r="C2999" t="s">
        <v>153</v>
      </c>
      <c r="D2999" t="s">
        <v>31</v>
      </c>
      <c r="E2999" t="s">
        <v>21</v>
      </c>
      <c r="F2999" s="1">
        <v>40</v>
      </c>
      <c r="G2999" t="s">
        <v>135</v>
      </c>
      <c r="H2999" t="s">
        <v>38</v>
      </c>
      <c r="I2999" t="s">
        <v>134</v>
      </c>
      <c r="J2999" t="s">
        <v>39</v>
      </c>
      <c r="K2999" s="2">
        <v>2.7</v>
      </c>
      <c r="L2999" t="s">
        <v>152</v>
      </c>
      <c r="M2999" t="s">
        <v>29</v>
      </c>
      <c r="N2999" t="s">
        <v>47</v>
      </c>
      <c r="O2999" t="s">
        <v>152</v>
      </c>
      <c r="P2999" t="s">
        <v>152</v>
      </c>
      <c r="Q2999" s="3">
        <v>14</v>
      </c>
      <c r="R2999" t="s">
        <v>29</v>
      </c>
      <c r="S2999" t="s">
        <v>97</v>
      </c>
    </row>
    <row r="3000" spans="1:19" x14ac:dyDescent="0.25">
      <c r="A3000">
        <v>2999</v>
      </c>
      <c r="B3000">
        <v>31</v>
      </c>
      <c r="C3000" t="s">
        <v>153</v>
      </c>
      <c r="D3000" t="s">
        <v>104</v>
      </c>
      <c r="E3000" t="s">
        <v>21</v>
      </c>
      <c r="F3000" s="1">
        <v>53</v>
      </c>
      <c r="G3000" t="s">
        <v>120</v>
      </c>
      <c r="H3000" t="s">
        <v>45</v>
      </c>
      <c r="I3000" t="s">
        <v>108</v>
      </c>
      <c r="J3000" t="s">
        <v>54</v>
      </c>
      <c r="K3000" s="2">
        <v>4.7</v>
      </c>
      <c r="L3000" t="s">
        <v>152</v>
      </c>
      <c r="M3000" t="s">
        <v>29</v>
      </c>
      <c r="N3000" t="s">
        <v>28</v>
      </c>
      <c r="O3000" t="s">
        <v>152</v>
      </c>
      <c r="P3000" t="s">
        <v>152</v>
      </c>
      <c r="Q3000" s="3">
        <v>30</v>
      </c>
      <c r="R3000" t="s">
        <v>59</v>
      </c>
      <c r="S3000" t="s">
        <v>60</v>
      </c>
    </row>
    <row r="3001" spans="1:19" x14ac:dyDescent="0.25">
      <c r="A3001">
        <v>3000</v>
      </c>
      <c r="B3001">
        <v>31</v>
      </c>
      <c r="C3001" t="s">
        <v>153</v>
      </c>
      <c r="D3001" t="s">
        <v>89</v>
      </c>
      <c r="E3001" t="s">
        <v>69</v>
      </c>
      <c r="F3001" s="1">
        <v>48</v>
      </c>
      <c r="G3001" t="s">
        <v>83</v>
      </c>
      <c r="H3001" t="s">
        <v>38</v>
      </c>
      <c r="I3001" t="s">
        <v>63</v>
      </c>
      <c r="J3001" t="s">
        <v>25</v>
      </c>
      <c r="K3001" s="2">
        <v>3.8</v>
      </c>
      <c r="L3001" t="s">
        <v>152</v>
      </c>
      <c r="M3001" t="s">
        <v>34</v>
      </c>
      <c r="N3001" t="s">
        <v>55</v>
      </c>
      <c r="O3001" t="s">
        <v>152</v>
      </c>
      <c r="P3001" t="s">
        <v>152</v>
      </c>
      <c r="Q3001" s="3">
        <v>10</v>
      </c>
      <c r="R3001" t="s">
        <v>35</v>
      </c>
      <c r="S3001" t="s">
        <v>88</v>
      </c>
    </row>
    <row r="3002" spans="1:19" x14ac:dyDescent="0.25">
      <c r="A3002">
        <v>3001</v>
      </c>
      <c r="B3002">
        <v>57</v>
      </c>
      <c r="C3002" t="s">
        <v>153</v>
      </c>
      <c r="D3002" t="s">
        <v>42</v>
      </c>
      <c r="E3002" t="s">
        <v>43</v>
      </c>
      <c r="F3002" s="1">
        <v>70</v>
      </c>
      <c r="G3002" t="s">
        <v>123</v>
      </c>
      <c r="H3002" t="s">
        <v>45</v>
      </c>
      <c r="I3002" t="s">
        <v>93</v>
      </c>
      <c r="J3002" t="s">
        <v>25</v>
      </c>
      <c r="K3002" s="2">
        <v>3.7</v>
      </c>
      <c r="L3002" t="s">
        <v>152</v>
      </c>
      <c r="M3002" t="s">
        <v>35</v>
      </c>
      <c r="N3002" t="s">
        <v>28</v>
      </c>
      <c r="O3002" t="s">
        <v>152</v>
      </c>
      <c r="P3002" t="s">
        <v>152</v>
      </c>
      <c r="Q3002" s="3">
        <v>7</v>
      </c>
      <c r="R3002" t="s">
        <v>46</v>
      </c>
      <c r="S3002" t="s">
        <v>41</v>
      </c>
    </row>
    <row r="3003" spans="1:19" x14ac:dyDescent="0.25">
      <c r="A3003">
        <v>3002</v>
      </c>
      <c r="B3003">
        <v>29</v>
      </c>
      <c r="C3003" t="s">
        <v>153</v>
      </c>
      <c r="D3003" t="s">
        <v>64</v>
      </c>
      <c r="E3003" t="s">
        <v>65</v>
      </c>
      <c r="F3003" s="1">
        <v>29</v>
      </c>
      <c r="G3003" t="s">
        <v>57</v>
      </c>
      <c r="H3003" t="s">
        <v>23</v>
      </c>
      <c r="I3003" t="s">
        <v>63</v>
      </c>
      <c r="J3003" t="s">
        <v>54</v>
      </c>
      <c r="K3003" s="2">
        <v>4.7</v>
      </c>
      <c r="L3003" t="s">
        <v>152</v>
      </c>
      <c r="M3003" t="s">
        <v>27</v>
      </c>
      <c r="N3003" t="s">
        <v>28</v>
      </c>
      <c r="O3003" t="s">
        <v>152</v>
      </c>
      <c r="P3003" t="s">
        <v>152</v>
      </c>
      <c r="Q3003" s="3">
        <v>28</v>
      </c>
      <c r="R3003" t="s">
        <v>27</v>
      </c>
      <c r="S3003" t="s">
        <v>60</v>
      </c>
    </row>
    <row r="3004" spans="1:19" x14ac:dyDescent="0.25">
      <c r="A3004">
        <v>3003</v>
      </c>
      <c r="B3004">
        <v>70</v>
      </c>
      <c r="C3004" t="s">
        <v>153</v>
      </c>
      <c r="D3004" t="s">
        <v>133</v>
      </c>
      <c r="E3004" t="s">
        <v>69</v>
      </c>
      <c r="F3004" s="1">
        <v>29</v>
      </c>
      <c r="G3004" t="s">
        <v>62</v>
      </c>
      <c r="H3004" t="s">
        <v>45</v>
      </c>
      <c r="I3004" t="s">
        <v>33</v>
      </c>
      <c r="J3004" t="s">
        <v>58</v>
      </c>
      <c r="K3004" s="2">
        <v>3.6</v>
      </c>
      <c r="L3004" t="s">
        <v>152</v>
      </c>
      <c r="M3004" t="s">
        <v>35</v>
      </c>
      <c r="N3004" t="s">
        <v>47</v>
      </c>
      <c r="O3004" t="s">
        <v>152</v>
      </c>
      <c r="P3004" t="s">
        <v>152</v>
      </c>
      <c r="Q3004" s="3">
        <v>19</v>
      </c>
      <c r="R3004" t="s">
        <v>34</v>
      </c>
      <c r="S3004" t="s">
        <v>60</v>
      </c>
    </row>
    <row r="3005" spans="1:19" x14ac:dyDescent="0.25">
      <c r="A3005">
        <v>3004</v>
      </c>
      <c r="B3005">
        <v>51</v>
      </c>
      <c r="C3005" t="s">
        <v>153</v>
      </c>
      <c r="D3005" t="s">
        <v>20</v>
      </c>
      <c r="E3005" t="s">
        <v>21</v>
      </c>
      <c r="F3005" s="1">
        <v>53</v>
      </c>
      <c r="G3005" t="s">
        <v>48</v>
      </c>
      <c r="H3005" t="s">
        <v>45</v>
      </c>
      <c r="I3005" t="s">
        <v>110</v>
      </c>
      <c r="J3005" t="s">
        <v>58</v>
      </c>
      <c r="K3005" s="2">
        <v>2.8</v>
      </c>
      <c r="L3005" t="s">
        <v>152</v>
      </c>
      <c r="M3005" t="s">
        <v>29</v>
      </c>
      <c r="N3005" t="s">
        <v>28</v>
      </c>
      <c r="O3005" t="s">
        <v>152</v>
      </c>
      <c r="P3005" t="s">
        <v>152</v>
      </c>
      <c r="Q3005" s="3">
        <v>13</v>
      </c>
      <c r="R3005" t="s">
        <v>27</v>
      </c>
      <c r="S3005" t="s">
        <v>97</v>
      </c>
    </row>
    <row r="3006" spans="1:19" x14ac:dyDescent="0.25">
      <c r="A3006">
        <v>3005</v>
      </c>
      <c r="B3006">
        <v>45</v>
      </c>
      <c r="C3006" t="s">
        <v>153</v>
      </c>
      <c r="D3006" t="s">
        <v>87</v>
      </c>
      <c r="E3006" t="s">
        <v>21</v>
      </c>
      <c r="F3006" s="1">
        <v>79</v>
      </c>
      <c r="G3006" t="s">
        <v>117</v>
      </c>
      <c r="H3006" t="s">
        <v>45</v>
      </c>
      <c r="I3006" t="s">
        <v>93</v>
      </c>
      <c r="J3006" t="s">
        <v>25</v>
      </c>
      <c r="K3006" s="2">
        <v>3.7</v>
      </c>
      <c r="L3006" t="s">
        <v>152</v>
      </c>
      <c r="M3006" t="s">
        <v>29</v>
      </c>
      <c r="N3006" t="s">
        <v>76</v>
      </c>
      <c r="O3006" t="s">
        <v>152</v>
      </c>
      <c r="P3006" t="s">
        <v>152</v>
      </c>
      <c r="Q3006" s="3">
        <v>23</v>
      </c>
      <c r="R3006" t="s">
        <v>29</v>
      </c>
      <c r="S3006" t="s">
        <v>30</v>
      </c>
    </row>
    <row r="3007" spans="1:19" x14ac:dyDescent="0.25">
      <c r="A3007">
        <v>3006</v>
      </c>
      <c r="B3007">
        <v>18</v>
      </c>
      <c r="C3007" t="s">
        <v>153</v>
      </c>
      <c r="D3007" t="s">
        <v>61</v>
      </c>
      <c r="E3007" t="s">
        <v>21</v>
      </c>
      <c r="F3007" s="1">
        <v>65</v>
      </c>
      <c r="G3007" t="s">
        <v>120</v>
      </c>
      <c r="H3007" t="s">
        <v>92</v>
      </c>
      <c r="I3007" t="s">
        <v>110</v>
      </c>
      <c r="J3007" t="s">
        <v>39</v>
      </c>
      <c r="K3007" s="2">
        <v>3.5</v>
      </c>
      <c r="L3007" t="s">
        <v>152</v>
      </c>
      <c r="M3007" t="s">
        <v>34</v>
      </c>
      <c r="N3007" t="s">
        <v>28</v>
      </c>
      <c r="O3007" t="s">
        <v>152</v>
      </c>
      <c r="P3007" t="s">
        <v>152</v>
      </c>
      <c r="Q3007" s="3">
        <v>5</v>
      </c>
      <c r="R3007" t="s">
        <v>29</v>
      </c>
      <c r="S3007" t="s">
        <v>41</v>
      </c>
    </row>
    <row r="3008" spans="1:19" x14ac:dyDescent="0.25">
      <c r="A3008">
        <v>3007</v>
      </c>
      <c r="B3008">
        <v>37</v>
      </c>
      <c r="C3008" t="s">
        <v>153</v>
      </c>
      <c r="D3008" t="s">
        <v>82</v>
      </c>
      <c r="E3008" t="s">
        <v>21</v>
      </c>
      <c r="F3008" s="1">
        <v>99</v>
      </c>
      <c r="G3008" t="s">
        <v>140</v>
      </c>
      <c r="H3008" t="s">
        <v>45</v>
      </c>
      <c r="I3008" t="s">
        <v>79</v>
      </c>
      <c r="J3008" t="s">
        <v>54</v>
      </c>
      <c r="K3008" s="2">
        <v>3.7</v>
      </c>
      <c r="L3008" t="s">
        <v>152</v>
      </c>
      <c r="M3008" t="s">
        <v>29</v>
      </c>
      <c r="N3008" t="s">
        <v>76</v>
      </c>
      <c r="O3008" t="s">
        <v>152</v>
      </c>
      <c r="P3008" t="s">
        <v>152</v>
      </c>
      <c r="Q3008" s="3">
        <v>17</v>
      </c>
      <c r="R3008" t="s">
        <v>29</v>
      </c>
      <c r="S3008" t="s">
        <v>77</v>
      </c>
    </row>
    <row r="3009" spans="1:19" x14ac:dyDescent="0.25">
      <c r="A3009">
        <v>3008</v>
      </c>
      <c r="B3009">
        <v>23</v>
      </c>
      <c r="C3009" t="s">
        <v>153</v>
      </c>
      <c r="D3009" t="s">
        <v>89</v>
      </c>
      <c r="E3009" t="s">
        <v>69</v>
      </c>
      <c r="F3009" s="1">
        <v>60</v>
      </c>
      <c r="G3009" t="s">
        <v>85</v>
      </c>
      <c r="H3009" t="s">
        <v>23</v>
      </c>
      <c r="I3009" t="s">
        <v>93</v>
      </c>
      <c r="J3009" t="s">
        <v>25</v>
      </c>
      <c r="K3009" s="2">
        <v>3</v>
      </c>
      <c r="L3009" t="s">
        <v>152</v>
      </c>
      <c r="M3009" t="s">
        <v>59</v>
      </c>
      <c r="N3009" t="s">
        <v>47</v>
      </c>
      <c r="O3009" t="s">
        <v>152</v>
      </c>
      <c r="P3009" t="s">
        <v>152</v>
      </c>
      <c r="Q3009" s="3">
        <v>31</v>
      </c>
      <c r="R3009" t="s">
        <v>29</v>
      </c>
      <c r="S3009" t="s">
        <v>41</v>
      </c>
    </row>
    <row r="3010" spans="1:19" x14ac:dyDescent="0.25">
      <c r="A3010">
        <v>3009</v>
      </c>
      <c r="B3010">
        <v>39</v>
      </c>
      <c r="C3010" t="s">
        <v>153</v>
      </c>
      <c r="D3010" t="s">
        <v>73</v>
      </c>
      <c r="E3010" t="s">
        <v>43</v>
      </c>
      <c r="F3010" s="1">
        <v>86</v>
      </c>
      <c r="G3010" t="s">
        <v>130</v>
      </c>
      <c r="H3010" t="s">
        <v>45</v>
      </c>
      <c r="I3010" t="s">
        <v>81</v>
      </c>
      <c r="J3010" t="s">
        <v>25</v>
      </c>
      <c r="K3010" s="2">
        <v>4.9000000000000004</v>
      </c>
      <c r="L3010" t="s">
        <v>152</v>
      </c>
      <c r="M3010" t="s">
        <v>35</v>
      </c>
      <c r="N3010" t="s">
        <v>40</v>
      </c>
      <c r="O3010" t="s">
        <v>152</v>
      </c>
      <c r="P3010" t="s">
        <v>152</v>
      </c>
      <c r="Q3010" s="3">
        <v>19</v>
      </c>
      <c r="R3010" t="s">
        <v>46</v>
      </c>
      <c r="S3010" t="s">
        <v>41</v>
      </c>
    </row>
    <row r="3011" spans="1:19" x14ac:dyDescent="0.25">
      <c r="A3011">
        <v>3010</v>
      </c>
      <c r="B3011">
        <v>62</v>
      </c>
      <c r="C3011" t="s">
        <v>153</v>
      </c>
      <c r="D3011" t="s">
        <v>133</v>
      </c>
      <c r="E3011" t="s">
        <v>69</v>
      </c>
      <c r="F3011" s="1">
        <v>73</v>
      </c>
      <c r="G3011" t="s">
        <v>62</v>
      </c>
      <c r="H3011" t="s">
        <v>45</v>
      </c>
      <c r="I3011" t="s">
        <v>67</v>
      </c>
      <c r="J3011" t="s">
        <v>25</v>
      </c>
      <c r="K3011" s="2">
        <v>4.5999999999999996</v>
      </c>
      <c r="L3011" t="s">
        <v>152</v>
      </c>
      <c r="M3011" t="s">
        <v>29</v>
      </c>
      <c r="N3011" t="s">
        <v>40</v>
      </c>
      <c r="O3011" t="s">
        <v>152</v>
      </c>
      <c r="P3011" t="s">
        <v>152</v>
      </c>
      <c r="Q3011" s="3">
        <v>8</v>
      </c>
      <c r="R3011" t="s">
        <v>29</v>
      </c>
      <c r="S3011" t="s">
        <v>30</v>
      </c>
    </row>
    <row r="3012" spans="1:19" x14ac:dyDescent="0.25">
      <c r="A3012">
        <v>3011</v>
      </c>
      <c r="B3012">
        <v>70</v>
      </c>
      <c r="C3012" t="s">
        <v>153</v>
      </c>
      <c r="D3012" t="s">
        <v>133</v>
      </c>
      <c r="E3012" t="s">
        <v>69</v>
      </c>
      <c r="F3012" s="1">
        <v>45</v>
      </c>
      <c r="G3012" t="s">
        <v>123</v>
      </c>
      <c r="H3012" t="s">
        <v>45</v>
      </c>
      <c r="I3012" t="s">
        <v>84</v>
      </c>
      <c r="J3012" t="s">
        <v>25</v>
      </c>
      <c r="K3012" s="2">
        <v>3.3</v>
      </c>
      <c r="L3012" t="s">
        <v>152</v>
      </c>
      <c r="M3012" t="s">
        <v>34</v>
      </c>
      <c r="N3012" t="s">
        <v>40</v>
      </c>
      <c r="O3012" t="s">
        <v>152</v>
      </c>
      <c r="P3012" t="s">
        <v>152</v>
      </c>
      <c r="Q3012" s="3">
        <v>15</v>
      </c>
      <c r="R3012" t="s">
        <v>27</v>
      </c>
      <c r="S3012" t="s">
        <v>50</v>
      </c>
    </row>
    <row r="3013" spans="1:19" x14ac:dyDescent="0.25">
      <c r="A3013">
        <v>3012</v>
      </c>
      <c r="B3013">
        <v>20</v>
      </c>
      <c r="C3013" t="s">
        <v>153</v>
      </c>
      <c r="D3013" t="s">
        <v>133</v>
      </c>
      <c r="E3013" t="s">
        <v>69</v>
      </c>
      <c r="F3013" s="1">
        <v>70</v>
      </c>
      <c r="G3013" t="s">
        <v>107</v>
      </c>
      <c r="H3013" t="s">
        <v>38</v>
      </c>
      <c r="I3013" t="s">
        <v>110</v>
      </c>
      <c r="J3013" t="s">
        <v>54</v>
      </c>
      <c r="K3013" s="2">
        <v>3</v>
      </c>
      <c r="L3013" t="s">
        <v>152</v>
      </c>
      <c r="M3013" t="s">
        <v>34</v>
      </c>
      <c r="N3013" t="s">
        <v>47</v>
      </c>
      <c r="O3013" t="s">
        <v>152</v>
      </c>
      <c r="P3013" t="s">
        <v>152</v>
      </c>
      <c r="Q3013" s="3">
        <v>18</v>
      </c>
      <c r="R3013" t="s">
        <v>27</v>
      </c>
      <c r="S3013" t="s">
        <v>97</v>
      </c>
    </row>
    <row r="3014" spans="1:19" x14ac:dyDescent="0.25">
      <c r="A3014">
        <v>3013</v>
      </c>
      <c r="B3014">
        <v>42</v>
      </c>
      <c r="C3014" t="s">
        <v>153</v>
      </c>
      <c r="D3014" t="s">
        <v>133</v>
      </c>
      <c r="E3014" t="s">
        <v>69</v>
      </c>
      <c r="F3014" s="1">
        <v>65</v>
      </c>
      <c r="G3014" t="s">
        <v>135</v>
      </c>
      <c r="H3014" t="s">
        <v>45</v>
      </c>
      <c r="I3014" t="s">
        <v>86</v>
      </c>
      <c r="J3014" t="s">
        <v>58</v>
      </c>
      <c r="K3014" s="2">
        <v>3.5</v>
      </c>
      <c r="L3014" t="s">
        <v>152</v>
      </c>
      <c r="M3014" t="s">
        <v>27</v>
      </c>
      <c r="N3014" t="s">
        <v>55</v>
      </c>
      <c r="O3014" t="s">
        <v>152</v>
      </c>
      <c r="P3014" t="s">
        <v>152</v>
      </c>
      <c r="Q3014" s="3">
        <v>16</v>
      </c>
      <c r="R3014" t="s">
        <v>46</v>
      </c>
      <c r="S3014" t="s">
        <v>50</v>
      </c>
    </row>
    <row r="3015" spans="1:19" x14ac:dyDescent="0.25">
      <c r="A3015">
        <v>3014</v>
      </c>
      <c r="B3015">
        <v>41</v>
      </c>
      <c r="C3015" t="s">
        <v>153</v>
      </c>
      <c r="D3015" t="s">
        <v>87</v>
      </c>
      <c r="E3015" t="s">
        <v>21</v>
      </c>
      <c r="F3015" s="1">
        <v>55</v>
      </c>
      <c r="G3015" t="s">
        <v>117</v>
      </c>
      <c r="H3015" t="s">
        <v>23</v>
      </c>
      <c r="I3015" t="s">
        <v>100</v>
      </c>
      <c r="J3015" t="s">
        <v>54</v>
      </c>
      <c r="K3015" s="2">
        <v>4.2</v>
      </c>
      <c r="L3015" t="s">
        <v>152</v>
      </c>
      <c r="M3015" t="s">
        <v>59</v>
      </c>
      <c r="N3015" t="s">
        <v>76</v>
      </c>
      <c r="O3015" t="s">
        <v>152</v>
      </c>
      <c r="P3015" t="s">
        <v>152</v>
      </c>
      <c r="Q3015" s="3">
        <v>13</v>
      </c>
      <c r="R3015" t="s">
        <v>35</v>
      </c>
      <c r="S3015" t="s">
        <v>88</v>
      </c>
    </row>
    <row r="3016" spans="1:19" x14ac:dyDescent="0.25">
      <c r="A3016">
        <v>3015</v>
      </c>
      <c r="B3016">
        <v>24</v>
      </c>
      <c r="C3016" t="s">
        <v>153</v>
      </c>
      <c r="D3016" t="s">
        <v>113</v>
      </c>
      <c r="E3016" t="s">
        <v>21</v>
      </c>
      <c r="F3016" s="1">
        <v>65</v>
      </c>
      <c r="G3016" t="s">
        <v>140</v>
      </c>
      <c r="H3016" t="s">
        <v>45</v>
      </c>
      <c r="I3016" t="s">
        <v>33</v>
      </c>
      <c r="J3016" t="s">
        <v>39</v>
      </c>
      <c r="K3016" s="2">
        <v>4.5</v>
      </c>
      <c r="L3016" t="s">
        <v>152</v>
      </c>
      <c r="M3016" t="s">
        <v>27</v>
      </c>
      <c r="N3016" t="s">
        <v>28</v>
      </c>
      <c r="O3016" t="s">
        <v>152</v>
      </c>
      <c r="P3016" t="s">
        <v>152</v>
      </c>
      <c r="Q3016" s="3">
        <v>38</v>
      </c>
      <c r="R3016" t="s">
        <v>46</v>
      </c>
      <c r="S3016" t="s">
        <v>97</v>
      </c>
    </row>
    <row r="3017" spans="1:19" x14ac:dyDescent="0.25">
      <c r="A3017">
        <v>3016</v>
      </c>
      <c r="B3017">
        <v>37</v>
      </c>
      <c r="C3017" t="s">
        <v>153</v>
      </c>
      <c r="D3017" t="s">
        <v>119</v>
      </c>
      <c r="E3017" t="s">
        <v>69</v>
      </c>
      <c r="F3017" s="1">
        <v>21</v>
      </c>
      <c r="G3017" t="s">
        <v>52</v>
      </c>
      <c r="H3017" t="s">
        <v>92</v>
      </c>
      <c r="I3017" t="s">
        <v>93</v>
      </c>
      <c r="J3017" t="s">
        <v>39</v>
      </c>
      <c r="K3017" s="2">
        <v>2.8</v>
      </c>
      <c r="L3017" t="s">
        <v>152</v>
      </c>
      <c r="M3017" t="s">
        <v>29</v>
      </c>
      <c r="N3017" t="s">
        <v>28</v>
      </c>
      <c r="O3017" t="s">
        <v>152</v>
      </c>
      <c r="P3017" t="s">
        <v>152</v>
      </c>
      <c r="Q3017" s="3">
        <v>27</v>
      </c>
      <c r="R3017" t="s">
        <v>34</v>
      </c>
      <c r="S3017" t="s">
        <v>77</v>
      </c>
    </row>
    <row r="3018" spans="1:19" x14ac:dyDescent="0.25">
      <c r="A3018">
        <v>3017</v>
      </c>
      <c r="B3018">
        <v>30</v>
      </c>
      <c r="C3018" t="s">
        <v>153</v>
      </c>
      <c r="D3018" t="s">
        <v>20</v>
      </c>
      <c r="E3018" t="s">
        <v>21</v>
      </c>
      <c r="F3018" s="1">
        <v>26</v>
      </c>
      <c r="G3018" t="s">
        <v>116</v>
      </c>
      <c r="H3018" t="s">
        <v>23</v>
      </c>
      <c r="I3018" t="s">
        <v>93</v>
      </c>
      <c r="J3018" t="s">
        <v>54</v>
      </c>
      <c r="K3018" s="2">
        <v>4.9000000000000004</v>
      </c>
      <c r="L3018" t="s">
        <v>152</v>
      </c>
      <c r="M3018" t="s">
        <v>27</v>
      </c>
      <c r="N3018" t="s">
        <v>76</v>
      </c>
      <c r="O3018" t="s">
        <v>152</v>
      </c>
      <c r="P3018" t="s">
        <v>152</v>
      </c>
      <c r="Q3018" s="3">
        <v>31</v>
      </c>
      <c r="R3018" t="s">
        <v>34</v>
      </c>
      <c r="S3018" t="s">
        <v>60</v>
      </c>
    </row>
    <row r="3019" spans="1:19" x14ac:dyDescent="0.25">
      <c r="A3019">
        <v>3018</v>
      </c>
      <c r="B3019">
        <v>58</v>
      </c>
      <c r="C3019" t="s">
        <v>153</v>
      </c>
      <c r="D3019" t="s">
        <v>89</v>
      </c>
      <c r="E3019" t="s">
        <v>69</v>
      </c>
      <c r="F3019" s="1">
        <v>71</v>
      </c>
      <c r="G3019" t="s">
        <v>150</v>
      </c>
      <c r="H3019" t="s">
        <v>38</v>
      </c>
      <c r="I3019" t="s">
        <v>75</v>
      </c>
      <c r="J3019" t="s">
        <v>54</v>
      </c>
      <c r="K3019" s="2">
        <v>3.3</v>
      </c>
      <c r="L3019" t="s">
        <v>152</v>
      </c>
      <c r="M3019" t="s">
        <v>34</v>
      </c>
      <c r="N3019" t="s">
        <v>47</v>
      </c>
      <c r="O3019" t="s">
        <v>152</v>
      </c>
      <c r="P3019" t="s">
        <v>152</v>
      </c>
      <c r="Q3019" s="3">
        <v>24</v>
      </c>
      <c r="R3019" t="s">
        <v>35</v>
      </c>
      <c r="S3019" t="s">
        <v>77</v>
      </c>
    </row>
    <row r="3020" spans="1:19" x14ac:dyDescent="0.25">
      <c r="A3020">
        <v>3019</v>
      </c>
      <c r="B3020">
        <v>43</v>
      </c>
      <c r="C3020" t="s">
        <v>153</v>
      </c>
      <c r="D3020" t="s">
        <v>137</v>
      </c>
      <c r="E3020" t="s">
        <v>43</v>
      </c>
      <c r="F3020" s="1">
        <v>41</v>
      </c>
      <c r="G3020" t="s">
        <v>105</v>
      </c>
      <c r="H3020" t="s">
        <v>45</v>
      </c>
      <c r="I3020" t="s">
        <v>96</v>
      </c>
      <c r="J3020" t="s">
        <v>54</v>
      </c>
      <c r="K3020" s="2">
        <v>3</v>
      </c>
      <c r="L3020" t="s">
        <v>152</v>
      </c>
      <c r="M3020" t="s">
        <v>59</v>
      </c>
      <c r="N3020" t="s">
        <v>40</v>
      </c>
      <c r="O3020" t="s">
        <v>152</v>
      </c>
      <c r="P3020" t="s">
        <v>152</v>
      </c>
      <c r="Q3020" s="3">
        <v>21</v>
      </c>
      <c r="R3020" t="s">
        <v>59</v>
      </c>
      <c r="S3020" t="s">
        <v>77</v>
      </c>
    </row>
    <row r="3021" spans="1:19" x14ac:dyDescent="0.25">
      <c r="A3021">
        <v>3020</v>
      </c>
      <c r="B3021">
        <v>19</v>
      </c>
      <c r="C3021" t="s">
        <v>153</v>
      </c>
      <c r="D3021" t="s">
        <v>102</v>
      </c>
      <c r="E3021" t="s">
        <v>65</v>
      </c>
      <c r="F3021" s="1">
        <v>44</v>
      </c>
      <c r="G3021" t="s">
        <v>140</v>
      </c>
      <c r="H3021" t="s">
        <v>45</v>
      </c>
      <c r="I3021" t="s">
        <v>134</v>
      </c>
      <c r="J3021" t="s">
        <v>25</v>
      </c>
      <c r="K3021" s="2">
        <v>3.9</v>
      </c>
      <c r="L3021" t="s">
        <v>152</v>
      </c>
      <c r="M3021" t="s">
        <v>29</v>
      </c>
      <c r="N3021" t="s">
        <v>72</v>
      </c>
      <c r="O3021" t="s">
        <v>152</v>
      </c>
      <c r="P3021" t="s">
        <v>152</v>
      </c>
      <c r="Q3021" s="3">
        <v>15</v>
      </c>
      <c r="R3021" t="s">
        <v>46</v>
      </c>
      <c r="S3021" t="s">
        <v>50</v>
      </c>
    </row>
    <row r="3022" spans="1:19" x14ac:dyDescent="0.25">
      <c r="A3022">
        <v>3021</v>
      </c>
      <c r="B3022">
        <v>23</v>
      </c>
      <c r="C3022" t="s">
        <v>153</v>
      </c>
      <c r="D3022" t="s">
        <v>36</v>
      </c>
      <c r="E3022" t="s">
        <v>21</v>
      </c>
      <c r="F3022" s="1">
        <v>81</v>
      </c>
      <c r="G3022" t="s">
        <v>74</v>
      </c>
      <c r="H3022" t="s">
        <v>38</v>
      </c>
      <c r="I3022" t="s">
        <v>63</v>
      </c>
      <c r="J3022" t="s">
        <v>58</v>
      </c>
      <c r="K3022" s="2">
        <v>2.8</v>
      </c>
      <c r="L3022" t="s">
        <v>152</v>
      </c>
      <c r="M3022" t="s">
        <v>34</v>
      </c>
      <c r="N3022" t="s">
        <v>76</v>
      </c>
      <c r="O3022" t="s">
        <v>152</v>
      </c>
      <c r="P3022" t="s">
        <v>152</v>
      </c>
      <c r="Q3022" s="3">
        <v>48</v>
      </c>
      <c r="R3022" t="s">
        <v>29</v>
      </c>
      <c r="S3022" t="s">
        <v>97</v>
      </c>
    </row>
    <row r="3023" spans="1:19" x14ac:dyDescent="0.25">
      <c r="A3023">
        <v>3022</v>
      </c>
      <c r="B3023">
        <v>65</v>
      </c>
      <c r="C3023" t="s">
        <v>153</v>
      </c>
      <c r="D3023" t="s">
        <v>89</v>
      </c>
      <c r="E3023" t="s">
        <v>69</v>
      </c>
      <c r="F3023" s="1">
        <v>77</v>
      </c>
      <c r="G3023" t="s">
        <v>138</v>
      </c>
      <c r="H3023" t="s">
        <v>38</v>
      </c>
      <c r="I3023" t="s">
        <v>144</v>
      </c>
      <c r="J3023" t="s">
        <v>54</v>
      </c>
      <c r="K3023" s="2">
        <v>4.5</v>
      </c>
      <c r="L3023" t="s">
        <v>152</v>
      </c>
      <c r="M3023" t="s">
        <v>59</v>
      </c>
      <c r="N3023" t="s">
        <v>72</v>
      </c>
      <c r="O3023" t="s">
        <v>152</v>
      </c>
      <c r="P3023" t="s">
        <v>152</v>
      </c>
      <c r="Q3023" s="3">
        <v>47</v>
      </c>
      <c r="R3023" t="s">
        <v>35</v>
      </c>
      <c r="S3023" t="s">
        <v>60</v>
      </c>
    </row>
    <row r="3024" spans="1:19" x14ac:dyDescent="0.25">
      <c r="A3024">
        <v>3023</v>
      </c>
      <c r="B3024">
        <v>58</v>
      </c>
      <c r="C3024" t="s">
        <v>153</v>
      </c>
      <c r="D3024" t="s">
        <v>42</v>
      </c>
      <c r="E3024" t="s">
        <v>43</v>
      </c>
      <c r="F3024" s="1">
        <v>26</v>
      </c>
      <c r="G3024" t="s">
        <v>142</v>
      </c>
      <c r="H3024" t="s">
        <v>45</v>
      </c>
      <c r="I3024" t="s">
        <v>93</v>
      </c>
      <c r="J3024" t="s">
        <v>58</v>
      </c>
      <c r="K3024" s="2">
        <v>4</v>
      </c>
      <c r="L3024" t="s">
        <v>152</v>
      </c>
      <c r="M3024" t="s">
        <v>59</v>
      </c>
      <c r="N3024" t="s">
        <v>40</v>
      </c>
      <c r="O3024" t="s">
        <v>152</v>
      </c>
      <c r="P3024" t="s">
        <v>152</v>
      </c>
      <c r="Q3024" s="3">
        <v>23</v>
      </c>
      <c r="R3024" t="s">
        <v>46</v>
      </c>
      <c r="S3024" t="s">
        <v>41</v>
      </c>
    </row>
    <row r="3025" spans="1:19" x14ac:dyDescent="0.25">
      <c r="A3025">
        <v>3024</v>
      </c>
      <c r="B3025">
        <v>50</v>
      </c>
      <c r="C3025" t="s">
        <v>153</v>
      </c>
      <c r="D3025" t="s">
        <v>132</v>
      </c>
      <c r="E3025" t="s">
        <v>69</v>
      </c>
      <c r="F3025" s="1">
        <v>31</v>
      </c>
      <c r="G3025" t="s">
        <v>116</v>
      </c>
      <c r="H3025" t="s">
        <v>45</v>
      </c>
      <c r="I3025" t="s">
        <v>110</v>
      </c>
      <c r="J3025" t="s">
        <v>54</v>
      </c>
      <c r="K3025" s="2">
        <v>2.9</v>
      </c>
      <c r="L3025" t="s">
        <v>152</v>
      </c>
      <c r="M3025" t="s">
        <v>46</v>
      </c>
      <c r="N3025" t="s">
        <v>28</v>
      </c>
      <c r="O3025" t="s">
        <v>152</v>
      </c>
      <c r="P3025" t="s">
        <v>152</v>
      </c>
      <c r="Q3025" s="3">
        <v>4</v>
      </c>
      <c r="R3025" t="s">
        <v>46</v>
      </c>
      <c r="S3025" t="s">
        <v>60</v>
      </c>
    </row>
    <row r="3026" spans="1:19" x14ac:dyDescent="0.25">
      <c r="A3026">
        <v>3025</v>
      </c>
      <c r="B3026">
        <v>67</v>
      </c>
      <c r="C3026" t="s">
        <v>153</v>
      </c>
      <c r="D3026" t="s">
        <v>20</v>
      </c>
      <c r="E3026" t="s">
        <v>21</v>
      </c>
      <c r="F3026" s="1">
        <v>82</v>
      </c>
      <c r="G3026" t="s">
        <v>135</v>
      </c>
      <c r="H3026" t="s">
        <v>38</v>
      </c>
      <c r="I3026" t="s">
        <v>53</v>
      </c>
      <c r="J3026" t="s">
        <v>39</v>
      </c>
      <c r="K3026" s="2">
        <v>4</v>
      </c>
      <c r="L3026" t="s">
        <v>152</v>
      </c>
      <c r="M3026" t="s">
        <v>27</v>
      </c>
      <c r="N3026" t="s">
        <v>40</v>
      </c>
      <c r="O3026" t="s">
        <v>152</v>
      </c>
      <c r="P3026" t="s">
        <v>152</v>
      </c>
      <c r="Q3026" s="3">
        <v>47</v>
      </c>
      <c r="R3026" t="s">
        <v>27</v>
      </c>
      <c r="S3026" t="s">
        <v>97</v>
      </c>
    </row>
    <row r="3027" spans="1:19" x14ac:dyDescent="0.25">
      <c r="A3027">
        <v>3026</v>
      </c>
      <c r="B3027">
        <v>40</v>
      </c>
      <c r="C3027" t="s">
        <v>153</v>
      </c>
      <c r="D3027" t="s">
        <v>73</v>
      </c>
      <c r="E3027" t="s">
        <v>43</v>
      </c>
      <c r="F3027" s="1">
        <v>60</v>
      </c>
      <c r="G3027" t="s">
        <v>57</v>
      </c>
      <c r="H3027" t="s">
        <v>92</v>
      </c>
      <c r="I3027" t="s">
        <v>96</v>
      </c>
      <c r="J3027" t="s">
        <v>54</v>
      </c>
      <c r="K3027" s="2">
        <v>3.4</v>
      </c>
      <c r="L3027" t="s">
        <v>152</v>
      </c>
      <c r="M3027" t="s">
        <v>59</v>
      </c>
      <c r="N3027" t="s">
        <v>76</v>
      </c>
      <c r="O3027" t="s">
        <v>152</v>
      </c>
      <c r="P3027" t="s">
        <v>152</v>
      </c>
      <c r="Q3027" s="3">
        <v>7</v>
      </c>
      <c r="R3027" t="s">
        <v>46</v>
      </c>
      <c r="S3027" t="s">
        <v>88</v>
      </c>
    </row>
    <row r="3028" spans="1:19" x14ac:dyDescent="0.25">
      <c r="A3028">
        <v>3027</v>
      </c>
      <c r="B3028">
        <v>55</v>
      </c>
      <c r="C3028" t="s">
        <v>153</v>
      </c>
      <c r="D3028" t="s">
        <v>56</v>
      </c>
      <c r="E3028" t="s">
        <v>21</v>
      </c>
      <c r="F3028" s="1">
        <v>70</v>
      </c>
      <c r="G3028" t="s">
        <v>122</v>
      </c>
      <c r="H3028" t="s">
        <v>23</v>
      </c>
      <c r="I3028" t="s">
        <v>136</v>
      </c>
      <c r="J3028" t="s">
        <v>58</v>
      </c>
      <c r="K3028" s="2">
        <v>2.5</v>
      </c>
      <c r="L3028" t="s">
        <v>152</v>
      </c>
      <c r="M3028" t="s">
        <v>29</v>
      </c>
      <c r="N3028" t="s">
        <v>40</v>
      </c>
      <c r="O3028" t="s">
        <v>152</v>
      </c>
      <c r="P3028" t="s">
        <v>152</v>
      </c>
      <c r="Q3028" s="3">
        <v>6</v>
      </c>
      <c r="R3028" t="s">
        <v>27</v>
      </c>
      <c r="S3028" t="s">
        <v>50</v>
      </c>
    </row>
    <row r="3029" spans="1:19" x14ac:dyDescent="0.25">
      <c r="A3029">
        <v>3028</v>
      </c>
      <c r="B3029">
        <v>52</v>
      </c>
      <c r="C3029" t="s">
        <v>153</v>
      </c>
      <c r="D3029" t="s">
        <v>104</v>
      </c>
      <c r="E3029" t="s">
        <v>21</v>
      </c>
      <c r="F3029" s="1">
        <v>26</v>
      </c>
      <c r="G3029" t="s">
        <v>66</v>
      </c>
      <c r="H3029" t="s">
        <v>92</v>
      </c>
      <c r="I3029" t="s">
        <v>100</v>
      </c>
      <c r="J3029" t="s">
        <v>25</v>
      </c>
      <c r="K3029" s="2">
        <v>2.8</v>
      </c>
      <c r="L3029" t="s">
        <v>152</v>
      </c>
      <c r="M3029" t="s">
        <v>34</v>
      </c>
      <c r="N3029" t="s">
        <v>72</v>
      </c>
      <c r="O3029" t="s">
        <v>152</v>
      </c>
      <c r="P3029" t="s">
        <v>152</v>
      </c>
      <c r="Q3029" s="3">
        <v>47</v>
      </c>
      <c r="R3029" t="s">
        <v>27</v>
      </c>
      <c r="S3029" t="s">
        <v>60</v>
      </c>
    </row>
    <row r="3030" spans="1:19" x14ac:dyDescent="0.25">
      <c r="A3030">
        <v>3029</v>
      </c>
      <c r="B3030">
        <v>62</v>
      </c>
      <c r="C3030" t="s">
        <v>153</v>
      </c>
      <c r="D3030" t="s">
        <v>82</v>
      </c>
      <c r="E3030" t="s">
        <v>21</v>
      </c>
      <c r="F3030" s="1">
        <v>100</v>
      </c>
      <c r="G3030" t="s">
        <v>99</v>
      </c>
      <c r="H3030" t="s">
        <v>23</v>
      </c>
      <c r="I3030" t="s">
        <v>63</v>
      </c>
      <c r="J3030" t="s">
        <v>54</v>
      </c>
      <c r="K3030" s="2">
        <v>3</v>
      </c>
      <c r="L3030" t="s">
        <v>152</v>
      </c>
      <c r="M3030" t="s">
        <v>46</v>
      </c>
      <c r="N3030" t="s">
        <v>40</v>
      </c>
      <c r="O3030" t="s">
        <v>152</v>
      </c>
      <c r="P3030" t="s">
        <v>152</v>
      </c>
      <c r="Q3030" s="3">
        <v>7</v>
      </c>
      <c r="R3030" t="s">
        <v>46</v>
      </c>
      <c r="S3030" t="s">
        <v>97</v>
      </c>
    </row>
    <row r="3031" spans="1:19" x14ac:dyDescent="0.25">
      <c r="A3031">
        <v>3030</v>
      </c>
      <c r="B3031">
        <v>64</v>
      </c>
      <c r="C3031" t="s">
        <v>153</v>
      </c>
      <c r="D3031" t="s">
        <v>82</v>
      </c>
      <c r="E3031" t="s">
        <v>21</v>
      </c>
      <c r="F3031" s="1">
        <v>82</v>
      </c>
      <c r="G3031" t="s">
        <v>142</v>
      </c>
      <c r="H3031" t="s">
        <v>45</v>
      </c>
      <c r="I3031" t="s">
        <v>81</v>
      </c>
      <c r="J3031" t="s">
        <v>54</v>
      </c>
      <c r="K3031" s="2">
        <v>3.1</v>
      </c>
      <c r="L3031" t="s">
        <v>152</v>
      </c>
      <c r="M3031" t="s">
        <v>34</v>
      </c>
      <c r="N3031" t="s">
        <v>40</v>
      </c>
      <c r="O3031" t="s">
        <v>152</v>
      </c>
      <c r="P3031" t="s">
        <v>152</v>
      </c>
      <c r="Q3031" s="3">
        <v>1</v>
      </c>
      <c r="R3031" t="s">
        <v>59</v>
      </c>
      <c r="S3031" t="s">
        <v>60</v>
      </c>
    </row>
    <row r="3032" spans="1:19" x14ac:dyDescent="0.25">
      <c r="A3032">
        <v>3031</v>
      </c>
      <c r="B3032">
        <v>43</v>
      </c>
      <c r="C3032" t="s">
        <v>153</v>
      </c>
      <c r="D3032" t="s">
        <v>51</v>
      </c>
      <c r="E3032" t="s">
        <v>43</v>
      </c>
      <c r="F3032" s="1">
        <v>24</v>
      </c>
      <c r="G3032" t="s">
        <v>128</v>
      </c>
      <c r="H3032" t="s">
        <v>92</v>
      </c>
      <c r="I3032" t="s">
        <v>75</v>
      </c>
      <c r="J3032" t="s">
        <v>39</v>
      </c>
      <c r="K3032" s="2">
        <v>2.6</v>
      </c>
      <c r="L3032" t="s">
        <v>152</v>
      </c>
      <c r="M3032" t="s">
        <v>46</v>
      </c>
      <c r="N3032" t="s">
        <v>72</v>
      </c>
      <c r="O3032" t="s">
        <v>152</v>
      </c>
      <c r="P3032" t="s">
        <v>152</v>
      </c>
      <c r="Q3032" s="3">
        <v>23</v>
      </c>
      <c r="R3032" t="s">
        <v>27</v>
      </c>
      <c r="S3032" t="s">
        <v>41</v>
      </c>
    </row>
    <row r="3033" spans="1:19" x14ac:dyDescent="0.25">
      <c r="A3033">
        <v>3032</v>
      </c>
      <c r="B3033">
        <v>61</v>
      </c>
      <c r="C3033" t="s">
        <v>153</v>
      </c>
      <c r="D3033" t="s">
        <v>20</v>
      </c>
      <c r="E3033" t="s">
        <v>21</v>
      </c>
      <c r="F3033" s="1">
        <v>74</v>
      </c>
      <c r="G3033" t="s">
        <v>135</v>
      </c>
      <c r="H3033" t="s">
        <v>23</v>
      </c>
      <c r="I3033" t="s">
        <v>86</v>
      </c>
      <c r="J3033" t="s">
        <v>54</v>
      </c>
      <c r="K3033" s="2">
        <v>4.9000000000000004</v>
      </c>
      <c r="L3033" t="s">
        <v>152</v>
      </c>
      <c r="M3033" t="s">
        <v>46</v>
      </c>
      <c r="N3033" t="s">
        <v>72</v>
      </c>
      <c r="O3033" t="s">
        <v>152</v>
      </c>
      <c r="P3033" t="s">
        <v>152</v>
      </c>
      <c r="Q3033" s="3">
        <v>30</v>
      </c>
      <c r="R3033" t="s">
        <v>27</v>
      </c>
      <c r="S3033" t="s">
        <v>88</v>
      </c>
    </row>
    <row r="3034" spans="1:19" x14ac:dyDescent="0.25">
      <c r="A3034">
        <v>3033</v>
      </c>
      <c r="B3034">
        <v>26</v>
      </c>
      <c r="C3034" t="s">
        <v>153</v>
      </c>
      <c r="D3034" t="s">
        <v>132</v>
      </c>
      <c r="E3034" t="s">
        <v>69</v>
      </c>
      <c r="F3034" s="1">
        <v>58</v>
      </c>
      <c r="G3034" t="s">
        <v>99</v>
      </c>
      <c r="H3034" t="s">
        <v>92</v>
      </c>
      <c r="I3034" t="s">
        <v>96</v>
      </c>
      <c r="J3034" t="s">
        <v>54</v>
      </c>
      <c r="K3034" s="2">
        <v>3.5</v>
      </c>
      <c r="L3034" t="s">
        <v>152</v>
      </c>
      <c r="M3034" t="s">
        <v>59</v>
      </c>
      <c r="N3034" t="s">
        <v>47</v>
      </c>
      <c r="O3034" t="s">
        <v>152</v>
      </c>
      <c r="P3034" t="s">
        <v>152</v>
      </c>
      <c r="Q3034" s="3">
        <v>24</v>
      </c>
      <c r="R3034" t="s">
        <v>27</v>
      </c>
      <c r="S3034" t="s">
        <v>60</v>
      </c>
    </row>
    <row r="3035" spans="1:19" x14ac:dyDescent="0.25">
      <c r="A3035">
        <v>3034</v>
      </c>
      <c r="B3035">
        <v>22</v>
      </c>
      <c r="C3035" t="s">
        <v>153</v>
      </c>
      <c r="D3035" t="s">
        <v>31</v>
      </c>
      <c r="E3035" t="s">
        <v>21</v>
      </c>
      <c r="F3035" s="1">
        <v>56</v>
      </c>
      <c r="G3035" t="s">
        <v>90</v>
      </c>
      <c r="H3035" t="s">
        <v>23</v>
      </c>
      <c r="I3035" t="s">
        <v>121</v>
      </c>
      <c r="J3035" t="s">
        <v>39</v>
      </c>
      <c r="K3035" s="2">
        <v>2.6</v>
      </c>
      <c r="L3035" t="s">
        <v>152</v>
      </c>
      <c r="M3035" t="s">
        <v>46</v>
      </c>
      <c r="N3035" t="s">
        <v>76</v>
      </c>
      <c r="O3035" t="s">
        <v>152</v>
      </c>
      <c r="P3035" t="s">
        <v>152</v>
      </c>
      <c r="Q3035" s="3">
        <v>9</v>
      </c>
      <c r="R3035" t="s">
        <v>46</v>
      </c>
      <c r="S3035" t="s">
        <v>41</v>
      </c>
    </row>
    <row r="3036" spans="1:19" x14ac:dyDescent="0.25">
      <c r="A3036">
        <v>3035</v>
      </c>
      <c r="B3036">
        <v>51</v>
      </c>
      <c r="C3036" t="s">
        <v>153</v>
      </c>
      <c r="D3036" t="s">
        <v>137</v>
      </c>
      <c r="E3036" t="s">
        <v>43</v>
      </c>
      <c r="F3036" s="1">
        <v>37</v>
      </c>
      <c r="G3036" t="s">
        <v>140</v>
      </c>
      <c r="H3036" t="s">
        <v>23</v>
      </c>
      <c r="I3036" t="s">
        <v>100</v>
      </c>
      <c r="J3036" t="s">
        <v>39</v>
      </c>
      <c r="K3036" s="2">
        <v>3.5</v>
      </c>
      <c r="L3036" t="s">
        <v>152</v>
      </c>
      <c r="M3036" t="s">
        <v>46</v>
      </c>
      <c r="N3036" t="s">
        <v>72</v>
      </c>
      <c r="O3036" t="s">
        <v>152</v>
      </c>
      <c r="P3036" t="s">
        <v>152</v>
      </c>
      <c r="Q3036" s="3">
        <v>25</v>
      </c>
      <c r="R3036" t="s">
        <v>27</v>
      </c>
      <c r="S3036" t="s">
        <v>60</v>
      </c>
    </row>
    <row r="3037" spans="1:19" x14ac:dyDescent="0.25">
      <c r="A3037">
        <v>3036</v>
      </c>
      <c r="B3037">
        <v>69</v>
      </c>
      <c r="C3037" t="s">
        <v>153</v>
      </c>
      <c r="D3037" t="s">
        <v>68</v>
      </c>
      <c r="E3037" t="s">
        <v>69</v>
      </c>
      <c r="F3037" s="1">
        <v>64</v>
      </c>
      <c r="G3037" t="s">
        <v>22</v>
      </c>
      <c r="H3037" t="s">
        <v>45</v>
      </c>
      <c r="I3037" t="s">
        <v>81</v>
      </c>
      <c r="J3037" t="s">
        <v>39</v>
      </c>
      <c r="K3037" s="2">
        <v>4.5</v>
      </c>
      <c r="L3037" t="s">
        <v>152</v>
      </c>
      <c r="M3037" t="s">
        <v>34</v>
      </c>
      <c r="N3037" t="s">
        <v>40</v>
      </c>
      <c r="O3037" t="s">
        <v>152</v>
      </c>
      <c r="P3037" t="s">
        <v>152</v>
      </c>
      <c r="Q3037" s="3">
        <v>18</v>
      </c>
      <c r="R3037" t="s">
        <v>35</v>
      </c>
      <c r="S3037" t="s">
        <v>77</v>
      </c>
    </row>
    <row r="3038" spans="1:19" x14ac:dyDescent="0.25">
      <c r="A3038">
        <v>3037</v>
      </c>
      <c r="B3038">
        <v>50</v>
      </c>
      <c r="C3038" t="s">
        <v>153</v>
      </c>
      <c r="D3038" t="s">
        <v>104</v>
      </c>
      <c r="E3038" t="s">
        <v>21</v>
      </c>
      <c r="F3038" s="1">
        <v>58</v>
      </c>
      <c r="G3038" t="s">
        <v>129</v>
      </c>
      <c r="H3038" t="s">
        <v>38</v>
      </c>
      <c r="I3038" t="s">
        <v>84</v>
      </c>
      <c r="J3038" t="s">
        <v>39</v>
      </c>
      <c r="K3038" s="2">
        <v>4.3</v>
      </c>
      <c r="L3038" t="s">
        <v>152</v>
      </c>
      <c r="M3038" t="s">
        <v>46</v>
      </c>
      <c r="N3038" t="s">
        <v>47</v>
      </c>
      <c r="O3038" t="s">
        <v>152</v>
      </c>
      <c r="P3038" t="s">
        <v>152</v>
      </c>
      <c r="Q3038" s="3">
        <v>7</v>
      </c>
      <c r="R3038" t="s">
        <v>29</v>
      </c>
      <c r="S3038" t="s">
        <v>30</v>
      </c>
    </row>
    <row r="3039" spans="1:19" x14ac:dyDescent="0.25">
      <c r="A3039">
        <v>3038</v>
      </c>
      <c r="B3039">
        <v>51</v>
      </c>
      <c r="C3039" t="s">
        <v>153</v>
      </c>
      <c r="D3039" t="s">
        <v>133</v>
      </c>
      <c r="E3039" t="s">
        <v>69</v>
      </c>
      <c r="F3039" s="1">
        <v>44</v>
      </c>
      <c r="G3039" t="s">
        <v>146</v>
      </c>
      <c r="H3039" t="s">
        <v>23</v>
      </c>
      <c r="I3039" t="s">
        <v>63</v>
      </c>
      <c r="J3039" t="s">
        <v>54</v>
      </c>
      <c r="K3039" s="2">
        <v>4.8</v>
      </c>
      <c r="L3039" t="s">
        <v>152</v>
      </c>
      <c r="M3039" t="s">
        <v>59</v>
      </c>
      <c r="N3039" t="s">
        <v>47</v>
      </c>
      <c r="O3039" t="s">
        <v>152</v>
      </c>
      <c r="P3039" t="s">
        <v>152</v>
      </c>
      <c r="Q3039" s="3">
        <v>2</v>
      </c>
      <c r="R3039" t="s">
        <v>35</v>
      </c>
      <c r="S3039" t="s">
        <v>50</v>
      </c>
    </row>
    <row r="3040" spans="1:19" x14ac:dyDescent="0.25">
      <c r="A3040">
        <v>3039</v>
      </c>
      <c r="B3040">
        <v>56</v>
      </c>
      <c r="C3040" t="s">
        <v>153</v>
      </c>
      <c r="D3040" t="s">
        <v>106</v>
      </c>
      <c r="E3040" t="s">
        <v>69</v>
      </c>
      <c r="F3040" s="1">
        <v>39</v>
      </c>
      <c r="G3040" t="s">
        <v>142</v>
      </c>
      <c r="H3040" t="s">
        <v>45</v>
      </c>
      <c r="I3040" t="s">
        <v>110</v>
      </c>
      <c r="J3040" t="s">
        <v>54</v>
      </c>
      <c r="K3040" s="2">
        <v>4.2</v>
      </c>
      <c r="L3040" t="s">
        <v>152</v>
      </c>
      <c r="M3040" t="s">
        <v>34</v>
      </c>
      <c r="N3040" t="s">
        <v>40</v>
      </c>
      <c r="O3040" t="s">
        <v>152</v>
      </c>
      <c r="P3040" t="s">
        <v>152</v>
      </c>
      <c r="Q3040" s="3">
        <v>36</v>
      </c>
      <c r="R3040" t="s">
        <v>59</v>
      </c>
      <c r="S3040" t="s">
        <v>50</v>
      </c>
    </row>
    <row r="3041" spans="1:19" x14ac:dyDescent="0.25">
      <c r="A3041">
        <v>3040</v>
      </c>
      <c r="B3041">
        <v>59</v>
      </c>
      <c r="C3041" t="s">
        <v>153</v>
      </c>
      <c r="D3041" t="s">
        <v>20</v>
      </c>
      <c r="E3041" t="s">
        <v>21</v>
      </c>
      <c r="F3041" s="1">
        <v>48</v>
      </c>
      <c r="G3041" t="s">
        <v>90</v>
      </c>
      <c r="H3041" t="s">
        <v>23</v>
      </c>
      <c r="I3041" t="s">
        <v>144</v>
      </c>
      <c r="J3041" t="s">
        <v>39</v>
      </c>
      <c r="K3041" s="2">
        <v>3.2</v>
      </c>
      <c r="L3041" t="s">
        <v>152</v>
      </c>
      <c r="M3041" t="s">
        <v>34</v>
      </c>
      <c r="N3041" t="s">
        <v>47</v>
      </c>
      <c r="O3041" t="s">
        <v>152</v>
      </c>
      <c r="P3041" t="s">
        <v>152</v>
      </c>
      <c r="Q3041" s="3">
        <v>31</v>
      </c>
      <c r="R3041" t="s">
        <v>46</v>
      </c>
      <c r="S3041" t="s">
        <v>77</v>
      </c>
    </row>
    <row r="3042" spans="1:19" x14ac:dyDescent="0.25">
      <c r="A3042">
        <v>3041</v>
      </c>
      <c r="B3042">
        <v>18</v>
      </c>
      <c r="C3042" t="s">
        <v>153</v>
      </c>
      <c r="D3042" t="s">
        <v>68</v>
      </c>
      <c r="E3042" t="s">
        <v>69</v>
      </c>
      <c r="F3042" s="1">
        <v>32</v>
      </c>
      <c r="G3042" t="s">
        <v>145</v>
      </c>
      <c r="H3042" t="s">
        <v>45</v>
      </c>
      <c r="I3042" t="s">
        <v>81</v>
      </c>
      <c r="J3042" t="s">
        <v>58</v>
      </c>
      <c r="K3042" s="2">
        <v>4.0999999999999996</v>
      </c>
      <c r="L3042" t="s">
        <v>152</v>
      </c>
      <c r="M3042" t="s">
        <v>46</v>
      </c>
      <c r="N3042" t="s">
        <v>28</v>
      </c>
      <c r="O3042" t="s">
        <v>152</v>
      </c>
      <c r="P3042" t="s">
        <v>152</v>
      </c>
      <c r="Q3042" s="3">
        <v>10</v>
      </c>
      <c r="R3042" t="s">
        <v>35</v>
      </c>
      <c r="S3042" t="s">
        <v>30</v>
      </c>
    </row>
    <row r="3043" spans="1:19" x14ac:dyDescent="0.25">
      <c r="A3043">
        <v>3042</v>
      </c>
      <c r="B3043">
        <v>48</v>
      </c>
      <c r="C3043" t="s">
        <v>153</v>
      </c>
      <c r="D3043" t="s">
        <v>68</v>
      </c>
      <c r="E3043" t="s">
        <v>69</v>
      </c>
      <c r="F3043" s="1">
        <v>79</v>
      </c>
      <c r="G3043" t="s">
        <v>44</v>
      </c>
      <c r="H3043" t="s">
        <v>45</v>
      </c>
      <c r="I3043" t="s">
        <v>121</v>
      </c>
      <c r="J3043" t="s">
        <v>25</v>
      </c>
      <c r="K3043" s="2">
        <v>4</v>
      </c>
      <c r="L3043" t="s">
        <v>152</v>
      </c>
      <c r="M3043" t="s">
        <v>27</v>
      </c>
      <c r="N3043" t="s">
        <v>28</v>
      </c>
      <c r="O3043" t="s">
        <v>152</v>
      </c>
      <c r="P3043" t="s">
        <v>152</v>
      </c>
      <c r="Q3043" s="3">
        <v>27</v>
      </c>
      <c r="R3043" t="s">
        <v>46</v>
      </c>
      <c r="S3043" t="s">
        <v>88</v>
      </c>
    </row>
    <row r="3044" spans="1:19" x14ac:dyDescent="0.25">
      <c r="A3044">
        <v>3043</v>
      </c>
      <c r="B3044">
        <v>53</v>
      </c>
      <c r="C3044" t="s">
        <v>153</v>
      </c>
      <c r="D3044" t="s">
        <v>64</v>
      </c>
      <c r="E3044" t="s">
        <v>65</v>
      </c>
      <c r="F3044" s="1">
        <v>27</v>
      </c>
      <c r="G3044" t="s">
        <v>147</v>
      </c>
      <c r="H3044" t="s">
        <v>23</v>
      </c>
      <c r="I3044" t="s">
        <v>49</v>
      </c>
      <c r="J3044" t="s">
        <v>25</v>
      </c>
      <c r="K3044" s="2">
        <v>2.9</v>
      </c>
      <c r="L3044" t="s">
        <v>152</v>
      </c>
      <c r="M3044" t="s">
        <v>27</v>
      </c>
      <c r="N3044" t="s">
        <v>47</v>
      </c>
      <c r="O3044" t="s">
        <v>152</v>
      </c>
      <c r="P3044" t="s">
        <v>152</v>
      </c>
      <c r="Q3044" s="3">
        <v>14</v>
      </c>
      <c r="R3044" t="s">
        <v>46</v>
      </c>
      <c r="S3044" t="s">
        <v>97</v>
      </c>
    </row>
    <row r="3045" spans="1:19" x14ac:dyDescent="0.25">
      <c r="A3045">
        <v>3044</v>
      </c>
      <c r="B3045">
        <v>45</v>
      </c>
      <c r="C3045" t="s">
        <v>153</v>
      </c>
      <c r="D3045" t="s">
        <v>133</v>
      </c>
      <c r="E3045" t="s">
        <v>69</v>
      </c>
      <c r="F3045" s="1">
        <v>98</v>
      </c>
      <c r="G3045" t="s">
        <v>115</v>
      </c>
      <c r="H3045" t="s">
        <v>38</v>
      </c>
      <c r="I3045" t="s">
        <v>100</v>
      </c>
      <c r="J3045" t="s">
        <v>58</v>
      </c>
      <c r="K3045" s="2">
        <v>2.6</v>
      </c>
      <c r="L3045" t="s">
        <v>152</v>
      </c>
      <c r="M3045" t="s">
        <v>59</v>
      </c>
      <c r="N3045" t="s">
        <v>76</v>
      </c>
      <c r="O3045" t="s">
        <v>152</v>
      </c>
      <c r="P3045" t="s">
        <v>152</v>
      </c>
      <c r="Q3045" s="3">
        <v>17</v>
      </c>
      <c r="R3045" t="s">
        <v>27</v>
      </c>
      <c r="S3045" t="s">
        <v>88</v>
      </c>
    </row>
    <row r="3046" spans="1:19" x14ac:dyDescent="0.25">
      <c r="A3046">
        <v>3045</v>
      </c>
      <c r="B3046">
        <v>21</v>
      </c>
      <c r="C3046" t="s">
        <v>153</v>
      </c>
      <c r="D3046" t="s">
        <v>137</v>
      </c>
      <c r="E3046" t="s">
        <v>43</v>
      </c>
      <c r="F3046" s="1">
        <v>67</v>
      </c>
      <c r="G3046" t="s">
        <v>98</v>
      </c>
      <c r="H3046" t="s">
        <v>45</v>
      </c>
      <c r="I3046" t="s">
        <v>136</v>
      </c>
      <c r="J3046" t="s">
        <v>25</v>
      </c>
      <c r="K3046" s="2">
        <v>2.7</v>
      </c>
      <c r="L3046" t="s">
        <v>152</v>
      </c>
      <c r="M3046" t="s">
        <v>46</v>
      </c>
      <c r="N3046" t="s">
        <v>40</v>
      </c>
      <c r="O3046" t="s">
        <v>152</v>
      </c>
      <c r="P3046" t="s">
        <v>152</v>
      </c>
      <c r="Q3046" s="3">
        <v>10</v>
      </c>
      <c r="R3046" t="s">
        <v>34</v>
      </c>
      <c r="S3046" t="s">
        <v>60</v>
      </c>
    </row>
    <row r="3047" spans="1:19" x14ac:dyDescent="0.25">
      <c r="A3047">
        <v>3046</v>
      </c>
      <c r="B3047">
        <v>42</v>
      </c>
      <c r="C3047" t="s">
        <v>153</v>
      </c>
      <c r="D3047" t="s">
        <v>125</v>
      </c>
      <c r="E3047" t="s">
        <v>21</v>
      </c>
      <c r="F3047" s="1">
        <v>37</v>
      </c>
      <c r="G3047" t="s">
        <v>103</v>
      </c>
      <c r="H3047" t="s">
        <v>23</v>
      </c>
      <c r="I3047" t="s">
        <v>94</v>
      </c>
      <c r="J3047" t="s">
        <v>25</v>
      </c>
      <c r="K3047" s="2">
        <v>4.5999999999999996</v>
      </c>
      <c r="L3047" t="s">
        <v>152</v>
      </c>
      <c r="M3047" t="s">
        <v>59</v>
      </c>
      <c r="N3047" t="s">
        <v>72</v>
      </c>
      <c r="O3047" t="s">
        <v>152</v>
      </c>
      <c r="P3047" t="s">
        <v>152</v>
      </c>
      <c r="Q3047" s="3">
        <v>4</v>
      </c>
      <c r="R3047" t="s">
        <v>46</v>
      </c>
      <c r="S3047" t="s">
        <v>77</v>
      </c>
    </row>
    <row r="3048" spans="1:19" x14ac:dyDescent="0.25">
      <c r="A3048">
        <v>3047</v>
      </c>
      <c r="B3048">
        <v>60</v>
      </c>
      <c r="C3048" t="s">
        <v>153</v>
      </c>
      <c r="D3048" t="s">
        <v>73</v>
      </c>
      <c r="E3048" t="s">
        <v>43</v>
      </c>
      <c r="F3048" s="1">
        <v>49</v>
      </c>
      <c r="G3048" t="s">
        <v>138</v>
      </c>
      <c r="H3048" t="s">
        <v>45</v>
      </c>
      <c r="I3048" t="s">
        <v>53</v>
      </c>
      <c r="J3048" t="s">
        <v>39</v>
      </c>
      <c r="K3048" s="2">
        <v>3.2</v>
      </c>
      <c r="L3048" t="s">
        <v>152</v>
      </c>
      <c r="M3048" t="s">
        <v>34</v>
      </c>
      <c r="N3048" t="s">
        <v>76</v>
      </c>
      <c r="O3048" t="s">
        <v>152</v>
      </c>
      <c r="P3048" t="s">
        <v>152</v>
      </c>
      <c r="Q3048" s="3">
        <v>25</v>
      </c>
      <c r="R3048" t="s">
        <v>35</v>
      </c>
      <c r="S3048" t="s">
        <v>97</v>
      </c>
    </row>
    <row r="3049" spans="1:19" x14ac:dyDescent="0.25">
      <c r="A3049">
        <v>3048</v>
      </c>
      <c r="B3049">
        <v>21</v>
      </c>
      <c r="C3049" t="s">
        <v>153</v>
      </c>
      <c r="D3049" t="s">
        <v>51</v>
      </c>
      <c r="E3049" t="s">
        <v>43</v>
      </c>
      <c r="F3049" s="1">
        <v>74</v>
      </c>
      <c r="G3049" t="s">
        <v>129</v>
      </c>
      <c r="H3049" t="s">
        <v>45</v>
      </c>
      <c r="I3049" t="s">
        <v>84</v>
      </c>
      <c r="J3049" t="s">
        <v>58</v>
      </c>
      <c r="K3049" s="2">
        <v>4.0999999999999996</v>
      </c>
      <c r="L3049" t="s">
        <v>152</v>
      </c>
      <c r="M3049" t="s">
        <v>35</v>
      </c>
      <c r="N3049" t="s">
        <v>72</v>
      </c>
      <c r="O3049" t="s">
        <v>152</v>
      </c>
      <c r="P3049" t="s">
        <v>152</v>
      </c>
      <c r="Q3049" s="3">
        <v>3</v>
      </c>
      <c r="R3049" t="s">
        <v>46</v>
      </c>
      <c r="S3049" t="s">
        <v>77</v>
      </c>
    </row>
    <row r="3050" spans="1:19" x14ac:dyDescent="0.25">
      <c r="A3050">
        <v>3049</v>
      </c>
      <c r="B3050">
        <v>69</v>
      </c>
      <c r="C3050" t="s">
        <v>153</v>
      </c>
      <c r="D3050" t="s">
        <v>106</v>
      </c>
      <c r="E3050" t="s">
        <v>69</v>
      </c>
      <c r="F3050" s="1">
        <v>93</v>
      </c>
      <c r="G3050" t="s">
        <v>112</v>
      </c>
      <c r="H3050" t="s">
        <v>45</v>
      </c>
      <c r="I3050" t="s">
        <v>79</v>
      </c>
      <c r="J3050" t="s">
        <v>54</v>
      </c>
      <c r="K3050" s="2">
        <v>3.9</v>
      </c>
      <c r="L3050" t="s">
        <v>152</v>
      </c>
      <c r="M3050" t="s">
        <v>46</v>
      </c>
      <c r="N3050" t="s">
        <v>55</v>
      </c>
      <c r="O3050" t="s">
        <v>152</v>
      </c>
      <c r="P3050" t="s">
        <v>152</v>
      </c>
      <c r="Q3050" s="3">
        <v>47</v>
      </c>
      <c r="R3050" t="s">
        <v>29</v>
      </c>
      <c r="S3050" t="s">
        <v>30</v>
      </c>
    </row>
    <row r="3051" spans="1:19" x14ac:dyDescent="0.25">
      <c r="A3051">
        <v>3050</v>
      </c>
      <c r="B3051">
        <v>40</v>
      </c>
      <c r="C3051" t="s">
        <v>153</v>
      </c>
      <c r="D3051" t="s">
        <v>68</v>
      </c>
      <c r="E3051" t="s">
        <v>69</v>
      </c>
      <c r="F3051" s="1">
        <v>60</v>
      </c>
      <c r="G3051" t="s">
        <v>140</v>
      </c>
      <c r="H3051" t="s">
        <v>23</v>
      </c>
      <c r="I3051" t="s">
        <v>108</v>
      </c>
      <c r="J3051" t="s">
        <v>54</v>
      </c>
      <c r="K3051" s="2">
        <v>3</v>
      </c>
      <c r="L3051" t="s">
        <v>152</v>
      </c>
      <c r="M3051" t="s">
        <v>59</v>
      </c>
      <c r="N3051" t="s">
        <v>47</v>
      </c>
      <c r="O3051" t="s">
        <v>152</v>
      </c>
      <c r="P3051" t="s">
        <v>152</v>
      </c>
      <c r="Q3051" s="3">
        <v>41</v>
      </c>
      <c r="R3051" t="s">
        <v>34</v>
      </c>
      <c r="S3051" t="s">
        <v>77</v>
      </c>
    </row>
    <row r="3052" spans="1:19" x14ac:dyDescent="0.25">
      <c r="A3052">
        <v>3051</v>
      </c>
      <c r="B3052">
        <v>31</v>
      </c>
      <c r="C3052" t="s">
        <v>153</v>
      </c>
      <c r="D3052" t="s">
        <v>64</v>
      </c>
      <c r="E3052" t="s">
        <v>65</v>
      </c>
      <c r="F3052" s="1">
        <v>76</v>
      </c>
      <c r="G3052" t="s">
        <v>22</v>
      </c>
      <c r="H3052" t="s">
        <v>38</v>
      </c>
      <c r="I3052" t="s">
        <v>96</v>
      </c>
      <c r="J3052" t="s">
        <v>39</v>
      </c>
      <c r="K3052" s="2">
        <v>3.6</v>
      </c>
      <c r="L3052" t="s">
        <v>152</v>
      </c>
      <c r="M3052" t="s">
        <v>35</v>
      </c>
      <c r="N3052" t="s">
        <v>55</v>
      </c>
      <c r="O3052" t="s">
        <v>152</v>
      </c>
      <c r="P3052" t="s">
        <v>152</v>
      </c>
      <c r="Q3052" s="3">
        <v>28</v>
      </c>
      <c r="R3052" t="s">
        <v>29</v>
      </c>
      <c r="S3052" t="s">
        <v>97</v>
      </c>
    </row>
    <row r="3053" spans="1:19" x14ac:dyDescent="0.25">
      <c r="A3053">
        <v>3052</v>
      </c>
      <c r="B3053">
        <v>44</v>
      </c>
      <c r="C3053" t="s">
        <v>153</v>
      </c>
      <c r="D3053" t="s">
        <v>89</v>
      </c>
      <c r="E3053" t="s">
        <v>69</v>
      </c>
      <c r="F3053" s="1">
        <v>64</v>
      </c>
      <c r="G3053" t="s">
        <v>52</v>
      </c>
      <c r="H3053" t="s">
        <v>23</v>
      </c>
      <c r="I3053" t="s">
        <v>81</v>
      </c>
      <c r="J3053" t="s">
        <v>54</v>
      </c>
      <c r="K3053" s="2">
        <v>4.5999999999999996</v>
      </c>
      <c r="L3053" t="s">
        <v>152</v>
      </c>
      <c r="M3053" t="s">
        <v>29</v>
      </c>
      <c r="N3053" t="s">
        <v>28</v>
      </c>
      <c r="O3053" t="s">
        <v>152</v>
      </c>
      <c r="P3053" t="s">
        <v>152</v>
      </c>
      <c r="Q3053" s="3">
        <v>49</v>
      </c>
      <c r="R3053" t="s">
        <v>59</v>
      </c>
      <c r="S3053" t="s">
        <v>97</v>
      </c>
    </row>
    <row r="3054" spans="1:19" x14ac:dyDescent="0.25">
      <c r="A3054">
        <v>3053</v>
      </c>
      <c r="B3054">
        <v>48</v>
      </c>
      <c r="C3054" t="s">
        <v>153</v>
      </c>
      <c r="D3054" t="s">
        <v>73</v>
      </c>
      <c r="E3054" t="s">
        <v>43</v>
      </c>
      <c r="F3054" s="1">
        <v>38</v>
      </c>
      <c r="G3054" t="s">
        <v>32</v>
      </c>
      <c r="H3054" t="s">
        <v>92</v>
      </c>
      <c r="I3054" t="s">
        <v>79</v>
      </c>
      <c r="J3054" t="s">
        <v>39</v>
      </c>
      <c r="K3054" s="2">
        <v>4.5</v>
      </c>
      <c r="L3054" t="s">
        <v>152</v>
      </c>
      <c r="M3054" t="s">
        <v>27</v>
      </c>
      <c r="N3054" t="s">
        <v>76</v>
      </c>
      <c r="O3054" t="s">
        <v>152</v>
      </c>
      <c r="P3054" t="s">
        <v>152</v>
      </c>
      <c r="Q3054" s="3">
        <v>7</v>
      </c>
      <c r="R3054" t="s">
        <v>34</v>
      </c>
      <c r="S3054" t="s">
        <v>30</v>
      </c>
    </row>
    <row r="3055" spans="1:19" x14ac:dyDescent="0.25">
      <c r="A3055">
        <v>3054</v>
      </c>
      <c r="B3055">
        <v>32</v>
      </c>
      <c r="C3055" t="s">
        <v>153</v>
      </c>
      <c r="D3055" t="s">
        <v>73</v>
      </c>
      <c r="E3055" t="s">
        <v>43</v>
      </c>
      <c r="F3055" s="1">
        <v>91</v>
      </c>
      <c r="G3055" t="s">
        <v>32</v>
      </c>
      <c r="H3055" t="s">
        <v>23</v>
      </c>
      <c r="I3055" t="s">
        <v>110</v>
      </c>
      <c r="J3055" t="s">
        <v>25</v>
      </c>
      <c r="K3055" s="2">
        <v>3.2</v>
      </c>
      <c r="L3055" t="s">
        <v>152</v>
      </c>
      <c r="M3055" t="s">
        <v>27</v>
      </c>
      <c r="N3055" t="s">
        <v>47</v>
      </c>
      <c r="O3055" t="s">
        <v>152</v>
      </c>
      <c r="P3055" t="s">
        <v>152</v>
      </c>
      <c r="Q3055" s="3">
        <v>22</v>
      </c>
      <c r="R3055" t="s">
        <v>34</v>
      </c>
      <c r="S3055" t="s">
        <v>88</v>
      </c>
    </row>
    <row r="3056" spans="1:19" x14ac:dyDescent="0.25">
      <c r="A3056">
        <v>3055</v>
      </c>
      <c r="B3056">
        <v>42</v>
      </c>
      <c r="C3056" t="s">
        <v>153</v>
      </c>
      <c r="D3056" t="s">
        <v>137</v>
      </c>
      <c r="E3056" t="s">
        <v>43</v>
      </c>
      <c r="F3056" s="1">
        <v>70</v>
      </c>
      <c r="G3056" t="s">
        <v>83</v>
      </c>
      <c r="H3056" t="s">
        <v>38</v>
      </c>
      <c r="I3056" t="s">
        <v>136</v>
      </c>
      <c r="J3056" t="s">
        <v>54</v>
      </c>
      <c r="K3056" s="2">
        <v>4.9000000000000004</v>
      </c>
      <c r="L3056" t="s">
        <v>152</v>
      </c>
      <c r="M3056" t="s">
        <v>35</v>
      </c>
      <c r="N3056" t="s">
        <v>72</v>
      </c>
      <c r="O3056" t="s">
        <v>152</v>
      </c>
      <c r="P3056" t="s">
        <v>152</v>
      </c>
      <c r="Q3056" s="3">
        <v>34</v>
      </c>
      <c r="R3056" t="s">
        <v>29</v>
      </c>
      <c r="S3056" t="s">
        <v>88</v>
      </c>
    </row>
    <row r="3057" spans="1:19" x14ac:dyDescent="0.25">
      <c r="A3057">
        <v>3056</v>
      </c>
      <c r="B3057">
        <v>27</v>
      </c>
      <c r="C3057" t="s">
        <v>153</v>
      </c>
      <c r="D3057" t="s">
        <v>42</v>
      </c>
      <c r="E3057" t="s">
        <v>43</v>
      </c>
      <c r="F3057" s="1">
        <v>22</v>
      </c>
      <c r="G3057" t="s">
        <v>111</v>
      </c>
      <c r="H3057" t="s">
        <v>45</v>
      </c>
      <c r="I3057" t="s">
        <v>84</v>
      </c>
      <c r="J3057" t="s">
        <v>58</v>
      </c>
      <c r="K3057" s="2">
        <v>5</v>
      </c>
      <c r="L3057" t="s">
        <v>152</v>
      </c>
      <c r="M3057" t="s">
        <v>34</v>
      </c>
      <c r="N3057" t="s">
        <v>55</v>
      </c>
      <c r="O3057" t="s">
        <v>152</v>
      </c>
      <c r="P3057" t="s">
        <v>152</v>
      </c>
      <c r="Q3057" s="3">
        <v>5</v>
      </c>
      <c r="R3057" t="s">
        <v>59</v>
      </c>
      <c r="S3057" t="s">
        <v>77</v>
      </c>
    </row>
    <row r="3058" spans="1:19" x14ac:dyDescent="0.25">
      <c r="A3058">
        <v>3057</v>
      </c>
      <c r="B3058">
        <v>69</v>
      </c>
      <c r="C3058" t="s">
        <v>153</v>
      </c>
      <c r="D3058" t="s">
        <v>143</v>
      </c>
      <c r="E3058" t="s">
        <v>69</v>
      </c>
      <c r="F3058" s="1">
        <v>59</v>
      </c>
      <c r="G3058" t="s">
        <v>127</v>
      </c>
      <c r="H3058" t="s">
        <v>45</v>
      </c>
      <c r="I3058" t="s">
        <v>118</v>
      </c>
      <c r="J3058" t="s">
        <v>39</v>
      </c>
      <c r="K3058" s="2">
        <v>3.8</v>
      </c>
      <c r="L3058" t="s">
        <v>152</v>
      </c>
      <c r="M3058" t="s">
        <v>27</v>
      </c>
      <c r="N3058" t="s">
        <v>55</v>
      </c>
      <c r="O3058" t="s">
        <v>152</v>
      </c>
      <c r="P3058" t="s">
        <v>152</v>
      </c>
      <c r="Q3058" s="3">
        <v>15</v>
      </c>
      <c r="R3058" t="s">
        <v>35</v>
      </c>
      <c r="S3058" t="s">
        <v>77</v>
      </c>
    </row>
    <row r="3059" spans="1:19" x14ac:dyDescent="0.25">
      <c r="A3059">
        <v>3058</v>
      </c>
      <c r="B3059">
        <v>67</v>
      </c>
      <c r="C3059" t="s">
        <v>153</v>
      </c>
      <c r="D3059" t="s">
        <v>132</v>
      </c>
      <c r="E3059" t="s">
        <v>69</v>
      </c>
      <c r="F3059" s="1">
        <v>22</v>
      </c>
      <c r="G3059" t="s">
        <v>98</v>
      </c>
      <c r="H3059" t="s">
        <v>45</v>
      </c>
      <c r="I3059" t="s">
        <v>144</v>
      </c>
      <c r="J3059" t="s">
        <v>39</v>
      </c>
      <c r="K3059" s="2">
        <v>3.4</v>
      </c>
      <c r="L3059" t="s">
        <v>152</v>
      </c>
      <c r="M3059" t="s">
        <v>46</v>
      </c>
      <c r="N3059" t="s">
        <v>47</v>
      </c>
      <c r="O3059" t="s">
        <v>152</v>
      </c>
      <c r="P3059" t="s">
        <v>152</v>
      </c>
      <c r="Q3059" s="3">
        <v>26</v>
      </c>
      <c r="R3059" t="s">
        <v>34</v>
      </c>
      <c r="S3059" t="s">
        <v>41</v>
      </c>
    </row>
    <row r="3060" spans="1:19" x14ac:dyDescent="0.25">
      <c r="A3060">
        <v>3059</v>
      </c>
      <c r="B3060">
        <v>41</v>
      </c>
      <c r="C3060" t="s">
        <v>153</v>
      </c>
      <c r="D3060" t="s">
        <v>68</v>
      </c>
      <c r="E3060" t="s">
        <v>69</v>
      </c>
      <c r="F3060" s="1">
        <v>74</v>
      </c>
      <c r="G3060" t="s">
        <v>66</v>
      </c>
      <c r="H3060" t="s">
        <v>38</v>
      </c>
      <c r="I3060" t="s">
        <v>121</v>
      </c>
      <c r="J3060" t="s">
        <v>25</v>
      </c>
      <c r="K3060" s="2">
        <v>3.8</v>
      </c>
      <c r="L3060" t="s">
        <v>152</v>
      </c>
      <c r="M3060" t="s">
        <v>29</v>
      </c>
      <c r="N3060" t="s">
        <v>76</v>
      </c>
      <c r="O3060" t="s">
        <v>152</v>
      </c>
      <c r="P3060" t="s">
        <v>152</v>
      </c>
      <c r="Q3060" s="3">
        <v>3</v>
      </c>
      <c r="R3060" t="s">
        <v>34</v>
      </c>
      <c r="S3060" t="s">
        <v>30</v>
      </c>
    </row>
    <row r="3061" spans="1:19" x14ac:dyDescent="0.25">
      <c r="A3061">
        <v>3060</v>
      </c>
      <c r="B3061">
        <v>46</v>
      </c>
      <c r="C3061" t="s">
        <v>153</v>
      </c>
      <c r="D3061" t="s">
        <v>31</v>
      </c>
      <c r="E3061" t="s">
        <v>21</v>
      </c>
      <c r="F3061" s="1">
        <v>71</v>
      </c>
      <c r="G3061" t="s">
        <v>22</v>
      </c>
      <c r="H3061" t="s">
        <v>23</v>
      </c>
      <c r="I3061" t="s">
        <v>33</v>
      </c>
      <c r="J3061" t="s">
        <v>39</v>
      </c>
      <c r="K3061" s="2">
        <v>3.2</v>
      </c>
      <c r="L3061" t="s">
        <v>152</v>
      </c>
      <c r="M3061" t="s">
        <v>46</v>
      </c>
      <c r="N3061" t="s">
        <v>28</v>
      </c>
      <c r="O3061" t="s">
        <v>152</v>
      </c>
      <c r="P3061" t="s">
        <v>152</v>
      </c>
      <c r="Q3061" s="3">
        <v>42</v>
      </c>
      <c r="R3061" t="s">
        <v>27</v>
      </c>
      <c r="S3061" t="s">
        <v>60</v>
      </c>
    </row>
    <row r="3062" spans="1:19" x14ac:dyDescent="0.25">
      <c r="A3062">
        <v>3061</v>
      </c>
      <c r="B3062">
        <v>47</v>
      </c>
      <c r="C3062" t="s">
        <v>153</v>
      </c>
      <c r="D3062" t="s">
        <v>64</v>
      </c>
      <c r="E3062" t="s">
        <v>65</v>
      </c>
      <c r="F3062" s="1">
        <v>80</v>
      </c>
      <c r="G3062" t="s">
        <v>99</v>
      </c>
      <c r="H3062" t="s">
        <v>38</v>
      </c>
      <c r="I3062" t="s">
        <v>63</v>
      </c>
      <c r="J3062" t="s">
        <v>54</v>
      </c>
      <c r="K3062" s="2">
        <v>4.7</v>
      </c>
      <c r="L3062" t="s">
        <v>152</v>
      </c>
      <c r="M3062" t="s">
        <v>27</v>
      </c>
      <c r="N3062" t="s">
        <v>76</v>
      </c>
      <c r="O3062" t="s">
        <v>152</v>
      </c>
      <c r="P3062" t="s">
        <v>152</v>
      </c>
      <c r="Q3062" s="3">
        <v>1</v>
      </c>
      <c r="R3062" t="s">
        <v>29</v>
      </c>
      <c r="S3062" t="s">
        <v>88</v>
      </c>
    </row>
    <row r="3063" spans="1:19" x14ac:dyDescent="0.25">
      <c r="A3063">
        <v>3062</v>
      </c>
      <c r="B3063">
        <v>33</v>
      </c>
      <c r="C3063" t="s">
        <v>153</v>
      </c>
      <c r="D3063" t="s">
        <v>113</v>
      </c>
      <c r="E3063" t="s">
        <v>21</v>
      </c>
      <c r="F3063" s="1">
        <v>59</v>
      </c>
      <c r="G3063" t="s">
        <v>147</v>
      </c>
      <c r="H3063" t="s">
        <v>23</v>
      </c>
      <c r="I3063" t="s">
        <v>79</v>
      </c>
      <c r="J3063" t="s">
        <v>58</v>
      </c>
      <c r="K3063" s="2">
        <v>4.5</v>
      </c>
      <c r="L3063" t="s">
        <v>152</v>
      </c>
      <c r="M3063" t="s">
        <v>59</v>
      </c>
      <c r="N3063" t="s">
        <v>28</v>
      </c>
      <c r="O3063" t="s">
        <v>152</v>
      </c>
      <c r="P3063" t="s">
        <v>152</v>
      </c>
      <c r="Q3063" s="3">
        <v>20</v>
      </c>
      <c r="R3063" t="s">
        <v>46</v>
      </c>
      <c r="S3063" t="s">
        <v>97</v>
      </c>
    </row>
    <row r="3064" spans="1:19" x14ac:dyDescent="0.25">
      <c r="A3064">
        <v>3063</v>
      </c>
      <c r="B3064">
        <v>51</v>
      </c>
      <c r="C3064" t="s">
        <v>153</v>
      </c>
      <c r="D3064" t="s">
        <v>132</v>
      </c>
      <c r="E3064" t="s">
        <v>69</v>
      </c>
      <c r="F3064" s="1">
        <v>96</v>
      </c>
      <c r="G3064" t="s">
        <v>99</v>
      </c>
      <c r="H3064" t="s">
        <v>23</v>
      </c>
      <c r="I3064" t="s">
        <v>96</v>
      </c>
      <c r="J3064" t="s">
        <v>58</v>
      </c>
      <c r="K3064" s="2">
        <v>3.3</v>
      </c>
      <c r="L3064" t="s">
        <v>152</v>
      </c>
      <c r="M3064" t="s">
        <v>34</v>
      </c>
      <c r="N3064" t="s">
        <v>55</v>
      </c>
      <c r="O3064" t="s">
        <v>152</v>
      </c>
      <c r="P3064" t="s">
        <v>152</v>
      </c>
      <c r="Q3064" s="3">
        <v>39</v>
      </c>
      <c r="R3064" t="s">
        <v>46</v>
      </c>
      <c r="S3064" t="s">
        <v>88</v>
      </c>
    </row>
    <row r="3065" spans="1:19" x14ac:dyDescent="0.25">
      <c r="A3065">
        <v>3064</v>
      </c>
      <c r="B3065">
        <v>26</v>
      </c>
      <c r="C3065" t="s">
        <v>153</v>
      </c>
      <c r="D3065" t="s">
        <v>89</v>
      </c>
      <c r="E3065" t="s">
        <v>69</v>
      </c>
      <c r="F3065" s="1">
        <v>43</v>
      </c>
      <c r="G3065" t="s">
        <v>139</v>
      </c>
      <c r="H3065" t="s">
        <v>23</v>
      </c>
      <c r="I3065" t="s">
        <v>110</v>
      </c>
      <c r="J3065" t="s">
        <v>25</v>
      </c>
      <c r="K3065" s="2">
        <v>3.9</v>
      </c>
      <c r="L3065" t="s">
        <v>152</v>
      </c>
      <c r="M3065" t="s">
        <v>59</v>
      </c>
      <c r="N3065" t="s">
        <v>76</v>
      </c>
      <c r="O3065" t="s">
        <v>152</v>
      </c>
      <c r="P3065" t="s">
        <v>152</v>
      </c>
      <c r="Q3065" s="3">
        <v>24</v>
      </c>
      <c r="R3065" t="s">
        <v>27</v>
      </c>
      <c r="S3065" t="s">
        <v>30</v>
      </c>
    </row>
    <row r="3066" spans="1:19" x14ac:dyDescent="0.25">
      <c r="A3066">
        <v>3065</v>
      </c>
      <c r="B3066">
        <v>22</v>
      </c>
      <c r="C3066" t="s">
        <v>153</v>
      </c>
      <c r="D3066" t="s">
        <v>133</v>
      </c>
      <c r="E3066" t="s">
        <v>69</v>
      </c>
      <c r="F3066" s="1">
        <v>76</v>
      </c>
      <c r="G3066" t="s">
        <v>135</v>
      </c>
      <c r="H3066" t="s">
        <v>38</v>
      </c>
      <c r="I3066" t="s">
        <v>109</v>
      </c>
      <c r="J3066" t="s">
        <v>25</v>
      </c>
      <c r="K3066" s="2">
        <v>3.6</v>
      </c>
      <c r="L3066" t="s">
        <v>152</v>
      </c>
      <c r="M3066" t="s">
        <v>59</v>
      </c>
      <c r="N3066" t="s">
        <v>28</v>
      </c>
      <c r="O3066" t="s">
        <v>152</v>
      </c>
      <c r="P3066" t="s">
        <v>152</v>
      </c>
      <c r="Q3066" s="3">
        <v>49</v>
      </c>
      <c r="R3066" t="s">
        <v>34</v>
      </c>
      <c r="S3066" t="s">
        <v>60</v>
      </c>
    </row>
    <row r="3067" spans="1:19" x14ac:dyDescent="0.25">
      <c r="A3067">
        <v>3066</v>
      </c>
      <c r="B3067">
        <v>49</v>
      </c>
      <c r="C3067" t="s">
        <v>153</v>
      </c>
      <c r="D3067" t="s">
        <v>102</v>
      </c>
      <c r="E3067" t="s">
        <v>65</v>
      </c>
      <c r="F3067" s="1">
        <v>59</v>
      </c>
      <c r="G3067" t="s">
        <v>114</v>
      </c>
      <c r="H3067" t="s">
        <v>45</v>
      </c>
      <c r="I3067" t="s">
        <v>118</v>
      </c>
      <c r="J3067" t="s">
        <v>58</v>
      </c>
      <c r="K3067" s="2">
        <v>2.8</v>
      </c>
      <c r="L3067" t="s">
        <v>152</v>
      </c>
      <c r="M3067" t="s">
        <v>59</v>
      </c>
      <c r="N3067" t="s">
        <v>76</v>
      </c>
      <c r="O3067" t="s">
        <v>152</v>
      </c>
      <c r="P3067" t="s">
        <v>152</v>
      </c>
      <c r="Q3067" s="3">
        <v>7</v>
      </c>
      <c r="R3067" t="s">
        <v>29</v>
      </c>
      <c r="S3067" t="s">
        <v>77</v>
      </c>
    </row>
    <row r="3068" spans="1:19" x14ac:dyDescent="0.25">
      <c r="A3068">
        <v>3067</v>
      </c>
      <c r="B3068">
        <v>58</v>
      </c>
      <c r="C3068" t="s">
        <v>153</v>
      </c>
      <c r="D3068" t="s">
        <v>87</v>
      </c>
      <c r="E3068" t="s">
        <v>21</v>
      </c>
      <c r="F3068" s="1">
        <v>48</v>
      </c>
      <c r="G3068" t="s">
        <v>151</v>
      </c>
      <c r="H3068" t="s">
        <v>23</v>
      </c>
      <c r="I3068" t="s">
        <v>86</v>
      </c>
      <c r="J3068" t="s">
        <v>54</v>
      </c>
      <c r="K3068" s="2">
        <v>4.3</v>
      </c>
      <c r="L3068" t="s">
        <v>152</v>
      </c>
      <c r="M3068" t="s">
        <v>35</v>
      </c>
      <c r="N3068" t="s">
        <v>40</v>
      </c>
      <c r="O3068" t="s">
        <v>152</v>
      </c>
      <c r="P3068" t="s">
        <v>152</v>
      </c>
      <c r="Q3068" s="3">
        <v>13</v>
      </c>
      <c r="R3068" t="s">
        <v>29</v>
      </c>
      <c r="S3068" t="s">
        <v>97</v>
      </c>
    </row>
    <row r="3069" spans="1:19" x14ac:dyDescent="0.25">
      <c r="A3069">
        <v>3068</v>
      </c>
      <c r="B3069">
        <v>70</v>
      </c>
      <c r="C3069" t="s">
        <v>153</v>
      </c>
      <c r="D3069" t="s">
        <v>133</v>
      </c>
      <c r="E3069" t="s">
        <v>69</v>
      </c>
      <c r="F3069" s="1">
        <v>22</v>
      </c>
      <c r="G3069" t="s">
        <v>70</v>
      </c>
      <c r="H3069" t="s">
        <v>38</v>
      </c>
      <c r="I3069" t="s">
        <v>24</v>
      </c>
      <c r="J3069" t="s">
        <v>39</v>
      </c>
      <c r="K3069" s="2">
        <v>3.5</v>
      </c>
      <c r="L3069" t="s">
        <v>152</v>
      </c>
      <c r="M3069" t="s">
        <v>34</v>
      </c>
      <c r="N3069" t="s">
        <v>40</v>
      </c>
      <c r="O3069" t="s">
        <v>152</v>
      </c>
      <c r="P3069" t="s">
        <v>152</v>
      </c>
      <c r="Q3069" s="3">
        <v>2</v>
      </c>
      <c r="R3069" t="s">
        <v>35</v>
      </c>
      <c r="S3069" t="s">
        <v>41</v>
      </c>
    </row>
    <row r="3070" spans="1:19" x14ac:dyDescent="0.25">
      <c r="A3070">
        <v>3069</v>
      </c>
      <c r="B3070">
        <v>32</v>
      </c>
      <c r="C3070" t="s">
        <v>153</v>
      </c>
      <c r="D3070" t="s">
        <v>137</v>
      </c>
      <c r="E3070" t="s">
        <v>43</v>
      </c>
      <c r="F3070" s="1">
        <v>40</v>
      </c>
      <c r="G3070" t="s">
        <v>99</v>
      </c>
      <c r="H3070" t="s">
        <v>45</v>
      </c>
      <c r="I3070" t="s">
        <v>126</v>
      </c>
      <c r="J3070" t="s">
        <v>25</v>
      </c>
      <c r="K3070" s="2">
        <v>4.2</v>
      </c>
      <c r="L3070" t="s">
        <v>152</v>
      </c>
      <c r="M3070" t="s">
        <v>34</v>
      </c>
      <c r="N3070" t="s">
        <v>28</v>
      </c>
      <c r="O3070" t="s">
        <v>152</v>
      </c>
      <c r="P3070" t="s">
        <v>152</v>
      </c>
      <c r="Q3070" s="3">
        <v>4</v>
      </c>
      <c r="R3070" t="s">
        <v>59</v>
      </c>
      <c r="S3070" t="s">
        <v>41</v>
      </c>
    </row>
    <row r="3071" spans="1:19" x14ac:dyDescent="0.25">
      <c r="A3071">
        <v>3070</v>
      </c>
      <c r="B3071">
        <v>62</v>
      </c>
      <c r="C3071" t="s">
        <v>153</v>
      </c>
      <c r="D3071" t="s">
        <v>36</v>
      </c>
      <c r="E3071" t="s">
        <v>21</v>
      </c>
      <c r="F3071" s="1">
        <v>73</v>
      </c>
      <c r="G3071" t="s">
        <v>80</v>
      </c>
      <c r="H3071" t="s">
        <v>23</v>
      </c>
      <c r="I3071" t="s">
        <v>136</v>
      </c>
      <c r="J3071" t="s">
        <v>39</v>
      </c>
      <c r="K3071" s="2">
        <v>4.5999999999999996</v>
      </c>
      <c r="L3071" t="s">
        <v>152</v>
      </c>
      <c r="M3071" t="s">
        <v>29</v>
      </c>
      <c r="N3071" t="s">
        <v>28</v>
      </c>
      <c r="O3071" t="s">
        <v>152</v>
      </c>
      <c r="P3071" t="s">
        <v>152</v>
      </c>
      <c r="Q3071" s="3">
        <v>17</v>
      </c>
      <c r="R3071" t="s">
        <v>59</v>
      </c>
      <c r="S3071" t="s">
        <v>60</v>
      </c>
    </row>
    <row r="3072" spans="1:19" x14ac:dyDescent="0.25">
      <c r="A3072">
        <v>3071</v>
      </c>
      <c r="B3072">
        <v>52</v>
      </c>
      <c r="C3072" t="s">
        <v>153</v>
      </c>
      <c r="D3072" t="s">
        <v>73</v>
      </c>
      <c r="E3072" t="s">
        <v>43</v>
      </c>
      <c r="F3072" s="1">
        <v>26</v>
      </c>
      <c r="G3072" t="s">
        <v>90</v>
      </c>
      <c r="H3072" t="s">
        <v>92</v>
      </c>
      <c r="I3072" t="s">
        <v>108</v>
      </c>
      <c r="J3072" t="s">
        <v>58</v>
      </c>
      <c r="K3072" s="2">
        <v>2.6</v>
      </c>
      <c r="L3072" t="s">
        <v>152</v>
      </c>
      <c r="M3072" t="s">
        <v>59</v>
      </c>
      <c r="N3072" t="s">
        <v>40</v>
      </c>
      <c r="O3072" t="s">
        <v>152</v>
      </c>
      <c r="P3072" t="s">
        <v>152</v>
      </c>
      <c r="Q3072" s="3">
        <v>43</v>
      </c>
      <c r="R3072" t="s">
        <v>46</v>
      </c>
      <c r="S3072" t="s">
        <v>77</v>
      </c>
    </row>
    <row r="3073" spans="1:19" x14ac:dyDescent="0.25">
      <c r="A3073">
        <v>3072</v>
      </c>
      <c r="B3073">
        <v>23</v>
      </c>
      <c r="C3073" t="s">
        <v>153</v>
      </c>
      <c r="D3073" t="s">
        <v>31</v>
      </c>
      <c r="E3073" t="s">
        <v>21</v>
      </c>
      <c r="F3073" s="1">
        <v>41</v>
      </c>
      <c r="G3073" t="s">
        <v>83</v>
      </c>
      <c r="H3073" t="s">
        <v>23</v>
      </c>
      <c r="I3073" t="s">
        <v>49</v>
      </c>
      <c r="J3073" t="s">
        <v>39</v>
      </c>
      <c r="K3073" s="2">
        <v>3.4</v>
      </c>
      <c r="L3073" t="s">
        <v>152</v>
      </c>
      <c r="M3073" t="s">
        <v>59</v>
      </c>
      <c r="N3073" t="s">
        <v>47</v>
      </c>
      <c r="O3073" t="s">
        <v>152</v>
      </c>
      <c r="P3073" t="s">
        <v>152</v>
      </c>
      <c r="Q3073" s="3">
        <v>6</v>
      </c>
      <c r="R3073" t="s">
        <v>46</v>
      </c>
      <c r="S3073" t="s">
        <v>88</v>
      </c>
    </row>
    <row r="3074" spans="1:19" x14ac:dyDescent="0.25">
      <c r="A3074">
        <v>3073</v>
      </c>
      <c r="B3074">
        <v>26</v>
      </c>
      <c r="C3074" t="s">
        <v>153</v>
      </c>
      <c r="D3074" t="s">
        <v>106</v>
      </c>
      <c r="E3074" t="s">
        <v>69</v>
      </c>
      <c r="F3074" s="1">
        <v>98</v>
      </c>
      <c r="G3074" t="s">
        <v>85</v>
      </c>
      <c r="H3074" t="s">
        <v>23</v>
      </c>
      <c r="I3074" t="s">
        <v>100</v>
      </c>
      <c r="J3074" t="s">
        <v>39</v>
      </c>
      <c r="K3074" s="2">
        <v>3.1</v>
      </c>
      <c r="L3074" t="s">
        <v>152</v>
      </c>
      <c r="M3074" t="s">
        <v>29</v>
      </c>
      <c r="N3074" t="s">
        <v>55</v>
      </c>
      <c r="O3074" t="s">
        <v>152</v>
      </c>
      <c r="P3074" t="s">
        <v>152</v>
      </c>
      <c r="Q3074" s="3">
        <v>46</v>
      </c>
      <c r="R3074" t="s">
        <v>46</v>
      </c>
      <c r="S3074" t="s">
        <v>60</v>
      </c>
    </row>
    <row r="3075" spans="1:19" x14ac:dyDescent="0.25">
      <c r="A3075">
        <v>3074</v>
      </c>
      <c r="B3075">
        <v>58</v>
      </c>
      <c r="C3075" t="s">
        <v>153</v>
      </c>
      <c r="D3075" t="s">
        <v>56</v>
      </c>
      <c r="E3075" t="s">
        <v>21</v>
      </c>
      <c r="F3075" s="1">
        <v>63</v>
      </c>
      <c r="G3075" t="s">
        <v>48</v>
      </c>
      <c r="H3075" t="s">
        <v>23</v>
      </c>
      <c r="I3075" t="s">
        <v>53</v>
      </c>
      <c r="J3075" t="s">
        <v>25</v>
      </c>
      <c r="K3075" s="2">
        <v>3.6</v>
      </c>
      <c r="L3075" t="s">
        <v>152</v>
      </c>
      <c r="M3075" t="s">
        <v>46</v>
      </c>
      <c r="N3075" t="s">
        <v>40</v>
      </c>
      <c r="O3075" t="s">
        <v>152</v>
      </c>
      <c r="P3075" t="s">
        <v>152</v>
      </c>
      <c r="Q3075" s="3">
        <v>7</v>
      </c>
      <c r="R3075" t="s">
        <v>59</v>
      </c>
      <c r="S3075" t="s">
        <v>77</v>
      </c>
    </row>
    <row r="3076" spans="1:19" x14ac:dyDescent="0.25">
      <c r="A3076">
        <v>3075</v>
      </c>
      <c r="B3076">
        <v>26</v>
      </c>
      <c r="C3076" t="s">
        <v>153</v>
      </c>
      <c r="D3076" t="s">
        <v>137</v>
      </c>
      <c r="E3076" t="s">
        <v>43</v>
      </c>
      <c r="F3076" s="1">
        <v>55</v>
      </c>
      <c r="G3076" t="s">
        <v>37</v>
      </c>
      <c r="H3076" t="s">
        <v>23</v>
      </c>
      <c r="I3076" t="s">
        <v>33</v>
      </c>
      <c r="J3076" t="s">
        <v>25</v>
      </c>
      <c r="K3076" s="2">
        <v>4.2</v>
      </c>
      <c r="L3076" t="s">
        <v>152</v>
      </c>
      <c r="M3076" t="s">
        <v>34</v>
      </c>
      <c r="N3076" t="s">
        <v>47</v>
      </c>
      <c r="O3076" t="s">
        <v>152</v>
      </c>
      <c r="P3076" t="s">
        <v>152</v>
      </c>
      <c r="Q3076" s="3">
        <v>34</v>
      </c>
      <c r="R3076" t="s">
        <v>59</v>
      </c>
      <c r="S3076" t="s">
        <v>30</v>
      </c>
    </row>
    <row r="3077" spans="1:19" x14ac:dyDescent="0.25">
      <c r="A3077">
        <v>3076</v>
      </c>
      <c r="B3077">
        <v>54</v>
      </c>
      <c r="C3077" t="s">
        <v>153</v>
      </c>
      <c r="D3077" t="s">
        <v>61</v>
      </c>
      <c r="E3077" t="s">
        <v>21</v>
      </c>
      <c r="F3077" s="1">
        <v>90</v>
      </c>
      <c r="G3077" t="s">
        <v>140</v>
      </c>
      <c r="H3077" t="s">
        <v>92</v>
      </c>
      <c r="I3077" t="s">
        <v>118</v>
      </c>
      <c r="J3077" t="s">
        <v>25</v>
      </c>
      <c r="K3077" s="2">
        <v>3.6</v>
      </c>
      <c r="L3077" t="s">
        <v>152</v>
      </c>
      <c r="M3077" t="s">
        <v>27</v>
      </c>
      <c r="N3077" t="s">
        <v>55</v>
      </c>
      <c r="O3077" t="s">
        <v>152</v>
      </c>
      <c r="P3077" t="s">
        <v>152</v>
      </c>
      <c r="Q3077" s="3">
        <v>21</v>
      </c>
      <c r="R3077" t="s">
        <v>46</v>
      </c>
      <c r="S3077" t="s">
        <v>97</v>
      </c>
    </row>
    <row r="3078" spans="1:19" x14ac:dyDescent="0.25">
      <c r="A3078">
        <v>3077</v>
      </c>
      <c r="B3078">
        <v>66</v>
      </c>
      <c r="C3078" t="s">
        <v>153</v>
      </c>
      <c r="D3078" t="s">
        <v>68</v>
      </c>
      <c r="E3078" t="s">
        <v>69</v>
      </c>
      <c r="F3078" s="1">
        <v>46</v>
      </c>
      <c r="G3078" t="s">
        <v>83</v>
      </c>
      <c r="H3078" t="s">
        <v>45</v>
      </c>
      <c r="I3078" t="s">
        <v>144</v>
      </c>
      <c r="J3078" t="s">
        <v>54</v>
      </c>
      <c r="K3078" s="2">
        <v>3.6</v>
      </c>
      <c r="L3078" t="s">
        <v>152</v>
      </c>
      <c r="M3078" t="s">
        <v>27</v>
      </c>
      <c r="N3078" t="s">
        <v>28</v>
      </c>
      <c r="O3078" t="s">
        <v>152</v>
      </c>
      <c r="P3078" t="s">
        <v>152</v>
      </c>
      <c r="Q3078" s="3">
        <v>13</v>
      </c>
      <c r="R3078" t="s">
        <v>29</v>
      </c>
      <c r="S3078" t="s">
        <v>77</v>
      </c>
    </row>
    <row r="3079" spans="1:19" x14ac:dyDescent="0.25">
      <c r="A3079">
        <v>3078</v>
      </c>
      <c r="B3079">
        <v>60</v>
      </c>
      <c r="C3079" t="s">
        <v>153</v>
      </c>
      <c r="D3079" t="s">
        <v>31</v>
      </c>
      <c r="E3079" t="s">
        <v>21</v>
      </c>
      <c r="F3079" s="1">
        <v>88</v>
      </c>
      <c r="G3079" t="s">
        <v>115</v>
      </c>
      <c r="H3079" t="s">
        <v>38</v>
      </c>
      <c r="I3079" t="s">
        <v>108</v>
      </c>
      <c r="J3079" t="s">
        <v>39</v>
      </c>
      <c r="K3079" s="2">
        <v>3</v>
      </c>
      <c r="L3079" t="s">
        <v>152</v>
      </c>
      <c r="M3079" t="s">
        <v>29</v>
      </c>
      <c r="N3079" t="s">
        <v>76</v>
      </c>
      <c r="O3079" t="s">
        <v>152</v>
      </c>
      <c r="P3079" t="s">
        <v>152</v>
      </c>
      <c r="Q3079" s="3">
        <v>33</v>
      </c>
      <c r="R3079" t="s">
        <v>59</v>
      </c>
      <c r="S3079" t="s">
        <v>77</v>
      </c>
    </row>
    <row r="3080" spans="1:19" x14ac:dyDescent="0.25">
      <c r="A3080">
        <v>3079</v>
      </c>
      <c r="B3080">
        <v>32</v>
      </c>
      <c r="C3080" t="s">
        <v>153</v>
      </c>
      <c r="D3080" t="s">
        <v>133</v>
      </c>
      <c r="E3080" t="s">
        <v>69</v>
      </c>
      <c r="F3080" s="1">
        <v>95</v>
      </c>
      <c r="G3080" t="s">
        <v>120</v>
      </c>
      <c r="H3080" t="s">
        <v>45</v>
      </c>
      <c r="I3080" t="s">
        <v>144</v>
      </c>
      <c r="J3080" t="s">
        <v>39</v>
      </c>
      <c r="K3080" s="2">
        <v>2.5</v>
      </c>
      <c r="L3080" t="s">
        <v>152</v>
      </c>
      <c r="M3080" t="s">
        <v>34</v>
      </c>
      <c r="N3080" t="s">
        <v>72</v>
      </c>
      <c r="O3080" t="s">
        <v>152</v>
      </c>
      <c r="P3080" t="s">
        <v>152</v>
      </c>
      <c r="Q3080" s="3">
        <v>24</v>
      </c>
      <c r="R3080" t="s">
        <v>34</v>
      </c>
      <c r="S3080" t="s">
        <v>77</v>
      </c>
    </row>
    <row r="3081" spans="1:19" x14ac:dyDescent="0.25">
      <c r="A3081">
        <v>3080</v>
      </c>
      <c r="B3081">
        <v>48</v>
      </c>
      <c r="C3081" t="s">
        <v>153</v>
      </c>
      <c r="D3081" t="s">
        <v>133</v>
      </c>
      <c r="E3081" t="s">
        <v>69</v>
      </c>
      <c r="F3081" s="1">
        <v>31</v>
      </c>
      <c r="G3081" t="s">
        <v>52</v>
      </c>
      <c r="H3081" t="s">
        <v>45</v>
      </c>
      <c r="I3081" t="s">
        <v>33</v>
      </c>
      <c r="J3081" t="s">
        <v>58</v>
      </c>
      <c r="K3081" s="2">
        <v>4</v>
      </c>
      <c r="L3081" t="s">
        <v>152</v>
      </c>
      <c r="M3081" t="s">
        <v>27</v>
      </c>
      <c r="N3081" t="s">
        <v>76</v>
      </c>
      <c r="O3081" t="s">
        <v>152</v>
      </c>
      <c r="P3081" t="s">
        <v>152</v>
      </c>
      <c r="Q3081" s="3">
        <v>4</v>
      </c>
      <c r="R3081" t="s">
        <v>34</v>
      </c>
      <c r="S3081" t="s">
        <v>50</v>
      </c>
    </row>
    <row r="3082" spans="1:19" x14ac:dyDescent="0.25">
      <c r="A3082">
        <v>3081</v>
      </c>
      <c r="B3082">
        <v>69</v>
      </c>
      <c r="C3082" t="s">
        <v>153</v>
      </c>
      <c r="D3082" t="s">
        <v>104</v>
      </c>
      <c r="E3082" t="s">
        <v>21</v>
      </c>
      <c r="F3082" s="1">
        <v>42</v>
      </c>
      <c r="G3082" t="s">
        <v>112</v>
      </c>
      <c r="H3082" t="s">
        <v>23</v>
      </c>
      <c r="I3082" t="s">
        <v>134</v>
      </c>
      <c r="J3082" t="s">
        <v>39</v>
      </c>
      <c r="K3082" s="2">
        <v>4.0999999999999996</v>
      </c>
      <c r="L3082" t="s">
        <v>152</v>
      </c>
      <c r="M3082" t="s">
        <v>46</v>
      </c>
      <c r="N3082" t="s">
        <v>47</v>
      </c>
      <c r="O3082" t="s">
        <v>152</v>
      </c>
      <c r="P3082" t="s">
        <v>152</v>
      </c>
      <c r="Q3082" s="3">
        <v>5</v>
      </c>
      <c r="R3082" t="s">
        <v>35</v>
      </c>
      <c r="S3082" t="s">
        <v>77</v>
      </c>
    </row>
    <row r="3083" spans="1:19" x14ac:dyDescent="0.25">
      <c r="A3083">
        <v>3082</v>
      </c>
      <c r="B3083">
        <v>64</v>
      </c>
      <c r="C3083" t="s">
        <v>153</v>
      </c>
      <c r="D3083" t="s">
        <v>51</v>
      </c>
      <c r="E3083" t="s">
        <v>43</v>
      </c>
      <c r="F3083" s="1">
        <v>44</v>
      </c>
      <c r="G3083" t="s">
        <v>129</v>
      </c>
      <c r="H3083" t="s">
        <v>23</v>
      </c>
      <c r="I3083" t="s">
        <v>71</v>
      </c>
      <c r="J3083" t="s">
        <v>25</v>
      </c>
      <c r="K3083" s="2">
        <v>4.9000000000000004</v>
      </c>
      <c r="L3083" t="s">
        <v>152</v>
      </c>
      <c r="M3083" t="s">
        <v>59</v>
      </c>
      <c r="N3083" t="s">
        <v>47</v>
      </c>
      <c r="O3083" t="s">
        <v>152</v>
      </c>
      <c r="P3083" t="s">
        <v>152</v>
      </c>
      <c r="Q3083" s="3">
        <v>11</v>
      </c>
      <c r="R3083" t="s">
        <v>27</v>
      </c>
      <c r="S3083" t="s">
        <v>41</v>
      </c>
    </row>
    <row r="3084" spans="1:19" x14ac:dyDescent="0.25">
      <c r="A3084">
        <v>3083</v>
      </c>
      <c r="B3084">
        <v>56</v>
      </c>
      <c r="C3084" t="s">
        <v>153</v>
      </c>
      <c r="D3084" t="s">
        <v>113</v>
      </c>
      <c r="E3084" t="s">
        <v>21</v>
      </c>
      <c r="F3084" s="1">
        <v>99</v>
      </c>
      <c r="G3084" t="s">
        <v>140</v>
      </c>
      <c r="H3084" t="s">
        <v>45</v>
      </c>
      <c r="I3084" t="s">
        <v>33</v>
      </c>
      <c r="J3084" t="s">
        <v>39</v>
      </c>
      <c r="K3084" s="2">
        <v>4</v>
      </c>
      <c r="L3084" t="s">
        <v>152</v>
      </c>
      <c r="M3084" t="s">
        <v>29</v>
      </c>
      <c r="N3084" t="s">
        <v>47</v>
      </c>
      <c r="O3084" t="s">
        <v>152</v>
      </c>
      <c r="P3084" t="s">
        <v>152</v>
      </c>
      <c r="Q3084" s="3">
        <v>20</v>
      </c>
      <c r="R3084" t="s">
        <v>34</v>
      </c>
      <c r="S3084" t="s">
        <v>50</v>
      </c>
    </row>
    <row r="3085" spans="1:19" x14ac:dyDescent="0.25">
      <c r="A3085">
        <v>3084</v>
      </c>
      <c r="B3085">
        <v>22</v>
      </c>
      <c r="C3085" t="s">
        <v>153</v>
      </c>
      <c r="D3085" t="s">
        <v>95</v>
      </c>
      <c r="E3085" t="s">
        <v>21</v>
      </c>
      <c r="F3085" s="1">
        <v>20</v>
      </c>
      <c r="G3085" t="s">
        <v>115</v>
      </c>
      <c r="H3085" t="s">
        <v>38</v>
      </c>
      <c r="I3085" t="s">
        <v>75</v>
      </c>
      <c r="J3085" t="s">
        <v>54</v>
      </c>
      <c r="K3085" s="2">
        <v>3.5</v>
      </c>
      <c r="L3085" t="s">
        <v>152</v>
      </c>
      <c r="M3085" t="s">
        <v>29</v>
      </c>
      <c r="N3085" t="s">
        <v>76</v>
      </c>
      <c r="O3085" t="s">
        <v>152</v>
      </c>
      <c r="P3085" t="s">
        <v>152</v>
      </c>
      <c r="Q3085" s="3">
        <v>28</v>
      </c>
      <c r="R3085" t="s">
        <v>46</v>
      </c>
      <c r="S3085" t="s">
        <v>60</v>
      </c>
    </row>
    <row r="3086" spans="1:19" x14ac:dyDescent="0.25">
      <c r="A3086">
        <v>3085</v>
      </c>
      <c r="B3086">
        <v>46</v>
      </c>
      <c r="C3086" t="s">
        <v>153</v>
      </c>
      <c r="D3086" t="s">
        <v>119</v>
      </c>
      <c r="E3086" t="s">
        <v>69</v>
      </c>
      <c r="F3086" s="1">
        <v>37</v>
      </c>
      <c r="G3086" t="s">
        <v>135</v>
      </c>
      <c r="H3086" t="s">
        <v>38</v>
      </c>
      <c r="I3086" t="s">
        <v>126</v>
      </c>
      <c r="J3086" t="s">
        <v>39</v>
      </c>
      <c r="K3086" s="2">
        <v>3.2</v>
      </c>
      <c r="L3086" t="s">
        <v>152</v>
      </c>
      <c r="M3086" t="s">
        <v>34</v>
      </c>
      <c r="N3086" t="s">
        <v>76</v>
      </c>
      <c r="O3086" t="s">
        <v>152</v>
      </c>
      <c r="P3086" t="s">
        <v>152</v>
      </c>
      <c r="Q3086" s="3">
        <v>43</v>
      </c>
      <c r="R3086" t="s">
        <v>46</v>
      </c>
      <c r="S3086" t="s">
        <v>88</v>
      </c>
    </row>
    <row r="3087" spans="1:19" x14ac:dyDescent="0.25">
      <c r="A3087">
        <v>3086</v>
      </c>
      <c r="B3087">
        <v>24</v>
      </c>
      <c r="C3087" t="s">
        <v>153</v>
      </c>
      <c r="D3087" t="s">
        <v>31</v>
      </c>
      <c r="E3087" t="s">
        <v>21</v>
      </c>
      <c r="F3087" s="1">
        <v>50</v>
      </c>
      <c r="G3087" t="s">
        <v>107</v>
      </c>
      <c r="H3087" t="s">
        <v>23</v>
      </c>
      <c r="I3087" t="s">
        <v>24</v>
      </c>
      <c r="J3087" t="s">
        <v>25</v>
      </c>
      <c r="K3087" s="2">
        <v>2.8</v>
      </c>
      <c r="L3087" t="s">
        <v>152</v>
      </c>
      <c r="M3087" t="s">
        <v>27</v>
      </c>
      <c r="N3087" t="s">
        <v>76</v>
      </c>
      <c r="O3087" t="s">
        <v>152</v>
      </c>
      <c r="P3087" t="s">
        <v>152</v>
      </c>
      <c r="Q3087" s="3">
        <v>10</v>
      </c>
      <c r="R3087" t="s">
        <v>29</v>
      </c>
      <c r="S3087" t="s">
        <v>97</v>
      </c>
    </row>
    <row r="3088" spans="1:19" x14ac:dyDescent="0.25">
      <c r="A3088">
        <v>3087</v>
      </c>
      <c r="B3088">
        <v>47</v>
      </c>
      <c r="C3088" t="s">
        <v>153</v>
      </c>
      <c r="D3088" t="s">
        <v>68</v>
      </c>
      <c r="E3088" t="s">
        <v>69</v>
      </c>
      <c r="F3088" s="1">
        <v>73</v>
      </c>
      <c r="G3088" t="s">
        <v>140</v>
      </c>
      <c r="H3088" t="s">
        <v>45</v>
      </c>
      <c r="I3088" t="s">
        <v>93</v>
      </c>
      <c r="J3088" t="s">
        <v>54</v>
      </c>
      <c r="K3088" s="2">
        <v>3.5</v>
      </c>
      <c r="L3088" t="s">
        <v>152</v>
      </c>
      <c r="M3088" t="s">
        <v>59</v>
      </c>
      <c r="N3088" t="s">
        <v>47</v>
      </c>
      <c r="O3088" t="s">
        <v>152</v>
      </c>
      <c r="P3088" t="s">
        <v>152</v>
      </c>
      <c r="Q3088" s="3">
        <v>26</v>
      </c>
      <c r="R3088" t="s">
        <v>29</v>
      </c>
      <c r="S3088" t="s">
        <v>97</v>
      </c>
    </row>
    <row r="3089" spans="1:19" x14ac:dyDescent="0.25">
      <c r="A3089">
        <v>3088</v>
      </c>
      <c r="B3089">
        <v>62</v>
      </c>
      <c r="C3089" t="s">
        <v>153</v>
      </c>
      <c r="D3089" t="s">
        <v>56</v>
      </c>
      <c r="E3089" t="s">
        <v>21</v>
      </c>
      <c r="F3089" s="1">
        <v>84</v>
      </c>
      <c r="G3089" t="s">
        <v>98</v>
      </c>
      <c r="H3089" t="s">
        <v>45</v>
      </c>
      <c r="I3089" t="s">
        <v>63</v>
      </c>
      <c r="J3089" t="s">
        <v>39</v>
      </c>
      <c r="K3089" s="2">
        <v>3.1</v>
      </c>
      <c r="L3089" t="s">
        <v>152</v>
      </c>
      <c r="M3089" t="s">
        <v>35</v>
      </c>
      <c r="N3089" t="s">
        <v>40</v>
      </c>
      <c r="O3089" t="s">
        <v>152</v>
      </c>
      <c r="P3089" t="s">
        <v>152</v>
      </c>
      <c r="Q3089" s="3">
        <v>29</v>
      </c>
      <c r="R3089" t="s">
        <v>34</v>
      </c>
      <c r="S3089" t="s">
        <v>88</v>
      </c>
    </row>
    <row r="3090" spans="1:19" x14ac:dyDescent="0.25">
      <c r="A3090">
        <v>3089</v>
      </c>
      <c r="B3090">
        <v>34</v>
      </c>
      <c r="C3090" t="s">
        <v>153</v>
      </c>
      <c r="D3090" t="s">
        <v>82</v>
      </c>
      <c r="E3090" t="s">
        <v>21</v>
      </c>
      <c r="F3090" s="1">
        <v>64</v>
      </c>
      <c r="G3090" t="s">
        <v>74</v>
      </c>
      <c r="H3090" t="s">
        <v>45</v>
      </c>
      <c r="I3090" t="s">
        <v>86</v>
      </c>
      <c r="J3090" t="s">
        <v>39</v>
      </c>
      <c r="K3090" s="2">
        <v>3.3</v>
      </c>
      <c r="L3090" t="s">
        <v>152</v>
      </c>
      <c r="M3090" t="s">
        <v>46</v>
      </c>
      <c r="N3090" t="s">
        <v>76</v>
      </c>
      <c r="O3090" t="s">
        <v>152</v>
      </c>
      <c r="P3090" t="s">
        <v>152</v>
      </c>
      <c r="Q3090" s="3">
        <v>35</v>
      </c>
      <c r="R3090" t="s">
        <v>34</v>
      </c>
      <c r="S3090" t="s">
        <v>60</v>
      </c>
    </row>
    <row r="3091" spans="1:19" x14ac:dyDescent="0.25">
      <c r="A3091">
        <v>3090</v>
      </c>
      <c r="B3091">
        <v>50</v>
      </c>
      <c r="C3091" t="s">
        <v>153</v>
      </c>
      <c r="D3091" t="s">
        <v>42</v>
      </c>
      <c r="E3091" t="s">
        <v>43</v>
      </c>
      <c r="F3091" s="1">
        <v>21</v>
      </c>
      <c r="G3091" t="s">
        <v>98</v>
      </c>
      <c r="H3091" t="s">
        <v>23</v>
      </c>
      <c r="I3091" t="s">
        <v>144</v>
      </c>
      <c r="J3091" t="s">
        <v>58</v>
      </c>
      <c r="K3091" s="2">
        <v>4.5999999999999996</v>
      </c>
      <c r="L3091" t="s">
        <v>152</v>
      </c>
      <c r="M3091" t="s">
        <v>59</v>
      </c>
      <c r="N3091" t="s">
        <v>40</v>
      </c>
      <c r="O3091" t="s">
        <v>152</v>
      </c>
      <c r="P3091" t="s">
        <v>152</v>
      </c>
      <c r="Q3091" s="3">
        <v>23</v>
      </c>
      <c r="R3091" t="s">
        <v>35</v>
      </c>
      <c r="S3091" t="s">
        <v>77</v>
      </c>
    </row>
    <row r="3092" spans="1:19" x14ac:dyDescent="0.25">
      <c r="A3092">
        <v>3091</v>
      </c>
      <c r="B3092">
        <v>29</v>
      </c>
      <c r="C3092" t="s">
        <v>153</v>
      </c>
      <c r="D3092" t="s">
        <v>56</v>
      </c>
      <c r="E3092" t="s">
        <v>21</v>
      </c>
      <c r="F3092" s="1">
        <v>36</v>
      </c>
      <c r="G3092" t="s">
        <v>105</v>
      </c>
      <c r="H3092" t="s">
        <v>45</v>
      </c>
      <c r="I3092" t="s">
        <v>100</v>
      </c>
      <c r="J3092" t="s">
        <v>54</v>
      </c>
      <c r="K3092" s="2">
        <v>4.9000000000000004</v>
      </c>
      <c r="L3092" t="s">
        <v>152</v>
      </c>
      <c r="M3092" t="s">
        <v>46</v>
      </c>
      <c r="N3092" t="s">
        <v>76</v>
      </c>
      <c r="O3092" t="s">
        <v>152</v>
      </c>
      <c r="P3092" t="s">
        <v>152</v>
      </c>
      <c r="Q3092" s="3">
        <v>15</v>
      </c>
      <c r="R3092" t="s">
        <v>34</v>
      </c>
      <c r="S3092" t="s">
        <v>60</v>
      </c>
    </row>
    <row r="3093" spans="1:19" x14ac:dyDescent="0.25">
      <c r="A3093">
        <v>3092</v>
      </c>
      <c r="B3093">
        <v>68</v>
      </c>
      <c r="C3093" t="s">
        <v>153</v>
      </c>
      <c r="D3093" t="s">
        <v>82</v>
      </c>
      <c r="E3093" t="s">
        <v>21</v>
      </c>
      <c r="F3093" s="1">
        <v>81</v>
      </c>
      <c r="G3093" t="s">
        <v>107</v>
      </c>
      <c r="H3093" t="s">
        <v>23</v>
      </c>
      <c r="I3093" t="s">
        <v>121</v>
      </c>
      <c r="J3093" t="s">
        <v>25</v>
      </c>
      <c r="K3093" s="2">
        <v>3.4</v>
      </c>
      <c r="L3093" t="s">
        <v>152</v>
      </c>
      <c r="M3093" t="s">
        <v>34</v>
      </c>
      <c r="N3093" t="s">
        <v>72</v>
      </c>
      <c r="O3093" t="s">
        <v>152</v>
      </c>
      <c r="P3093" t="s">
        <v>152</v>
      </c>
      <c r="Q3093" s="3">
        <v>46</v>
      </c>
      <c r="R3093" t="s">
        <v>27</v>
      </c>
      <c r="S3093" t="s">
        <v>50</v>
      </c>
    </row>
    <row r="3094" spans="1:19" x14ac:dyDescent="0.25">
      <c r="A3094">
        <v>3093</v>
      </c>
      <c r="B3094">
        <v>52</v>
      </c>
      <c r="C3094" t="s">
        <v>153</v>
      </c>
      <c r="D3094" t="s">
        <v>89</v>
      </c>
      <c r="E3094" t="s">
        <v>69</v>
      </c>
      <c r="F3094" s="1">
        <v>54</v>
      </c>
      <c r="G3094" t="s">
        <v>140</v>
      </c>
      <c r="H3094" t="s">
        <v>23</v>
      </c>
      <c r="I3094" t="s">
        <v>67</v>
      </c>
      <c r="J3094" t="s">
        <v>58</v>
      </c>
      <c r="K3094" s="2">
        <v>3.5</v>
      </c>
      <c r="L3094" t="s">
        <v>152</v>
      </c>
      <c r="M3094" t="s">
        <v>35</v>
      </c>
      <c r="N3094" t="s">
        <v>47</v>
      </c>
      <c r="O3094" t="s">
        <v>152</v>
      </c>
      <c r="P3094" t="s">
        <v>152</v>
      </c>
      <c r="Q3094" s="3">
        <v>14</v>
      </c>
      <c r="R3094" t="s">
        <v>34</v>
      </c>
      <c r="S3094" t="s">
        <v>77</v>
      </c>
    </row>
    <row r="3095" spans="1:19" x14ac:dyDescent="0.25">
      <c r="A3095">
        <v>3094</v>
      </c>
      <c r="B3095">
        <v>29</v>
      </c>
      <c r="C3095" t="s">
        <v>153</v>
      </c>
      <c r="D3095" t="s">
        <v>125</v>
      </c>
      <c r="E3095" t="s">
        <v>21</v>
      </c>
      <c r="F3095" s="1">
        <v>63</v>
      </c>
      <c r="G3095" t="s">
        <v>138</v>
      </c>
      <c r="H3095" t="s">
        <v>23</v>
      </c>
      <c r="I3095" t="s">
        <v>108</v>
      </c>
      <c r="J3095" t="s">
        <v>54</v>
      </c>
      <c r="K3095" s="2">
        <v>4.8</v>
      </c>
      <c r="L3095" t="s">
        <v>152</v>
      </c>
      <c r="M3095" t="s">
        <v>34</v>
      </c>
      <c r="N3095" t="s">
        <v>76</v>
      </c>
      <c r="O3095" t="s">
        <v>152</v>
      </c>
      <c r="P3095" t="s">
        <v>152</v>
      </c>
      <c r="Q3095" s="3">
        <v>17</v>
      </c>
      <c r="R3095" t="s">
        <v>35</v>
      </c>
      <c r="S3095" t="s">
        <v>97</v>
      </c>
    </row>
    <row r="3096" spans="1:19" x14ac:dyDescent="0.25">
      <c r="A3096">
        <v>3095</v>
      </c>
      <c r="B3096">
        <v>22</v>
      </c>
      <c r="C3096" t="s">
        <v>153</v>
      </c>
      <c r="D3096" t="s">
        <v>42</v>
      </c>
      <c r="E3096" t="s">
        <v>43</v>
      </c>
      <c r="F3096" s="1">
        <v>59</v>
      </c>
      <c r="G3096" t="s">
        <v>142</v>
      </c>
      <c r="H3096" t="s">
        <v>45</v>
      </c>
      <c r="I3096" t="s">
        <v>24</v>
      </c>
      <c r="J3096" t="s">
        <v>54</v>
      </c>
      <c r="K3096" s="2">
        <v>2.7</v>
      </c>
      <c r="L3096" t="s">
        <v>152</v>
      </c>
      <c r="M3096" t="s">
        <v>34</v>
      </c>
      <c r="N3096" t="s">
        <v>76</v>
      </c>
      <c r="O3096" t="s">
        <v>152</v>
      </c>
      <c r="P3096" t="s">
        <v>152</v>
      </c>
      <c r="Q3096" s="3">
        <v>9</v>
      </c>
      <c r="R3096" t="s">
        <v>35</v>
      </c>
      <c r="S3096" t="s">
        <v>41</v>
      </c>
    </row>
    <row r="3097" spans="1:19" x14ac:dyDescent="0.25">
      <c r="A3097">
        <v>3096</v>
      </c>
      <c r="B3097">
        <v>62</v>
      </c>
      <c r="C3097" t="s">
        <v>153</v>
      </c>
      <c r="D3097" t="s">
        <v>124</v>
      </c>
      <c r="E3097" t="s">
        <v>69</v>
      </c>
      <c r="F3097" s="1">
        <v>53</v>
      </c>
      <c r="G3097" t="s">
        <v>148</v>
      </c>
      <c r="H3097" t="s">
        <v>38</v>
      </c>
      <c r="I3097" t="s">
        <v>118</v>
      </c>
      <c r="J3097" t="s">
        <v>58</v>
      </c>
      <c r="K3097" s="2">
        <v>3.4</v>
      </c>
      <c r="L3097" t="s">
        <v>152</v>
      </c>
      <c r="M3097" t="s">
        <v>35</v>
      </c>
      <c r="N3097" t="s">
        <v>55</v>
      </c>
      <c r="O3097" t="s">
        <v>152</v>
      </c>
      <c r="P3097" t="s">
        <v>152</v>
      </c>
      <c r="Q3097" s="3">
        <v>13</v>
      </c>
      <c r="R3097" t="s">
        <v>29</v>
      </c>
      <c r="S3097" t="s">
        <v>30</v>
      </c>
    </row>
    <row r="3098" spans="1:19" x14ac:dyDescent="0.25">
      <c r="A3098">
        <v>3097</v>
      </c>
      <c r="B3098">
        <v>69</v>
      </c>
      <c r="C3098" t="s">
        <v>153</v>
      </c>
      <c r="D3098" t="s">
        <v>56</v>
      </c>
      <c r="E3098" t="s">
        <v>21</v>
      </c>
      <c r="F3098" s="1">
        <v>63</v>
      </c>
      <c r="G3098" t="s">
        <v>111</v>
      </c>
      <c r="H3098" t="s">
        <v>23</v>
      </c>
      <c r="I3098" t="s">
        <v>53</v>
      </c>
      <c r="J3098" t="s">
        <v>25</v>
      </c>
      <c r="K3098" s="2">
        <v>3.5</v>
      </c>
      <c r="L3098" t="s">
        <v>152</v>
      </c>
      <c r="M3098" t="s">
        <v>46</v>
      </c>
      <c r="N3098" t="s">
        <v>47</v>
      </c>
      <c r="O3098" t="s">
        <v>152</v>
      </c>
      <c r="P3098" t="s">
        <v>152</v>
      </c>
      <c r="Q3098" s="3">
        <v>20</v>
      </c>
      <c r="R3098" t="s">
        <v>34</v>
      </c>
      <c r="S3098" t="s">
        <v>88</v>
      </c>
    </row>
    <row r="3099" spans="1:19" x14ac:dyDescent="0.25">
      <c r="A3099">
        <v>3098</v>
      </c>
      <c r="B3099">
        <v>48</v>
      </c>
      <c r="C3099" t="s">
        <v>153</v>
      </c>
      <c r="D3099" t="s">
        <v>73</v>
      </c>
      <c r="E3099" t="s">
        <v>43</v>
      </c>
      <c r="F3099" s="1">
        <v>33</v>
      </c>
      <c r="G3099" t="s">
        <v>80</v>
      </c>
      <c r="H3099" t="s">
        <v>45</v>
      </c>
      <c r="I3099" t="s">
        <v>67</v>
      </c>
      <c r="J3099" t="s">
        <v>58</v>
      </c>
      <c r="K3099" s="2">
        <v>3.7</v>
      </c>
      <c r="L3099" t="s">
        <v>152</v>
      </c>
      <c r="M3099" t="s">
        <v>59</v>
      </c>
      <c r="N3099" t="s">
        <v>40</v>
      </c>
      <c r="O3099" t="s">
        <v>152</v>
      </c>
      <c r="P3099" t="s">
        <v>152</v>
      </c>
      <c r="Q3099" s="3">
        <v>39</v>
      </c>
      <c r="R3099" t="s">
        <v>34</v>
      </c>
      <c r="S3099" t="s">
        <v>60</v>
      </c>
    </row>
    <row r="3100" spans="1:19" x14ac:dyDescent="0.25">
      <c r="A3100">
        <v>3099</v>
      </c>
      <c r="B3100">
        <v>66</v>
      </c>
      <c r="C3100" t="s">
        <v>153</v>
      </c>
      <c r="D3100" t="s">
        <v>95</v>
      </c>
      <c r="E3100" t="s">
        <v>21</v>
      </c>
      <c r="F3100" s="1">
        <v>64</v>
      </c>
      <c r="G3100" t="s">
        <v>130</v>
      </c>
      <c r="H3100" t="s">
        <v>23</v>
      </c>
      <c r="I3100" t="s">
        <v>109</v>
      </c>
      <c r="J3100" t="s">
        <v>54</v>
      </c>
      <c r="K3100" s="2">
        <v>3.3</v>
      </c>
      <c r="L3100" t="s">
        <v>152</v>
      </c>
      <c r="M3100" t="s">
        <v>34</v>
      </c>
      <c r="N3100" t="s">
        <v>47</v>
      </c>
      <c r="O3100" t="s">
        <v>152</v>
      </c>
      <c r="P3100" t="s">
        <v>152</v>
      </c>
      <c r="Q3100" s="3">
        <v>50</v>
      </c>
      <c r="R3100" t="s">
        <v>34</v>
      </c>
      <c r="S3100" t="s">
        <v>60</v>
      </c>
    </row>
    <row r="3101" spans="1:19" x14ac:dyDescent="0.25">
      <c r="A3101">
        <v>3100</v>
      </c>
      <c r="B3101">
        <v>42</v>
      </c>
      <c r="C3101" t="s">
        <v>153</v>
      </c>
      <c r="D3101" t="s">
        <v>56</v>
      </c>
      <c r="E3101" t="s">
        <v>21</v>
      </c>
      <c r="F3101" s="1">
        <v>98</v>
      </c>
      <c r="G3101" t="s">
        <v>151</v>
      </c>
      <c r="H3101" t="s">
        <v>38</v>
      </c>
      <c r="I3101" t="s">
        <v>33</v>
      </c>
      <c r="J3101" t="s">
        <v>58</v>
      </c>
      <c r="K3101" s="2">
        <v>2.9</v>
      </c>
      <c r="L3101" t="s">
        <v>152</v>
      </c>
      <c r="M3101" t="s">
        <v>29</v>
      </c>
      <c r="N3101" t="s">
        <v>40</v>
      </c>
      <c r="O3101" t="s">
        <v>152</v>
      </c>
      <c r="P3101" t="s">
        <v>152</v>
      </c>
      <c r="Q3101" s="3">
        <v>21</v>
      </c>
      <c r="R3101" t="s">
        <v>34</v>
      </c>
      <c r="S3101" t="s">
        <v>77</v>
      </c>
    </row>
    <row r="3102" spans="1:19" x14ac:dyDescent="0.25">
      <c r="A3102">
        <v>3101</v>
      </c>
      <c r="B3102">
        <v>50</v>
      </c>
      <c r="C3102" t="s">
        <v>153</v>
      </c>
      <c r="D3102" t="s">
        <v>124</v>
      </c>
      <c r="E3102" t="s">
        <v>69</v>
      </c>
      <c r="F3102" s="1">
        <v>85</v>
      </c>
      <c r="G3102" t="s">
        <v>129</v>
      </c>
      <c r="H3102" t="s">
        <v>23</v>
      </c>
      <c r="I3102" t="s">
        <v>75</v>
      </c>
      <c r="J3102" t="s">
        <v>25</v>
      </c>
      <c r="K3102" s="2">
        <v>3.9</v>
      </c>
      <c r="L3102" t="s">
        <v>152</v>
      </c>
      <c r="M3102" t="s">
        <v>29</v>
      </c>
      <c r="N3102" t="s">
        <v>28</v>
      </c>
      <c r="O3102" t="s">
        <v>152</v>
      </c>
      <c r="P3102" t="s">
        <v>152</v>
      </c>
      <c r="Q3102" s="3">
        <v>3</v>
      </c>
      <c r="R3102" t="s">
        <v>34</v>
      </c>
      <c r="S3102" t="s">
        <v>41</v>
      </c>
    </row>
    <row r="3103" spans="1:19" x14ac:dyDescent="0.25">
      <c r="A3103">
        <v>3102</v>
      </c>
      <c r="B3103">
        <v>32</v>
      </c>
      <c r="C3103" t="s">
        <v>153</v>
      </c>
      <c r="D3103" t="s">
        <v>106</v>
      </c>
      <c r="E3103" t="s">
        <v>69</v>
      </c>
      <c r="F3103" s="1">
        <v>82</v>
      </c>
      <c r="G3103" t="s">
        <v>135</v>
      </c>
      <c r="H3103" t="s">
        <v>38</v>
      </c>
      <c r="I3103" t="s">
        <v>110</v>
      </c>
      <c r="J3103" t="s">
        <v>54</v>
      </c>
      <c r="K3103" s="2">
        <v>2.7</v>
      </c>
      <c r="L3103" t="s">
        <v>152</v>
      </c>
      <c r="M3103" t="s">
        <v>46</v>
      </c>
      <c r="N3103" t="s">
        <v>28</v>
      </c>
      <c r="O3103" t="s">
        <v>152</v>
      </c>
      <c r="P3103" t="s">
        <v>152</v>
      </c>
      <c r="Q3103" s="3">
        <v>9</v>
      </c>
      <c r="R3103" t="s">
        <v>46</v>
      </c>
      <c r="S3103" t="s">
        <v>30</v>
      </c>
    </row>
    <row r="3104" spans="1:19" x14ac:dyDescent="0.25">
      <c r="A3104">
        <v>3103</v>
      </c>
      <c r="B3104">
        <v>51</v>
      </c>
      <c r="C3104" t="s">
        <v>153</v>
      </c>
      <c r="D3104" t="s">
        <v>102</v>
      </c>
      <c r="E3104" t="s">
        <v>65</v>
      </c>
      <c r="F3104" s="1">
        <v>85</v>
      </c>
      <c r="G3104" t="s">
        <v>147</v>
      </c>
      <c r="H3104" t="s">
        <v>45</v>
      </c>
      <c r="I3104" t="s">
        <v>96</v>
      </c>
      <c r="J3104" t="s">
        <v>54</v>
      </c>
      <c r="K3104" s="2">
        <v>4.3</v>
      </c>
      <c r="L3104" t="s">
        <v>152</v>
      </c>
      <c r="M3104" t="s">
        <v>34</v>
      </c>
      <c r="N3104" t="s">
        <v>55</v>
      </c>
      <c r="O3104" t="s">
        <v>152</v>
      </c>
      <c r="P3104" t="s">
        <v>152</v>
      </c>
      <c r="Q3104" s="3">
        <v>29</v>
      </c>
      <c r="R3104" t="s">
        <v>35</v>
      </c>
      <c r="S3104" t="s">
        <v>77</v>
      </c>
    </row>
    <row r="3105" spans="1:19" x14ac:dyDescent="0.25">
      <c r="A3105">
        <v>3104</v>
      </c>
      <c r="B3105">
        <v>27</v>
      </c>
      <c r="C3105" t="s">
        <v>153</v>
      </c>
      <c r="D3105" t="s">
        <v>56</v>
      </c>
      <c r="E3105" t="s">
        <v>21</v>
      </c>
      <c r="F3105" s="1">
        <v>37</v>
      </c>
      <c r="G3105" t="s">
        <v>115</v>
      </c>
      <c r="H3105" t="s">
        <v>38</v>
      </c>
      <c r="I3105" t="s">
        <v>100</v>
      </c>
      <c r="J3105" t="s">
        <v>25</v>
      </c>
      <c r="K3105" s="2">
        <v>3</v>
      </c>
      <c r="L3105" t="s">
        <v>152</v>
      </c>
      <c r="M3105" t="s">
        <v>46</v>
      </c>
      <c r="N3105" t="s">
        <v>72</v>
      </c>
      <c r="O3105" t="s">
        <v>152</v>
      </c>
      <c r="P3105" t="s">
        <v>152</v>
      </c>
      <c r="Q3105" s="3">
        <v>42</v>
      </c>
      <c r="R3105" t="s">
        <v>34</v>
      </c>
      <c r="S3105" t="s">
        <v>41</v>
      </c>
    </row>
    <row r="3106" spans="1:19" x14ac:dyDescent="0.25">
      <c r="A3106">
        <v>3105</v>
      </c>
      <c r="B3106">
        <v>43</v>
      </c>
      <c r="C3106" t="s">
        <v>153</v>
      </c>
      <c r="D3106" t="s">
        <v>95</v>
      </c>
      <c r="E3106" t="s">
        <v>21</v>
      </c>
      <c r="F3106" s="1">
        <v>56</v>
      </c>
      <c r="G3106" t="s">
        <v>142</v>
      </c>
      <c r="H3106" t="s">
        <v>38</v>
      </c>
      <c r="I3106" t="s">
        <v>49</v>
      </c>
      <c r="J3106" t="s">
        <v>54</v>
      </c>
      <c r="K3106" s="2">
        <v>5</v>
      </c>
      <c r="L3106" t="s">
        <v>152</v>
      </c>
      <c r="M3106" t="s">
        <v>46</v>
      </c>
      <c r="N3106" t="s">
        <v>72</v>
      </c>
      <c r="O3106" t="s">
        <v>152</v>
      </c>
      <c r="P3106" t="s">
        <v>152</v>
      </c>
      <c r="Q3106" s="3">
        <v>41</v>
      </c>
      <c r="R3106" t="s">
        <v>59</v>
      </c>
      <c r="S3106" t="s">
        <v>30</v>
      </c>
    </row>
    <row r="3107" spans="1:19" x14ac:dyDescent="0.25">
      <c r="A3107">
        <v>3106</v>
      </c>
      <c r="B3107">
        <v>48</v>
      </c>
      <c r="C3107" t="s">
        <v>153</v>
      </c>
      <c r="D3107" t="s">
        <v>87</v>
      </c>
      <c r="E3107" t="s">
        <v>21</v>
      </c>
      <c r="F3107" s="1">
        <v>33</v>
      </c>
      <c r="G3107" t="s">
        <v>48</v>
      </c>
      <c r="H3107" t="s">
        <v>45</v>
      </c>
      <c r="I3107" t="s">
        <v>79</v>
      </c>
      <c r="J3107" t="s">
        <v>58</v>
      </c>
      <c r="K3107" s="2">
        <v>2.7</v>
      </c>
      <c r="L3107" t="s">
        <v>152</v>
      </c>
      <c r="M3107" t="s">
        <v>59</v>
      </c>
      <c r="N3107" t="s">
        <v>28</v>
      </c>
      <c r="O3107" t="s">
        <v>152</v>
      </c>
      <c r="P3107" t="s">
        <v>152</v>
      </c>
      <c r="Q3107" s="3">
        <v>17</v>
      </c>
      <c r="R3107" t="s">
        <v>59</v>
      </c>
      <c r="S3107" t="s">
        <v>88</v>
      </c>
    </row>
    <row r="3108" spans="1:19" x14ac:dyDescent="0.25">
      <c r="A3108">
        <v>3107</v>
      </c>
      <c r="B3108">
        <v>62</v>
      </c>
      <c r="C3108" t="s">
        <v>153</v>
      </c>
      <c r="D3108" t="s">
        <v>42</v>
      </c>
      <c r="E3108" t="s">
        <v>43</v>
      </c>
      <c r="F3108" s="1">
        <v>57</v>
      </c>
      <c r="G3108" t="s">
        <v>90</v>
      </c>
      <c r="H3108" t="s">
        <v>45</v>
      </c>
      <c r="I3108" t="s">
        <v>134</v>
      </c>
      <c r="J3108" t="s">
        <v>25</v>
      </c>
      <c r="K3108" s="2">
        <v>4.7</v>
      </c>
      <c r="L3108" t="s">
        <v>152</v>
      </c>
      <c r="M3108" t="s">
        <v>29</v>
      </c>
      <c r="N3108" t="s">
        <v>47</v>
      </c>
      <c r="O3108" t="s">
        <v>152</v>
      </c>
      <c r="P3108" t="s">
        <v>152</v>
      </c>
      <c r="Q3108" s="3">
        <v>20</v>
      </c>
      <c r="R3108" t="s">
        <v>46</v>
      </c>
      <c r="S3108" t="s">
        <v>50</v>
      </c>
    </row>
    <row r="3109" spans="1:19" x14ac:dyDescent="0.25">
      <c r="A3109">
        <v>3108</v>
      </c>
      <c r="B3109">
        <v>65</v>
      </c>
      <c r="C3109" t="s">
        <v>153</v>
      </c>
      <c r="D3109" t="s">
        <v>20</v>
      </c>
      <c r="E3109" t="s">
        <v>21</v>
      </c>
      <c r="F3109" s="1">
        <v>31</v>
      </c>
      <c r="G3109" t="s">
        <v>78</v>
      </c>
      <c r="H3109" t="s">
        <v>23</v>
      </c>
      <c r="I3109" t="s">
        <v>24</v>
      </c>
      <c r="J3109" t="s">
        <v>25</v>
      </c>
      <c r="K3109" s="2">
        <v>4.5999999999999996</v>
      </c>
      <c r="L3109" t="s">
        <v>152</v>
      </c>
      <c r="M3109" t="s">
        <v>59</v>
      </c>
      <c r="N3109" t="s">
        <v>55</v>
      </c>
      <c r="O3109" t="s">
        <v>152</v>
      </c>
      <c r="P3109" t="s">
        <v>152</v>
      </c>
      <c r="Q3109" s="3">
        <v>18</v>
      </c>
      <c r="R3109" t="s">
        <v>27</v>
      </c>
      <c r="S3109" t="s">
        <v>77</v>
      </c>
    </row>
    <row r="3110" spans="1:19" x14ac:dyDescent="0.25">
      <c r="A3110">
        <v>3109</v>
      </c>
      <c r="B3110">
        <v>50</v>
      </c>
      <c r="C3110" t="s">
        <v>153</v>
      </c>
      <c r="D3110" t="s">
        <v>125</v>
      </c>
      <c r="E3110" t="s">
        <v>21</v>
      </c>
      <c r="F3110" s="1">
        <v>69</v>
      </c>
      <c r="G3110" t="s">
        <v>48</v>
      </c>
      <c r="H3110" t="s">
        <v>45</v>
      </c>
      <c r="I3110" t="s">
        <v>75</v>
      </c>
      <c r="J3110" t="s">
        <v>58</v>
      </c>
      <c r="K3110" s="2">
        <v>3.2</v>
      </c>
      <c r="L3110" t="s">
        <v>152</v>
      </c>
      <c r="M3110" t="s">
        <v>34</v>
      </c>
      <c r="N3110" t="s">
        <v>72</v>
      </c>
      <c r="O3110" t="s">
        <v>152</v>
      </c>
      <c r="P3110" t="s">
        <v>152</v>
      </c>
      <c r="Q3110" s="3">
        <v>7</v>
      </c>
      <c r="R3110" t="s">
        <v>46</v>
      </c>
      <c r="S3110" t="s">
        <v>88</v>
      </c>
    </row>
    <row r="3111" spans="1:19" x14ac:dyDescent="0.25">
      <c r="A3111">
        <v>3110</v>
      </c>
      <c r="B3111">
        <v>60</v>
      </c>
      <c r="C3111" t="s">
        <v>153</v>
      </c>
      <c r="D3111" t="s">
        <v>102</v>
      </c>
      <c r="E3111" t="s">
        <v>65</v>
      </c>
      <c r="F3111" s="1">
        <v>92</v>
      </c>
      <c r="G3111" t="s">
        <v>115</v>
      </c>
      <c r="H3111" t="s">
        <v>45</v>
      </c>
      <c r="I3111" t="s">
        <v>24</v>
      </c>
      <c r="J3111" t="s">
        <v>25</v>
      </c>
      <c r="K3111" s="2">
        <v>4.3</v>
      </c>
      <c r="L3111" t="s">
        <v>152</v>
      </c>
      <c r="M3111" t="s">
        <v>27</v>
      </c>
      <c r="N3111" t="s">
        <v>40</v>
      </c>
      <c r="O3111" t="s">
        <v>152</v>
      </c>
      <c r="P3111" t="s">
        <v>152</v>
      </c>
      <c r="Q3111" s="3">
        <v>47</v>
      </c>
      <c r="R3111" t="s">
        <v>34</v>
      </c>
      <c r="S3111" t="s">
        <v>30</v>
      </c>
    </row>
    <row r="3112" spans="1:19" x14ac:dyDescent="0.25">
      <c r="A3112">
        <v>3111</v>
      </c>
      <c r="B3112">
        <v>19</v>
      </c>
      <c r="C3112" t="s">
        <v>153</v>
      </c>
      <c r="D3112" t="s">
        <v>68</v>
      </c>
      <c r="E3112" t="s">
        <v>69</v>
      </c>
      <c r="F3112" s="1">
        <v>46</v>
      </c>
      <c r="G3112" t="s">
        <v>105</v>
      </c>
      <c r="H3112" t="s">
        <v>23</v>
      </c>
      <c r="I3112" t="s">
        <v>93</v>
      </c>
      <c r="J3112" t="s">
        <v>58</v>
      </c>
      <c r="K3112" s="2">
        <v>4.5999999999999996</v>
      </c>
      <c r="L3112" t="s">
        <v>152</v>
      </c>
      <c r="M3112" t="s">
        <v>34</v>
      </c>
      <c r="N3112" t="s">
        <v>47</v>
      </c>
      <c r="O3112" t="s">
        <v>152</v>
      </c>
      <c r="P3112" t="s">
        <v>152</v>
      </c>
      <c r="Q3112" s="3">
        <v>2</v>
      </c>
      <c r="R3112" t="s">
        <v>34</v>
      </c>
      <c r="S3112" t="s">
        <v>77</v>
      </c>
    </row>
    <row r="3113" spans="1:19" x14ac:dyDescent="0.25">
      <c r="A3113">
        <v>3112</v>
      </c>
      <c r="B3113">
        <v>21</v>
      </c>
      <c r="C3113" t="s">
        <v>153</v>
      </c>
      <c r="D3113" t="s">
        <v>133</v>
      </c>
      <c r="E3113" t="s">
        <v>69</v>
      </c>
      <c r="F3113" s="1">
        <v>81</v>
      </c>
      <c r="G3113" t="s">
        <v>111</v>
      </c>
      <c r="H3113" t="s">
        <v>92</v>
      </c>
      <c r="I3113" t="s">
        <v>126</v>
      </c>
      <c r="J3113" t="s">
        <v>39</v>
      </c>
      <c r="K3113" s="2">
        <v>4.9000000000000004</v>
      </c>
      <c r="L3113" t="s">
        <v>152</v>
      </c>
      <c r="M3113" t="s">
        <v>46</v>
      </c>
      <c r="N3113" t="s">
        <v>40</v>
      </c>
      <c r="O3113" t="s">
        <v>152</v>
      </c>
      <c r="P3113" t="s">
        <v>152</v>
      </c>
      <c r="Q3113" s="3">
        <v>25</v>
      </c>
      <c r="R3113" t="s">
        <v>59</v>
      </c>
      <c r="S3113" t="s">
        <v>60</v>
      </c>
    </row>
    <row r="3114" spans="1:19" x14ac:dyDescent="0.25">
      <c r="A3114">
        <v>3113</v>
      </c>
      <c r="B3114">
        <v>19</v>
      </c>
      <c r="C3114" t="s">
        <v>153</v>
      </c>
      <c r="D3114" t="s">
        <v>20</v>
      </c>
      <c r="E3114" t="s">
        <v>21</v>
      </c>
      <c r="F3114" s="1">
        <v>97</v>
      </c>
      <c r="G3114" t="s">
        <v>105</v>
      </c>
      <c r="H3114" t="s">
        <v>38</v>
      </c>
      <c r="I3114" t="s">
        <v>96</v>
      </c>
      <c r="J3114" t="s">
        <v>58</v>
      </c>
      <c r="K3114" s="2">
        <v>3.8</v>
      </c>
      <c r="L3114" t="s">
        <v>152</v>
      </c>
      <c r="M3114" t="s">
        <v>35</v>
      </c>
      <c r="N3114" t="s">
        <v>28</v>
      </c>
      <c r="O3114" t="s">
        <v>152</v>
      </c>
      <c r="P3114" t="s">
        <v>152</v>
      </c>
      <c r="Q3114" s="3">
        <v>26</v>
      </c>
      <c r="R3114" t="s">
        <v>29</v>
      </c>
      <c r="S3114" t="s">
        <v>50</v>
      </c>
    </row>
    <row r="3115" spans="1:19" x14ac:dyDescent="0.25">
      <c r="A3115">
        <v>3114</v>
      </c>
      <c r="B3115">
        <v>46</v>
      </c>
      <c r="C3115" t="s">
        <v>153</v>
      </c>
      <c r="D3115" t="s">
        <v>56</v>
      </c>
      <c r="E3115" t="s">
        <v>21</v>
      </c>
      <c r="F3115" s="1">
        <v>93</v>
      </c>
      <c r="G3115" t="s">
        <v>145</v>
      </c>
      <c r="H3115" t="s">
        <v>23</v>
      </c>
      <c r="I3115" t="s">
        <v>96</v>
      </c>
      <c r="J3115" t="s">
        <v>54</v>
      </c>
      <c r="K3115" s="2">
        <v>2.6</v>
      </c>
      <c r="L3115" t="s">
        <v>152</v>
      </c>
      <c r="M3115" t="s">
        <v>46</v>
      </c>
      <c r="N3115" t="s">
        <v>28</v>
      </c>
      <c r="O3115" t="s">
        <v>152</v>
      </c>
      <c r="P3115" t="s">
        <v>152</v>
      </c>
      <c r="Q3115" s="3">
        <v>2</v>
      </c>
      <c r="R3115" t="s">
        <v>59</v>
      </c>
      <c r="S3115" t="s">
        <v>41</v>
      </c>
    </row>
    <row r="3116" spans="1:19" x14ac:dyDescent="0.25">
      <c r="A3116">
        <v>3115</v>
      </c>
      <c r="B3116">
        <v>21</v>
      </c>
      <c r="C3116" t="s">
        <v>153</v>
      </c>
      <c r="D3116" t="s">
        <v>68</v>
      </c>
      <c r="E3116" t="s">
        <v>69</v>
      </c>
      <c r="F3116" s="1">
        <v>56</v>
      </c>
      <c r="G3116" t="s">
        <v>74</v>
      </c>
      <c r="H3116" t="s">
        <v>45</v>
      </c>
      <c r="I3116" t="s">
        <v>79</v>
      </c>
      <c r="J3116" t="s">
        <v>39</v>
      </c>
      <c r="K3116" s="2">
        <v>4.7</v>
      </c>
      <c r="L3116" t="s">
        <v>152</v>
      </c>
      <c r="M3116" t="s">
        <v>29</v>
      </c>
      <c r="N3116" t="s">
        <v>76</v>
      </c>
      <c r="O3116" t="s">
        <v>152</v>
      </c>
      <c r="P3116" t="s">
        <v>152</v>
      </c>
      <c r="Q3116" s="3">
        <v>45</v>
      </c>
      <c r="R3116" t="s">
        <v>29</v>
      </c>
      <c r="S3116" t="s">
        <v>77</v>
      </c>
    </row>
    <row r="3117" spans="1:19" x14ac:dyDescent="0.25">
      <c r="A3117">
        <v>3116</v>
      </c>
      <c r="B3117">
        <v>26</v>
      </c>
      <c r="C3117" t="s">
        <v>153</v>
      </c>
      <c r="D3117" t="s">
        <v>119</v>
      </c>
      <c r="E3117" t="s">
        <v>69</v>
      </c>
      <c r="F3117" s="1">
        <v>53</v>
      </c>
      <c r="G3117" t="s">
        <v>147</v>
      </c>
      <c r="H3117" t="s">
        <v>45</v>
      </c>
      <c r="I3117" t="s">
        <v>63</v>
      </c>
      <c r="J3117" t="s">
        <v>58</v>
      </c>
      <c r="K3117" s="2">
        <v>4.0999999999999996</v>
      </c>
      <c r="L3117" t="s">
        <v>152</v>
      </c>
      <c r="M3117" t="s">
        <v>46</v>
      </c>
      <c r="N3117" t="s">
        <v>40</v>
      </c>
      <c r="O3117" t="s">
        <v>152</v>
      </c>
      <c r="P3117" t="s">
        <v>152</v>
      </c>
      <c r="Q3117" s="3">
        <v>9</v>
      </c>
      <c r="R3117" t="s">
        <v>34</v>
      </c>
      <c r="S3117" t="s">
        <v>77</v>
      </c>
    </row>
    <row r="3118" spans="1:19" x14ac:dyDescent="0.25">
      <c r="A3118">
        <v>3117</v>
      </c>
      <c r="B3118">
        <v>50</v>
      </c>
      <c r="C3118" t="s">
        <v>153</v>
      </c>
      <c r="D3118" t="s">
        <v>64</v>
      </c>
      <c r="E3118" t="s">
        <v>65</v>
      </c>
      <c r="F3118" s="1">
        <v>66</v>
      </c>
      <c r="G3118" t="s">
        <v>57</v>
      </c>
      <c r="H3118" t="s">
        <v>23</v>
      </c>
      <c r="I3118" t="s">
        <v>24</v>
      </c>
      <c r="J3118" t="s">
        <v>39</v>
      </c>
      <c r="K3118" s="2">
        <v>3.7</v>
      </c>
      <c r="L3118" t="s">
        <v>152</v>
      </c>
      <c r="M3118" t="s">
        <v>59</v>
      </c>
      <c r="N3118" t="s">
        <v>76</v>
      </c>
      <c r="O3118" t="s">
        <v>152</v>
      </c>
      <c r="P3118" t="s">
        <v>152</v>
      </c>
      <c r="Q3118" s="3">
        <v>1</v>
      </c>
      <c r="R3118" t="s">
        <v>29</v>
      </c>
      <c r="S3118" t="s">
        <v>41</v>
      </c>
    </row>
    <row r="3119" spans="1:19" x14ac:dyDescent="0.25">
      <c r="A3119">
        <v>3118</v>
      </c>
      <c r="B3119">
        <v>43</v>
      </c>
      <c r="C3119" t="s">
        <v>153</v>
      </c>
      <c r="D3119" t="s">
        <v>104</v>
      </c>
      <c r="E3119" t="s">
        <v>21</v>
      </c>
      <c r="F3119" s="1">
        <v>50</v>
      </c>
      <c r="G3119" t="s">
        <v>103</v>
      </c>
      <c r="H3119" t="s">
        <v>45</v>
      </c>
      <c r="I3119" t="s">
        <v>79</v>
      </c>
      <c r="J3119" t="s">
        <v>58</v>
      </c>
      <c r="K3119" s="2">
        <v>3</v>
      </c>
      <c r="L3119" t="s">
        <v>152</v>
      </c>
      <c r="M3119" t="s">
        <v>27</v>
      </c>
      <c r="N3119" t="s">
        <v>40</v>
      </c>
      <c r="O3119" t="s">
        <v>152</v>
      </c>
      <c r="P3119" t="s">
        <v>152</v>
      </c>
      <c r="Q3119" s="3">
        <v>4</v>
      </c>
      <c r="R3119" t="s">
        <v>46</v>
      </c>
      <c r="S3119" t="s">
        <v>77</v>
      </c>
    </row>
    <row r="3120" spans="1:19" x14ac:dyDescent="0.25">
      <c r="A3120">
        <v>3119</v>
      </c>
      <c r="B3120">
        <v>61</v>
      </c>
      <c r="C3120" t="s">
        <v>153</v>
      </c>
      <c r="D3120" t="s">
        <v>61</v>
      </c>
      <c r="E3120" t="s">
        <v>21</v>
      </c>
      <c r="F3120" s="1">
        <v>97</v>
      </c>
      <c r="G3120" t="s">
        <v>141</v>
      </c>
      <c r="H3120" t="s">
        <v>23</v>
      </c>
      <c r="I3120" t="s">
        <v>144</v>
      </c>
      <c r="J3120" t="s">
        <v>54</v>
      </c>
      <c r="K3120" s="2">
        <v>4.7</v>
      </c>
      <c r="L3120" t="s">
        <v>152</v>
      </c>
      <c r="M3120" t="s">
        <v>29</v>
      </c>
      <c r="N3120" t="s">
        <v>55</v>
      </c>
      <c r="O3120" t="s">
        <v>152</v>
      </c>
      <c r="P3120" t="s">
        <v>152</v>
      </c>
      <c r="Q3120" s="3">
        <v>31</v>
      </c>
      <c r="R3120" t="s">
        <v>59</v>
      </c>
      <c r="S3120" t="s">
        <v>60</v>
      </c>
    </row>
    <row r="3121" spans="1:19" x14ac:dyDescent="0.25">
      <c r="A3121">
        <v>3120</v>
      </c>
      <c r="B3121">
        <v>63</v>
      </c>
      <c r="C3121" t="s">
        <v>153</v>
      </c>
      <c r="D3121" t="s">
        <v>42</v>
      </c>
      <c r="E3121" t="s">
        <v>43</v>
      </c>
      <c r="F3121" s="1">
        <v>79</v>
      </c>
      <c r="G3121" t="s">
        <v>62</v>
      </c>
      <c r="H3121" t="s">
        <v>92</v>
      </c>
      <c r="I3121" t="s">
        <v>67</v>
      </c>
      <c r="J3121" t="s">
        <v>25</v>
      </c>
      <c r="K3121" s="2">
        <v>4.7</v>
      </c>
      <c r="L3121" t="s">
        <v>152</v>
      </c>
      <c r="M3121" t="s">
        <v>35</v>
      </c>
      <c r="N3121" t="s">
        <v>72</v>
      </c>
      <c r="O3121" t="s">
        <v>152</v>
      </c>
      <c r="P3121" t="s">
        <v>152</v>
      </c>
      <c r="Q3121" s="3">
        <v>21</v>
      </c>
      <c r="R3121" t="s">
        <v>27</v>
      </c>
      <c r="S3121" t="s">
        <v>97</v>
      </c>
    </row>
    <row r="3122" spans="1:19" x14ac:dyDescent="0.25">
      <c r="A3122">
        <v>3121</v>
      </c>
      <c r="B3122">
        <v>46</v>
      </c>
      <c r="C3122" t="s">
        <v>153</v>
      </c>
      <c r="D3122" t="s">
        <v>56</v>
      </c>
      <c r="E3122" t="s">
        <v>21</v>
      </c>
      <c r="F3122" s="1">
        <v>76</v>
      </c>
      <c r="G3122" t="s">
        <v>62</v>
      </c>
      <c r="H3122" t="s">
        <v>45</v>
      </c>
      <c r="I3122" t="s">
        <v>136</v>
      </c>
      <c r="J3122" t="s">
        <v>58</v>
      </c>
      <c r="K3122" s="2">
        <v>4</v>
      </c>
      <c r="L3122" t="s">
        <v>152</v>
      </c>
      <c r="M3122" t="s">
        <v>29</v>
      </c>
      <c r="N3122" t="s">
        <v>76</v>
      </c>
      <c r="O3122" t="s">
        <v>152</v>
      </c>
      <c r="P3122" t="s">
        <v>152</v>
      </c>
      <c r="Q3122" s="3">
        <v>32</v>
      </c>
      <c r="R3122" t="s">
        <v>59</v>
      </c>
      <c r="S3122" t="s">
        <v>30</v>
      </c>
    </row>
    <row r="3123" spans="1:19" x14ac:dyDescent="0.25">
      <c r="A3123">
        <v>3122</v>
      </c>
      <c r="B3123">
        <v>63</v>
      </c>
      <c r="C3123" t="s">
        <v>153</v>
      </c>
      <c r="D3123" t="s">
        <v>104</v>
      </c>
      <c r="E3123" t="s">
        <v>21</v>
      </c>
      <c r="F3123" s="1">
        <v>38</v>
      </c>
      <c r="G3123" t="s">
        <v>62</v>
      </c>
      <c r="H3123" t="s">
        <v>23</v>
      </c>
      <c r="I3123" t="s">
        <v>94</v>
      </c>
      <c r="J3123" t="s">
        <v>58</v>
      </c>
      <c r="K3123" s="2">
        <v>2.6</v>
      </c>
      <c r="L3123" t="s">
        <v>152</v>
      </c>
      <c r="M3123" t="s">
        <v>27</v>
      </c>
      <c r="N3123" t="s">
        <v>55</v>
      </c>
      <c r="O3123" t="s">
        <v>152</v>
      </c>
      <c r="P3123" t="s">
        <v>152</v>
      </c>
      <c r="Q3123" s="3">
        <v>16</v>
      </c>
      <c r="R3123" t="s">
        <v>29</v>
      </c>
      <c r="S3123" t="s">
        <v>41</v>
      </c>
    </row>
    <row r="3124" spans="1:19" x14ac:dyDescent="0.25">
      <c r="A3124">
        <v>3123</v>
      </c>
      <c r="B3124">
        <v>23</v>
      </c>
      <c r="C3124" t="s">
        <v>153</v>
      </c>
      <c r="D3124" t="s">
        <v>125</v>
      </c>
      <c r="E3124" t="s">
        <v>21</v>
      </c>
      <c r="F3124" s="1">
        <v>45</v>
      </c>
      <c r="G3124" t="s">
        <v>142</v>
      </c>
      <c r="H3124" t="s">
        <v>45</v>
      </c>
      <c r="I3124" t="s">
        <v>71</v>
      </c>
      <c r="J3124" t="s">
        <v>58</v>
      </c>
      <c r="K3124" s="2">
        <v>3</v>
      </c>
      <c r="L3124" t="s">
        <v>152</v>
      </c>
      <c r="M3124" t="s">
        <v>59</v>
      </c>
      <c r="N3124" t="s">
        <v>28</v>
      </c>
      <c r="O3124" t="s">
        <v>152</v>
      </c>
      <c r="P3124" t="s">
        <v>152</v>
      </c>
      <c r="Q3124" s="3">
        <v>34</v>
      </c>
      <c r="R3124" t="s">
        <v>27</v>
      </c>
      <c r="S3124" t="s">
        <v>30</v>
      </c>
    </row>
    <row r="3125" spans="1:19" x14ac:dyDescent="0.25">
      <c r="A3125">
        <v>3124</v>
      </c>
      <c r="B3125">
        <v>57</v>
      </c>
      <c r="C3125" t="s">
        <v>153</v>
      </c>
      <c r="D3125" t="s">
        <v>68</v>
      </c>
      <c r="E3125" t="s">
        <v>69</v>
      </c>
      <c r="F3125" s="1">
        <v>77</v>
      </c>
      <c r="G3125" t="s">
        <v>146</v>
      </c>
      <c r="H3125" t="s">
        <v>92</v>
      </c>
      <c r="I3125" t="s">
        <v>108</v>
      </c>
      <c r="J3125" t="s">
        <v>58</v>
      </c>
      <c r="K3125" s="2">
        <v>3.3</v>
      </c>
      <c r="L3125" t="s">
        <v>152</v>
      </c>
      <c r="M3125" t="s">
        <v>46</v>
      </c>
      <c r="N3125" t="s">
        <v>47</v>
      </c>
      <c r="O3125" t="s">
        <v>152</v>
      </c>
      <c r="P3125" t="s">
        <v>152</v>
      </c>
      <c r="Q3125" s="3">
        <v>40</v>
      </c>
      <c r="R3125" t="s">
        <v>29</v>
      </c>
      <c r="S3125" t="s">
        <v>77</v>
      </c>
    </row>
    <row r="3126" spans="1:19" x14ac:dyDescent="0.25">
      <c r="A3126">
        <v>3125</v>
      </c>
      <c r="B3126">
        <v>57</v>
      </c>
      <c r="C3126" t="s">
        <v>153</v>
      </c>
      <c r="D3126" t="s">
        <v>106</v>
      </c>
      <c r="E3126" t="s">
        <v>69</v>
      </c>
      <c r="F3126" s="1">
        <v>51</v>
      </c>
      <c r="G3126" t="s">
        <v>99</v>
      </c>
      <c r="H3126" t="s">
        <v>45</v>
      </c>
      <c r="I3126" t="s">
        <v>100</v>
      </c>
      <c r="J3126" t="s">
        <v>54</v>
      </c>
      <c r="K3126" s="2">
        <v>3.4</v>
      </c>
      <c r="L3126" t="s">
        <v>152</v>
      </c>
      <c r="M3126" t="s">
        <v>29</v>
      </c>
      <c r="N3126" t="s">
        <v>55</v>
      </c>
      <c r="O3126" t="s">
        <v>152</v>
      </c>
      <c r="P3126" t="s">
        <v>152</v>
      </c>
      <c r="Q3126" s="3">
        <v>4</v>
      </c>
      <c r="R3126" t="s">
        <v>35</v>
      </c>
      <c r="S3126" t="s">
        <v>97</v>
      </c>
    </row>
    <row r="3127" spans="1:19" x14ac:dyDescent="0.25">
      <c r="A3127">
        <v>3126</v>
      </c>
      <c r="B3127">
        <v>33</v>
      </c>
      <c r="C3127" t="s">
        <v>153</v>
      </c>
      <c r="D3127" t="s">
        <v>64</v>
      </c>
      <c r="E3127" t="s">
        <v>65</v>
      </c>
      <c r="F3127" s="1">
        <v>26</v>
      </c>
      <c r="G3127" t="s">
        <v>48</v>
      </c>
      <c r="H3127" t="s">
        <v>23</v>
      </c>
      <c r="I3127" t="s">
        <v>93</v>
      </c>
      <c r="J3127" t="s">
        <v>39</v>
      </c>
      <c r="K3127" s="2">
        <v>4</v>
      </c>
      <c r="L3127" t="s">
        <v>152</v>
      </c>
      <c r="M3127" t="s">
        <v>29</v>
      </c>
      <c r="N3127" t="s">
        <v>55</v>
      </c>
      <c r="O3127" t="s">
        <v>152</v>
      </c>
      <c r="P3127" t="s">
        <v>152</v>
      </c>
      <c r="Q3127" s="3">
        <v>3</v>
      </c>
      <c r="R3127" t="s">
        <v>35</v>
      </c>
      <c r="S3127" t="s">
        <v>60</v>
      </c>
    </row>
    <row r="3128" spans="1:19" x14ac:dyDescent="0.25">
      <c r="A3128">
        <v>3127</v>
      </c>
      <c r="B3128">
        <v>57</v>
      </c>
      <c r="C3128" t="s">
        <v>153</v>
      </c>
      <c r="D3128" t="s">
        <v>89</v>
      </c>
      <c r="E3128" t="s">
        <v>69</v>
      </c>
      <c r="F3128" s="1">
        <v>76</v>
      </c>
      <c r="G3128" t="s">
        <v>32</v>
      </c>
      <c r="H3128" t="s">
        <v>23</v>
      </c>
      <c r="I3128" t="s">
        <v>93</v>
      </c>
      <c r="J3128" t="s">
        <v>25</v>
      </c>
      <c r="K3128" s="2">
        <v>2.6</v>
      </c>
      <c r="L3128" t="s">
        <v>152</v>
      </c>
      <c r="M3128" t="s">
        <v>46</v>
      </c>
      <c r="N3128" t="s">
        <v>76</v>
      </c>
      <c r="O3128" t="s">
        <v>152</v>
      </c>
      <c r="P3128" t="s">
        <v>152</v>
      </c>
      <c r="Q3128" s="3">
        <v>28</v>
      </c>
      <c r="R3128" t="s">
        <v>34</v>
      </c>
      <c r="S3128" t="s">
        <v>77</v>
      </c>
    </row>
    <row r="3129" spans="1:19" x14ac:dyDescent="0.25">
      <c r="A3129">
        <v>3128</v>
      </c>
      <c r="B3129">
        <v>55</v>
      </c>
      <c r="C3129" t="s">
        <v>153</v>
      </c>
      <c r="D3129" t="s">
        <v>143</v>
      </c>
      <c r="E3129" t="s">
        <v>69</v>
      </c>
      <c r="F3129" s="1">
        <v>94</v>
      </c>
      <c r="G3129" t="s">
        <v>62</v>
      </c>
      <c r="H3129" t="s">
        <v>45</v>
      </c>
      <c r="I3129" t="s">
        <v>118</v>
      </c>
      <c r="J3129" t="s">
        <v>25</v>
      </c>
      <c r="K3129" s="2">
        <v>3.4</v>
      </c>
      <c r="L3129" t="s">
        <v>152</v>
      </c>
      <c r="M3129" t="s">
        <v>27</v>
      </c>
      <c r="N3129" t="s">
        <v>40</v>
      </c>
      <c r="O3129" t="s">
        <v>152</v>
      </c>
      <c r="P3129" t="s">
        <v>152</v>
      </c>
      <c r="Q3129" s="3">
        <v>43</v>
      </c>
      <c r="R3129" t="s">
        <v>27</v>
      </c>
      <c r="S3129" t="s">
        <v>97</v>
      </c>
    </row>
    <row r="3130" spans="1:19" x14ac:dyDescent="0.25">
      <c r="A3130">
        <v>3129</v>
      </c>
      <c r="B3130">
        <v>65</v>
      </c>
      <c r="C3130" t="s">
        <v>153</v>
      </c>
      <c r="D3130" t="s">
        <v>102</v>
      </c>
      <c r="E3130" t="s">
        <v>65</v>
      </c>
      <c r="F3130" s="1">
        <v>32</v>
      </c>
      <c r="G3130" t="s">
        <v>74</v>
      </c>
      <c r="H3130" t="s">
        <v>38</v>
      </c>
      <c r="I3130" t="s">
        <v>126</v>
      </c>
      <c r="J3130" t="s">
        <v>58</v>
      </c>
      <c r="K3130" s="2">
        <v>4.4000000000000004</v>
      </c>
      <c r="L3130" t="s">
        <v>152</v>
      </c>
      <c r="M3130" t="s">
        <v>46</v>
      </c>
      <c r="N3130" t="s">
        <v>55</v>
      </c>
      <c r="O3130" t="s">
        <v>152</v>
      </c>
      <c r="P3130" t="s">
        <v>152</v>
      </c>
      <c r="Q3130" s="3">
        <v>20</v>
      </c>
      <c r="R3130" t="s">
        <v>35</v>
      </c>
      <c r="S3130" t="s">
        <v>50</v>
      </c>
    </row>
    <row r="3131" spans="1:19" x14ac:dyDescent="0.25">
      <c r="A3131">
        <v>3130</v>
      </c>
      <c r="B3131">
        <v>60</v>
      </c>
      <c r="C3131" t="s">
        <v>153</v>
      </c>
      <c r="D3131" t="s">
        <v>42</v>
      </c>
      <c r="E3131" t="s">
        <v>43</v>
      </c>
      <c r="F3131" s="1">
        <v>20</v>
      </c>
      <c r="G3131" t="s">
        <v>128</v>
      </c>
      <c r="H3131" t="s">
        <v>38</v>
      </c>
      <c r="I3131" t="s">
        <v>109</v>
      </c>
      <c r="J3131" t="s">
        <v>54</v>
      </c>
      <c r="K3131" s="2">
        <v>4.7</v>
      </c>
      <c r="L3131" t="s">
        <v>152</v>
      </c>
      <c r="M3131" t="s">
        <v>46</v>
      </c>
      <c r="N3131" t="s">
        <v>28</v>
      </c>
      <c r="O3131" t="s">
        <v>152</v>
      </c>
      <c r="P3131" t="s">
        <v>152</v>
      </c>
      <c r="Q3131" s="3">
        <v>40</v>
      </c>
      <c r="R3131" t="s">
        <v>29</v>
      </c>
      <c r="S3131" t="s">
        <v>97</v>
      </c>
    </row>
    <row r="3132" spans="1:19" x14ac:dyDescent="0.25">
      <c r="A3132">
        <v>3131</v>
      </c>
      <c r="B3132">
        <v>52</v>
      </c>
      <c r="C3132" t="s">
        <v>153</v>
      </c>
      <c r="D3132" t="s">
        <v>95</v>
      </c>
      <c r="E3132" t="s">
        <v>21</v>
      </c>
      <c r="F3132" s="1">
        <v>20</v>
      </c>
      <c r="G3132" t="s">
        <v>129</v>
      </c>
      <c r="H3132" t="s">
        <v>45</v>
      </c>
      <c r="I3132" t="s">
        <v>134</v>
      </c>
      <c r="J3132" t="s">
        <v>54</v>
      </c>
      <c r="K3132" s="2">
        <v>4.5</v>
      </c>
      <c r="L3132" t="s">
        <v>152</v>
      </c>
      <c r="M3132" t="s">
        <v>46</v>
      </c>
      <c r="N3132" t="s">
        <v>76</v>
      </c>
      <c r="O3132" t="s">
        <v>152</v>
      </c>
      <c r="P3132" t="s">
        <v>152</v>
      </c>
      <c r="Q3132" s="3">
        <v>34</v>
      </c>
      <c r="R3132" t="s">
        <v>29</v>
      </c>
      <c r="S3132" t="s">
        <v>97</v>
      </c>
    </row>
    <row r="3133" spans="1:19" x14ac:dyDescent="0.25">
      <c r="A3133">
        <v>3132</v>
      </c>
      <c r="B3133">
        <v>34</v>
      </c>
      <c r="C3133" t="s">
        <v>153</v>
      </c>
      <c r="D3133" t="s">
        <v>102</v>
      </c>
      <c r="E3133" t="s">
        <v>65</v>
      </c>
      <c r="F3133" s="1">
        <v>59</v>
      </c>
      <c r="G3133" t="s">
        <v>114</v>
      </c>
      <c r="H3133" t="s">
        <v>45</v>
      </c>
      <c r="I3133" t="s">
        <v>100</v>
      </c>
      <c r="J3133" t="s">
        <v>58</v>
      </c>
      <c r="K3133" s="2">
        <v>2.9</v>
      </c>
      <c r="L3133" t="s">
        <v>152</v>
      </c>
      <c r="M3133" t="s">
        <v>35</v>
      </c>
      <c r="N3133" t="s">
        <v>76</v>
      </c>
      <c r="O3133" t="s">
        <v>152</v>
      </c>
      <c r="P3133" t="s">
        <v>152</v>
      </c>
      <c r="Q3133" s="3">
        <v>11</v>
      </c>
      <c r="R3133" t="s">
        <v>34</v>
      </c>
      <c r="S3133" t="s">
        <v>97</v>
      </c>
    </row>
    <row r="3134" spans="1:19" x14ac:dyDescent="0.25">
      <c r="A3134">
        <v>3133</v>
      </c>
      <c r="B3134">
        <v>33</v>
      </c>
      <c r="C3134" t="s">
        <v>153</v>
      </c>
      <c r="D3134" t="s">
        <v>31</v>
      </c>
      <c r="E3134" t="s">
        <v>21</v>
      </c>
      <c r="F3134" s="1">
        <v>97</v>
      </c>
      <c r="G3134" t="s">
        <v>151</v>
      </c>
      <c r="H3134" t="s">
        <v>45</v>
      </c>
      <c r="I3134" t="s">
        <v>134</v>
      </c>
      <c r="J3134" t="s">
        <v>54</v>
      </c>
      <c r="K3134" s="2">
        <v>4.2</v>
      </c>
      <c r="L3134" t="s">
        <v>152</v>
      </c>
      <c r="M3134" t="s">
        <v>35</v>
      </c>
      <c r="N3134" t="s">
        <v>28</v>
      </c>
      <c r="O3134" t="s">
        <v>152</v>
      </c>
      <c r="P3134" t="s">
        <v>152</v>
      </c>
      <c r="Q3134" s="3">
        <v>26</v>
      </c>
      <c r="R3134" t="s">
        <v>35</v>
      </c>
      <c r="S3134" t="s">
        <v>60</v>
      </c>
    </row>
    <row r="3135" spans="1:19" x14ac:dyDescent="0.25">
      <c r="A3135">
        <v>3134</v>
      </c>
      <c r="B3135">
        <v>58</v>
      </c>
      <c r="C3135" t="s">
        <v>153</v>
      </c>
      <c r="D3135" t="s">
        <v>113</v>
      </c>
      <c r="E3135" t="s">
        <v>21</v>
      </c>
      <c r="F3135" s="1">
        <v>68</v>
      </c>
      <c r="G3135" t="s">
        <v>74</v>
      </c>
      <c r="H3135" t="s">
        <v>45</v>
      </c>
      <c r="I3135" t="s">
        <v>121</v>
      </c>
      <c r="J3135" t="s">
        <v>39</v>
      </c>
      <c r="K3135" s="2">
        <v>4.0999999999999996</v>
      </c>
      <c r="L3135" t="s">
        <v>152</v>
      </c>
      <c r="M3135" t="s">
        <v>27</v>
      </c>
      <c r="N3135" t="s">
        <v>47</v>
      </c>
      <c r="O3135" t="s">
        <v>152</v>
      </c>
      <c r="P3135" t="s">
        <v>152</v>
      </c>
      <c r="Q3135" s="3">
        <v>29</v>
      </c>
      <c r="R3135" t="s">
        <v>35</v>
      </c>
      <c r="S3135" t="s">
        <v>77</v>
      </c>
    </row>
    <row r="3136" spans="1:19" x14ac:dyDescent="0.25">
      <c r="A3136">
        <v>3135</v>
      </c>
      <c r="B3136">
        <v>35</v>
      </c>
      <c r="C3136" t="s">
        <v>153</v>
      </c>
      <c r="D3136" t="s">
        <v>137</v>
      </c>
      <c r="E3136" t="s">
        <v>43</v>
      </c>
      <c r="F3136" s="1">
        <v>66</v>
      </c>
      <c r="G3136" t="s">
        <v>22</v>
      </c>
      <c r="H3136" t="s">
        <v>23</v>
      </c>
      <c r="I3136" t="s">
        <v>24</v>
      </c>
      <c r="J3136" t="s">
        <v>39</v>
      </c>
      <c r="K3136" s="2">
        <v>4.4000000000000004</v>
      </c>
      <c r="L3136" t="s">
        <v>152</v>
      </c>
      <c r="M3136" t="s">
        <v>29</v>
      </c>
      <c r="N3136" t="s">
        <v>76</v>
      </c>
      <c r="O3136" t="s">
        <v>152</v>
      </c>
      <c r="P3136" t="s">
        <v>152</v>
      </c>
      <c r="Q3136" s="3">
        <v>47</v>
      </c>
      <c r="R3136" t="s">
        <v>34</v>
      </c>
      <c r="S3136" t="s">
        <v>41</v>
      </c>
    </row>
    <row r="3137" spans="1:19" x14ac:dyDescent="0.25">
      <c r="A3137">
        <v>3136</v>
      </c>
      <c r="B3137">
        <v>68</v>
      </c>
      <c r="C3137" t="s">
        <v>153</v>
      </c>
      <c r="D3137" t="s">
        <v>73</v>
      </c>
      <c r="E3137" t="s">
        <v>43</v>
      </c>
      <c r="F3137" s="1">
        <v>85</v>
      </c>
      <c r="G3137" t="s">
        <v>116</v>
      </c>
      <c r="H3137" t="s">
        <v>23</v>
      </c>
      <c r="I3137" t="s">
        <v>134</v>
      </c>
      <c r="J3137" t="s">
        <v>39</v>
      </c>
      <c r="K3137" s="2">
        <v>4.7</v>
      </c>
      <c r="L3137" t="s">
        <v>152</v>
      </c>
      <c r="M3137" t="s">
        <v>34</v>
      </c>
      <c r="N3137" t="s">
        <v>40</v>
      </c>
      <c r="O3137" t="s">
        <v>152</v>
      </c>
      <c r="P3137" t="s">
        <v>152</v>
      </c>
      <c r="Q3137" s="3">
        <v>48</v>
      </c>
      <c r="R3137" t="s">
        <v>29</v>
      </c>
      <c r="S3137" t="s">
        <v>30</v>
      </c>
    </row>
    <row r="3138" spans="1:19" x14ac:dyDescent="0.25">
      <c r="A3138">
        <v>3137</v>
      </c>
      <c r="B3138">
        <v>58</v>
      </c>
      <c r="C3138" t="s">
        <v>153</v>
      </c>
      <c r="D3138" t="s">
        <v>87</v>
      </c>
      <c r="E3138" t="s">
        <v>21</v>
      </c>
      <c r="F3138" s="1">
        <v>32</v>
      </c>
      <c r="G3138" t="s">
        <v>148</v>
      </c>
      <c r="H3138" t="s">
        <v>45</v>
      </c>
      <c r="I3138" t="s">
        <v>24</v>
      </c>
      <c r="J3138" t="s">
        <v>58</v>
      </c>
      <c r="K3138" s="2">
        <v>3.1</v>
      </c>
      <c r="L3138" t="s">
        <v>152</v>
      </c>
      <c r="M3138" t="s">
        <v>34</v>
      </c>
      <c r="N3138" t="s">
        <v>47</v>
      </c>
      <c r="O3138" t="s">
        <v>152</v>
      </c>
      <c r="P3138" t="s">
        <v>152</v>
      </c>
      <c r="Q3138" s="3">
        <v>29</v>
      </c>
      <c r="R3138" t="s">
        <v>35</v>
      </c>
      <c r="S3138" t="s">
        <v>77</v>
      </c>
    </row>
    <row r="3139" spans="1:19" x14ac:dyDescent="0.25">
      <c r="A3139">
        <v>3138</v>
      </c>
      <c r="B3139">
        <v>34</v>
      </c>
      <c r="C3139" t="s">
        <v>153</v>
      </c>
      <c r="D3139" t="s">
        <v>64</v>
      </c>
      <c r="E3139" t="s">
        <v>65</v>
      </c>
      <c r="F3139" s="1">
        <v>44</v>
      </c>
      <c r="G3139" t="s">
        <v>62</v>
      </c>
      <c r="H3139" t="s">
        <v>45</v>
      </c>
      <c r="I3139" t="s">
        <v>49</v>
      </c>
      <c r="J3139" t="s">
        <v>39</v>
      </c>
      <c r="K3139" s="2">
        <v>2.7</v>
      </c>
      <c r="L3139" t="s">
        <v>152</v>
      </c>
      <c r="M3139" t="s">
        <v>35</v>
      </c>
      <c r="N3139" t="s">
        <v>72</v>
      </c>
      <c r="O3139" t="s">
        <v>152</v>
      </c>
      <c r="P3139" t="s">
        <v>152</v>
      </c>
      <c r="Q3139" s="3">
        <v>14</v>
      </c>
      <c r="R3139" t="s">
        <v>34</v>
      </c>
      <c r="S3139" t="s">
        <v>88</v>
      </c>
    </row>
    <row r="3140" spans="1:19" x14ac:dyDescent="0.25">
      <c r="A3140">
        <v>3139</v>
      </c>
      <c r="B3140">
        <v>47</v>
      </c>
      <c r="C3140" t="s">
        <v>153</v>
      </c>
      <c r="D3140" t="s">
        <v>20</v>
      </c>
      <c r="E3140" t="s">
        <v>21</v>
      </c>
      <c r="F3140" s="1">
        <v>95</v>
      </c>
      <c r="G3140" t="s">
        <v>22</v>
      </c>
      <c r="H3140" t="s">
        <v>23</v>
      </c>
      <c r="I3140" t="s">
        <v>24</v>
      </c>
      <c r="J3140" t="s">
        <v>58</v>
      </c>
      <c r="K3140" s="2">
        <v>4.5999999999999996</v>
      </c>
      <c r="L3140" t="s">
        <v>152</v>
      </c>
      <c r="M3140" t="s">
        <v>29</v>
      </c>
      <c r="N3140" t="s">
        <v>47</v>
      </c>
      <c r="O3140" t="s">
        <v>152</v>
      </c>
      <c r="P3140" t="s">
        <v>152</v>
      </c>
      <c r="Q3140" s="3">
        <v>40</v>
      </c>
      <c r="R3140" t="s">
        <v>35</v>
      </c>
      <c r="S3140" t="s">
        <v>97</v>
      </c>
    </row>
    <row r="3141" spans="1:19" x14ac:dyDescent="0.25">
      <c r="A3141">
        <v>3140</v>
      </c>
      <c r="B3141">
        <v>35</v>
      </c>
      <c r="C3141" t="s">
        <v>153</v>
      </c>
      <c r="D3141" t="s">
        <v>89</v>
      </c>
      <c r="E3141" t="s">
        <v>69</v>
      </c>
      <c r="F3141" s="1">
        <v>85</v>
      </c>
      <c r="G3141" t="s">
        <v>142</v>
      </c>
      <c r="H3141" t="s">
        <v>45</v>
      </c>
      <c r="I3141" t="s">
        <v>79</v>
      </c>
      <c r="J3141" t="s">
        <v>25</v>
      </c>
      <c r="K3141" s="2">
        <v>4.4000000000000004</v>
      </c>
      <c r="L3141" t="s">
        <v>152</v>
      </c>
      <c r="M3141" t="s">
        <v>29</v>
      </c>
      <c r="N3141" t="s">
        <v>47</v>
      </c>
      <c r="O3141" t="s">
        <v>152</v>
      </c>
      <c r="P3141" t="s">
        <v>152</v>
      </c>
      <c r="Q3141" s="3">
        <v>4</v>
      </c>
      <c r="R3141" t="s">
        <v>29</v>
      </c>
      <c r="S3141" t="s">
        <v>41</v>
      </c>
    </row>
    <row r="3142" spans="1:19" x14ac:dyDescent="0.25">
      <c r="A3142">
        <v>3141</v>
      </c>
      <c r="B3142">
        <v>34</v>
      </c>
      <c r="C3142" t="s">
        <v>153</v>
      </c>
      <c r="D3142" t="s">
        <v>143</v>
      </c>
      <c r="E3142" t="s">
        <v>69</v>
      </c>
      <c r="F3142" s="1">
        <v>44</v>
      </c>
      <c r="G3142" t="s">
        <v>120</v>
      </c>
      <c r="H3142" t="s">
        <v>92</v>
      </c>
      <c r="I3142" t="s">
        <v>100</v>
      </c>
      <c r="J3142" t="s">
        <v>54</v>
      </c>
      <c r="K3142" s="2">
        <v>4.5999999999999996</v>
      </c>
      <c r="L3142" t="s">
        <v>152</v>
      </c>
      <c r="M3142" t="s">
        <v>59</v>
      </c>
      <c r="N3142" t="s">
        <v>40</v>
      </c>
      <c r="O3142" t="s">
        <v>152</v>
      </c>
      <c r="P3142" t="s">
        <v>152</v>
      </c>
      <c r="Q3142" s="3">
        <v>37</v>
      </c>
      <c r="R3142" t="s">
        <v>34</v>
      </c>
      <c r="S3142" t="s">
        <v>41</v>
      </c>
    </row>
    <row r="3143" spans="1:19" x14ac:dyDescent="0.25">
      <c r="A3143">
        <v>3142</v>
      </c>
      <c r="B3143">
        <v>36</v>
      </c>
      <c r="C3143" t="s">
        <v>153</v>
      </c>
      <c r="D3143" t="s">
        <v>89</v>
      </c>
      <c r="E3143" t="s">
        <v>69</v>
      </c>
      <c r="F3143" s="1">
        <v>30</v>
      </c>
      <c r="G3143" t="s">
        <v>91</v>
      </c>
      <c r="H3143" t="s">
        <v>38</v>
      </c>
      <c r="I3143" t="s">
        <v>100</v>
      </c>
      <c r="J3143" t="s">
        <v>25</v>
      </c>
      <c r="K3143" s="2">
        <v>4.9000000000000004</v>
      </c>
      <c r="L3143" t="s">
        <v>152</v>
      </c>
      <c r="M3143" t="s">
        <v>29</v>
      </c>
      <c r="N3143" t="s">
        <v>28</v>
      </c>
      <c r="O3143" t="s">
        <v>152</v>
      </c>
      <c r="P3143" t="s">
        <v>152</v>
      </c>
      <c r="Q3143" s="3">
        <v>47</v>
      </c>
      <c r="R3143" t="s">
        <v>27</v>
      </c>
      <c r="S3143" t="s">
        <v>77</v>
      </c>
    </row>
    <row r="3144" spans="1:19" x14ac:dyDescent="0.25">
      <c r="A3144">
        <v>3143</v>
      </c>
      <c r="B3144">
        <v>23</v>
      </c>
      <c r="C3144" t="s">
        <v>153</v>
      </c>
      <c r="D3144" t="s">
        <v>51</v>
      </c>
      <c r="E3144" t="s">
        <v>43</v>
      </c>
      <c r="F3144" s="1">
        <v>21</v>
      </c>
      <c r="G3144" t="s">
        <v>111</v>
      </c>
      <c r="H3144" t="s">
        <v>23</v>
      </c>
      <c r="I3144" t="s">
        <v>136</v>
      </c>
      <c r="J3144" t="s">
        <v>25</v>
      </c>
      <c r="K3144" s="2">
        <v>4</v>
      </c>
      <c r="L3144" t="s">
        <v>152</v>
      </c>
      <c r="M3144" t="s">
        <v>46</v>
      </c>
      <c r="N3144" t="s">
        <v>72</v>
      </c>
      <c r="O3144" t="s">
        <v>152</v>
      </c>
      <c r="P3144" t="s">
        <v>152</v>
      </c>
      <c r="Q3144" s="3">
        <v>1</v>
      </c>
      <c r="R3144" t="s">
        <v>29</v>
      </c>
      <c r="S3144" t="s">
        <v>60</v>
      </c>
    </row>
    <row r="3145" spans="1:19" x14ac:dyDescent="0.25">
      <c r="A3145">
        <v>3144</v>
      </c>
      <c r="B3145">
        <v>68</v>
      </c>
      <c r="C3145" t="s">
        <v>153</v>
      </c>
      <c r="D3145" t="s">
        <v>104</v>
      </c>
      <c r="E3145" t="s">
        <v>21</v>
      </c>
      <c r="F3145" s="1">
        <v>22</v>
      </c>
      <c r="G3145" t="s">
        <v>117</v>
      </c>
      <c r="H3145" t="s">
        <v>45</v>
      </c>
      <c r="I3145" t="s">
        <v>75</v>
      </c>
      <c r="J3145" t="s">
        <v>54</v>
      </c>
      <c r="K3145" s="2">
        <v>2.9</v>
      </c>
      <c r="L3145" t="s">
        <v>152</v>
      </c>
      <c r="M3145" t="s">
        <v>59</v>
      </c>
      <c r="N3145" t="s">
        <v>76</v>
      </c>
      <c r="O3145" t="s">
        <v>152</v>
      </c>
      <c r="P3145" t="s">
        <v>152</v>
      </c>
      <c r="Q3145" s="3">
        <v>26</v>
      </c>
      <c r="R3145" t="s">
        <v>35</v>
      </c>
      <c r="S3145" t="s">
        <v>60</v>
      </c>
    </row>
    <row r="3146" spans="1:19" x14ac:dyDescent="0.25">
      <c r="A3146">
        <v>3145</v>
      </c>
      <c r="B3146">
        <v>23</v>
      </c>
      <c r="C3146" t="s">
        <v>153</v>
      </c>
      <c r="D3146" t="s">
        <v>137</v>
      </c>
      <c r="E3146" t="s">
        <v>43</v>
      </c>
      <c r="F3146" s="1">
        <v>70</v>
      </c>
      <c r="G3146" t="s">
        <v>32</v>
      </c>
      <c r="H3146" t="s">
        <v>23</v>
      </c>
      <c r="I3146" t="s">
        <v>118</v>
      </c>
      <c r="J3146" t="s">
        <v>39</v>
      </c>
      <c r="K3146" s="2">
        <v>2.6</v>
      </c>
      <c r="L3146" t="s">
        <v>152</v>
      </c>
      <c r="M3146" t="s">
        <v>34</v>
      </c>
      <c r="N3146" t="s">
        <v>40</v>
      </c>
      <c r="O3146" t="s">
        <v>152</v>
      </c>
      <c r="P3146" t="s">
        <v>152</v>
      </c>
      <c r="Q3146" s="3">
        <v>12</v>
      </c>
      <c r="R3146" t="s">
        <v>59</v>
      </c>
      <c r="S3146" t="s">
        <v>60</v>
      </c>
    </row>
    <row r="3147" spans="1:19" x14ac:dyDescent="0.25">
      <c r="A3147">
        <v>3146</v>
      </c>
      <c r="B3147">
        <v>57</v>
      </c>
      <c r="C3147" t="s">
        <v>153</v>
      </c>
      <c r="D3147" t="s">
        <v>68</v>
      </c>
      <c r="E3147" t="s">
        <v>69</v>
      </c>
      <c r="F3147" s="1">
        <v>29</v>
      </c>
      <c r="G3147" t="s">
        <v>105</v>
      </c>
      <c r="H3147" t="s">
        <v>92</v>
      </c>
      <c r="I3147" t="s">
        <v>75</v>
      </c>
      <c r="J3147" t="s">
        <v>39</v>
      </c>
      <c r="K3147" s="2">
        <v>4.5999999999999996</v>
      </c>
      <c r="L3147" t="s">
        <v>152</v>
      </c>
      <c r="M3147" t="s">
        <v>59</v>
      </c>
      <c r="N3147" t="s">
        <v>55</v>
      </c>
      <c r="O3147" t="s">
        <v>152</v>
      </c>
      <c r="P3147" t="s">
        <v>152</v>
      </c>
      <c r="Q3147" s="3">
        <v>16</v>
      </c>
      <c r="R3147" t="s">
        <v>46</v>
      </c>
      <c r="S3147" t="s">
        <v>30</v>
      </c>
    </row>
    <row r="3148" spans="1:19" x14ac:dyDescent="0.25">
      <c r="A3148">
        <v>3147</v>
      </c>
      <c r="B3148">
        <v>21</v>
      </c>
      <c r="C3148" t="s">
        <v>153</v>
      </c>
      <c r="D3148" t="s">
        <v>56</v>
      </c>
      <c r="E3148" t="s">
        <v>21</v>
      </c>
      <c r="F3148" s="1">
        <v>83</v>
      </c>
      <c r="G3148" t="s">
        <v>141</v>
      </c>
      <c r="H3148" t="s">
        <v>38</v>
      </c>
      <c r="I3148" t="s">
        <v>134</v>
      </c>
      <c r="J3148" t="s">
        <v>25</v>
      </c>
      <c r="K3148" s="2">
        <v>4.9000000000000004</v>
      </c>
      <c r="L3148" t="s">
        <v>152</v>
      </c>
      <c r="M3148" t="s">
        <v>34</v>
      </c>
      <c r="N3148" t="s">
        <v>40</v>
      </c>
      <c r="O3148" t="s">
        <v>152</v>
      </c>
      <c r="P3148" t="s">
        <v>152</v>
      </c>
      <c r="Q3148" s="3">
        <v>19</v>
      </c>
      <c r="R3148" t="s">
        <v>46</v>
      </c>
      <c r="S3148" t="s">
        <v>50</v>
      </c>
    </row>
    <row r="3149" spans="1:19" x14ac:dyDescent="0.25">
      <c r="A3149">
        <v>3148</v>
      </c>
      <c r="B3149">
        <v>45</v>
      </c>
      <c r="C3149" t="s">
        <v>153</v>
      </c>
      <c r="D3149" t="s">
        <v>31</v>
      </c>
      <c r="E3149" t="s">
        <v>21</v>
      </c>
      <c r="F3149" s="1">
        <v>99</v>
      </c>
      <c r="G3149" t="s">
        <v>114</v>
      </c>
      <c r="H3149" t="s">
        <v>45</v>
      </c>
      <c r="I3149" t="s">
        <v>71</v>
      </c>
      <c r="J3149" t="s">
        <v>25</v>
      </c>
      <c r="K3149" s="2">
        <v>4.3</v>
      </c>
      <c r="L3149" t="s">
        <v>152</v>
      </c>
      <c r="M3149" t="s">
        <v>35</v>
      </c>
      <c r="N3149" t="s">
        <v>28</v>
      </c>
      <c r="O3149" t="s">
        <v>152</v>
      </c>
      <c r="P3149" t="s">
        <v>152</v>
      </c>
      <c r="Q3149" s="3">
        <v>21</v>
      </c>
      <c r="R3149" t="s">
        <v>27</v>
      </c>
      <c r="S3149" t="s">
        <v>41</v>
      </c>
    </row>
    <row r="3150" spans="1:19" x14ac:dyDescent="0.25">
      <c r="A3150">
        <v>3149</v>
      </c>
      <c r="B3150">
        <v>37</v>
      </c>
      <c r="C3150" t="s">
        <v>153</v>
      </c>
      <c r="D3150" t="s">
        <v>61</v>
      </c>
      <c r="E3150" t="s">
        <v>21</v>
      </c>
      <c r="F3150" s="1">
        <v>35</v>
      </c>
      <c r="G3150" t="s">
        <v>66</v>
      </c>
      <c r="H3150" t="s">
        <v>23</v>
      </c>
      <c r="I3150" t="s">
        <v>75</v>
      </c>
      <c r="J3150" t="s">
        <v>58</v>
      </c>
      <c r="K3150" s="2">
        <v>4.3</v>
      </c>
      <c r="L3150" t="s">
        <v>152</v>
      </c>
      <c r="M3150" t="s">
        <v>27</v>
      </c>
      <c r="N3150" t="s">
        <v>40</v>
      </c>
      <c r="O3150" t="s">
        <v>152</v>
      </c>
      <c r="P3150" t="s">
        <v>152</v>
      </c>
      <c r="Q3150" s="3">
        <v>15</v>
      </c>
      <c r="R3150" t="s">
        <v>29</v>
      </c>
      <c r="S3150" t="s">
        <v>41</v>
      </c>
    </row>
    <row r="3151" spans="1:19" x14ac:dyDescent="0.25">
      <c r="A3151">
        <v>3150</v>
      </c>
      <c r="B3151">
        <v>18</v>
      </c>
      <c r="C3151" t="s">
        <v>153</v>
      </c>
      <c r="D3151" t="s">
        <v>133</v>
      </c>
      <c r="E3151" t="s">
        <v>69</v>
      </c>
      <c r="F3151" s="1">
        <v>40</v>
      </c>
      <c r="G3151" t="s">
        <v>98</v>
      </c>
      <c r="H3151" t="s">
        <v>45</v>
      </c>
      <c r="I3151" t="s">
        <v>93</v>
      </c>
      <c r="J3151" t="s">
        <v>25</v>
      </c>
      <c r="K3151" s="2">
        <v>4.5999999999999996</v>
      </c>
      <c r="L3151" t="s">
        <v>152</v>
      </c>
      <c r="M3151" t="s">
        <v>59</v>
      </c>
      <c r="N3151" t="s">
        <v>40</v>
      </c>
      <c r="O3151" t="s">
        <v>152</v>
      </c>
      <c r="P3151" t="s">
        <v>152</v>
      </c>
      <c r="Q3151" s="3">
        <v>9</v>
      </c>
      <c r="R3151" t="s">
        <v>29</v>
      </c>
      <c r="S3151" t="s">
        <v>50</v>
      </c>
    </row>
    <row r="3152" spans="1:19" x14ac:dyDescent="0.25">
      <c r="A3152">
        <v>3151</v>
      </c>
      <c r="B3152">
        <v>55</v>
      </c>
      <c r="C3152" t="s">
        <v>153</v>
      </c>
      <c r="D3152" t="s">
        <v>20</v>
      </c>
      <c r="E3152" t="s">
        <v>21</v>
      </c>
      <c r="F3152" s="1">
        <v>25</v>
      </c>
      <c r="G3152" t="s">
        <v>142</v>
      </c>
      <c r="H3152" t="s">
        <v>45</v>
      </c>
      <c r="I3152" t="s">
        <v>100</v>
      </c>
      <c r="J3152" t="s">
        <v>39</v>
      </c>
      <c r="K3152" s="2">
        <v>2.6</v>
      </c>
      <c r="L3152" t="s">
        <v>152</v>
      </c>
      <c r="M3152" t="s">
        <v>29</v>
      </c>
      <c r="N3152" t="s">
        <v>28</v>
      </c>
      <c r="O3152" t="s">
        <v>152</v>
      </c>
      <c r="P3152" t="s">
        <v>152</v>
      </c>
      <c r="Q3152" s="3">
        <v>7</v>
      </c>
      <c r="R3152" t="s">
        <v>34</v>
      </c>
      <c r="S3152" t="s">
        <v>77</v>
      </c>
    </row>
    <row r="3153" spans="1:19" x14ac:dyDescent="0.25">
      <c r="A3153">
        <v>3152</v>
      </c>
      <c r="B3153">
        <v>52</v>
      </c>
      <c r="C3153" t="s">
        <v>153</v>
      </c>
      <c r="D3153" t="s">
        <v>113</v>
      </c>
      <c r="E3153" t="s">
        <v>21</v>
      </c>
      <c r="F3153" s="1">
        <v>64</v>
      </c>
      <c r="G3153" t="s">
        <v>130</v>
      </c>
      <c r="H3153" t="s">
        <v>23</v>
      </c>
      <c r="I3153" t="s">
        <v>121</v>
      </c>
      <c r="J3153" t="s">
        <v>58</v>
      </c>
      <c r="K3153" s="2">
        <v>3.1</v>
      </c>
      <c r="L3153" t="s">
        <v>152</v>
      </c>
      <c r="M3153" t="s">
        <v>35</v>
      </c>
      <c r="N3153" t="s">
        <v>72</v>
      </c>
      <c r="O3153" t="s">
        <v>152</v>
      </c>
      <c r="P3153" t="s">
        <v>152</v>
      </c>
      <c r="Q3153" s="3">
        <v>47</v>
      </c>
      <c r="R3153" t="s">
        <v>34</v>
      </c>
      <c r="S3153" t="s">
        <v>60</v>
      </c>
    </row>
    <row r="3154" spans="1:19" x14ac:dyDescent="0.25">
      <c r="A3154">
        <v>3153</v>
      </c>
      <c r="B3154">
        <v>49</v>
      </c>
      <c r="C3154" t="s">
        <v>153</v>
      </c>
      <c r="D3154" t="s">
        <v>133</v>
      </c>
      <c r="E3154" t="s">
        <v>69</v>
      </c>
      <c r="F3154" s="1">
        <v>90</v>
      </c>
      <c r="G3154" t="s">
        <v>98</v>
      </c>
      <c r="H3154" t="s">
        <v>45</v>
      </c>
      <c r="I3154" t="s">
        <v>108</v>
      </c>
      <c r="J3154" t="s">
        <v>58</v>
      </c>
      <c r="K3154" s="2">
        <v>3.1</v>
      </c>
      <c r="L3154" t="s">
        <v>152</v>
      </c>
      <c r="M3154" t="s">
        <v>29</v>
      </c>
      <c r="N3154" t="s">
        <v>76</v>
      </c>
      <c r="O3154" t="s">
        <v>152</v>
      </c>
      <c r="P3154" t="s">
        <v>152</v>
      </c>
      <c r="Q3154" s="3">
        <v>17</v>
      </c>
      <c r="R3154" t="s">
        <v>46</v>
      </c>
      <c r="S3154" t="s">
        <v>88</v>
      </c>
    </row>
    <row r="3155" spans="1:19" x14ac:dyDescent="0.25">
      <c r="A3155">
        <v>3154</v>
      </c>
      <c r="B3155">
        <v>56</v>
      </c>
      <c r="C3155" t="s">
        <v>153</v>
      </c>
      <c r="D3155" t="s">
        <v>125</v>
      </c>
      <c r="E3155" t="s">
        <v>21</v>
      </c>
      <c r="F3155" s="1">
        <v>88</v>
      </c>
      <c r="G3155" t="s">
        <v>90</v>
      </c>
      <c r="H3155" t="s">
        <v>23</v>
      </c>
      <c r="I3155" t="s">
        <v>108</v>
      </c>
      <c r="J3155" t="s">
        <v>58</v>
      </c>
      <c r="K3155" s="2">
        <v>3.1</v>
      </c>
      <c r="L3155" t="s">
        <v>152</v>
      </c>
      <c r="M3155" t="s">
        <v>34</v>
      </c>
      <c r="N3155" t="s">
        <v>47</v>
      </c>
      <c r="O3155" t="s">
        <v>152</v>
      </c>
      <c r="P3155" t="s">
        <v>152</v>
      </c>
      <c r="Q3155" s="3">
        <v>46</v>
      </c>
      <c r="R3155" t="s">
        <v>29</v>
      </c>
      <c r="S3155" t="s">
        <v>30</v>
      </c>
    </row>
    <row r="3156" spans="1:19" x14ac:dyDescent="0.25">
      <c r="A3156">
        <v>3155</v>
      </c>
      <c r="B3156">
        <v>27</v>
      </c>
      <c r="C3156" t="s">
        <v>153</v>
      </c>
      <c r="D3156" t="s">
        <v>133</v>
      </c>
      <c r="E3156" t="s">
        <v>69</v>
      </c>
      <c r="F3156" s="1">
        <v>55</v>
      </c>
      <c r="G3156" t="s">
        <v>139</v>
      </c>
      <c r="H3156" t="s">
        <v>45</v>
      </c>
      <c r="I3156" t="s">
        <v>81</v>
      </c>
      <c r="J3156" t="s">
        <v>25</v>
      </c>
      <c r="K3156" s="2">
        <v>4.4000000000000004</v>
      </c>
      <c r="L3156" t="s">
        <v>152</v>
      </c>
      <c r="M3156" t="s">
        <v>29</v>
      </c>
      <c r="N3156" t="s">
        <v>55</v>
      </c>
      <c r="O3156" t="s">
        <v>152</v>
      </c>
      <c r="P3156" t="s">
        <v>152</v>
      </c>
      <c r="Q3156" s="3">
        <v>32</v>
      </c>
      <c r="R3156" t="s">
        <v>35</v>
      </c>
      <c r="S3156" t="s">
        <v>60</v>
      </c>
    </row>
    <row r="3157" spans="1:19" x14ac:dyDescent="0.25">
      <c r="A3157">
        <v>3156</v>
      </c>
      <c r="B3157">
        <v>22</v>
      </c>
      <c r="C3157" t="s">
        <v>153</v>
      </c>
      <c r="D3157" t="s">
        <v>68</v>
      </c>
      <c r="E3157" t="s">
        <v>69</v>
      </c>
      <c r="F3157" s="1">
        <v>90</v>
      </c>
      <c r="G3157" t="s">
        <v>57</v>
      </c>
      <c r="H3157" t="s">
        <v>45</v>
      </c>
      <c r="I3157" t="s">
        <v>110</v>
      </c>
      <c r="J3157" t="s">
        <v>58</v>
      </c>
      <c r="K3157" s="2">
        <v>4.3</v>
      </c>
      <c r="L3157" t="s">
        <v>152</v>
      </c>
      <c r="M3157" t="s">
        <v>46</v>
      </c>
      <c r="N3157" t="s">
        <v>40</v>
      </c>
      <c r="O3157" t="s">
        <v>152</v>
      </c>
      <c r="P3157" t="s">
        <v>152</v>
      </c>
      <c r="Q3157" s="3">
        <v>34</v>
      </c>
      <c r="R3157" t="s">
        <v>35</v>
      </c>
      <c r="S3157" t="s">
        <v>50</v>
      </c>
    </row>
    <row r="3158" spans="1:19" x14ac:dyDescent="0.25">
      <c r="A3158">
        <v>3157</v>
      </c>
      <c r="B3158">
        <v>18</v>
      </c>
      <c r="C3158" t="s">
        <v>153</v>
      </c>
      <c r="D3158" t="s">
        <v>56</v>
      </c>
      <c r="E3158" t="s">
        <v>21</v>
      </c>
      <c r="F3158" s="1">
        <v>50</v>
      </c>
      <c r="G3158" t="s">
        <v>57</v>
      </c>
      <c r="H3158" t="s">
        <v>45</v>
      </c>
      <c r="I3158" t="s">
        <v>94</v>
      </c>
      <c r="J3158" t="s">
        <v>25</v>
      </c>
      <c r="K3158" s="2">
        <v>3.1</v>
      </c>
      <c r="L3158" t="s">
        <v>152</v>
      </c>
      <c r="M3158" t="s">
        <v>35</v>
      </c>
      <c r="N3158" t="s">
        <v>72</v>
      </c>
      <c r="O3158" t="s">
        <v>152</v>
      </c>
      <c r="P3158" t="s">
        <v>152</v>
      </c>
      <c r="Q3158" s="3">
        <v>18</v>
      </c>
      <c r="R3158" t="s">
        <v>35</v>
      </c>
      <c r="S3158" t="s">
        <v>88</v>
      </c>
    </row>
    <row r="3159" spans="1:19" x14ac:dyDescent="0.25">
      <c r="A3159">
        <v>3158</v>
      </c>
      <c r="B3159">
        <v>21</v>
      </c>
      <c r="C3159" t="s">
        <v>153</v>
      </c>
      <c r="D3159" t="s">
        <v>133</v>
      </c>
      <c r="E3159" t="s">
        <v>69</v>
      </c>
      <c r="F3159" s="1">
        <v>34</v>
      </c>
      <c r="G3159" t="s">
        <v>32</v>
      </c>
      <c r="H3159" t="s">
        <v>23</v>
      </c>
      <c r="I3159" t="s">
        <v>108</v>
      </c>
      <c r="J3159" t="s">
        <v>58</v>
      </c>
      <c r="K3159" s="2">
        <v>3.1</v>
      </c>
      <c r="L3159" t="s">
        <v>152</v>
      </c>
      <c r="M3159" t="s">
        <v>34</v>
      </c>
      <c r="N3159" t="s">
        <v>76</v>
      </c>
      <c r="O3159" t="s">
        <v>152</v>
      </c>
      <c r="P3159" t="s">
        <v>152</v>
      </c>
      <c r="Q3159" s="3">
        <v>5</v>
      </c>
      <c r="R3159" t="s">
        <v>59</v>
      </c>
      <c r="S3159" t="s">
        <v>30</v>
      </c>
    </row>
    <row r="3160" spans="1:19" x14ac:dyDescent="0.25">
      <c r="A3160">
        <v>3159</v>
      </c>
      <c r="B3160">
        <v>30</v>
      </c>
      <c r="C3160" t="s">
        <v>153</v>
      </c>
      <c r="D3160" t="s">
        <v>106</v>
      </c>
      <c r="E3160" t="s">
        <v>69</v>
      </c>
      <c r="F3160" s="1">
        <v>77</v>
      </c>
      <c r="G3160" t="s">
        <v>91</v>
      </c>
      <c r="H3160" t="s">
        <v>45</v>
      </c>
      <c r="I3160" t="s">
        <v>24</v>
      </c>
      <c r="J3160" t="s">
        <v>25</v>
      </c>
      <c r="K3160" s="2">
        <v>4.9000000000000004</v>
      </c>
      <c r="L3160" t="s">
        <v>152</v>
      </c>
      <c r="M3160" t="s">
        <v>46</v>
      </c>
      <c r="N3160" t="s">
        <v>72</v>
      </c>
      <c r="O3160" t="s">
        <v>152</v>
      </c>
      <c r="P3160" t="s">
        <v>152</v>
      </c>
      <c r="Q3160" s="3">
        <v>44</v>
      </c>
      <c r="R3160" t="s">
        <v>27</v>
      </c>
      <c r="S3160" t="s">
        <v>88</v>
      </c>
    </row>
    <row r="3161" spans="1:19" x14ac:dyDescent="0.25">
      <c r="A3161">
        <v>3160</v>
      </c>
      <c r="B3161">
        <v>62</v>
      </c>
      <c r="C3161" t="s">
        <v>153</v>
      </c>
      <c r="D3161" t="s">
        <v>124</v>
      </c>
      <c r="E3161" t="s">
        <v>69</v>
      </c>
      <c r="F3161" s="1">
        <v>89</v>
      </c>
      <c r="G3161" t="s">
        <v>62</v>
      </c>
      <c r="H3161" t="s">
        <v>23</v>
      </c>
      <c r="I3161" t="s">
        <v>71</v>
      </c>
      <c r="J3161" t="s">
        <v>25</v>
      </c>
      <c r="K3161" s="2">
        <v>2.9</v>
      </c>
      <c r="L3161" t="s">
        <v>152</v>
      </c>
      <c r="M3161" t="s">
        <v>46</v>
      </c>
      <c r="N3161" t="s">
        <v>76</v>
      </c>
      <c r="O3161" t="s">
        <v>152</v>
      </c>
      <c r="P3161" t="s">
        <v>152</v>
      </c>
      <c r="Q3161" s="3">
        <v>4</v>
      </c>
      <c r="R3161" t="s">
        <v>34</v>
      </c>
      <c r="S3161" t="s">
        <v>60</v>
      </c>
    </row>
    <row r="3162" spans="1:19" x14ac:dyDescent="0.25">
      <c r="A3162">
        <v>3161</v>
      </c>
      <c r="B3162">
        <v>28</v>
      </c>
      <c r="C3162" t="s">
        <v>153</v>
      </c>
      <c r="D3162" t="s">
        <v>132</v>
      </c>
      <c r="E3162" t="s">
        <v>69</v>
      </c>
      <c r="F3162" s="1">
        <v>87</v>
      </c>
      <c r="G3162" t="s">
        <v>145</v>
      </c>
      <c r="H3162" t="s">
        <v>92</v>
      </c>
      <c r="I3162" t="s">
        <v>49</v>
      </c>
      <c r="J3162" t="s">
        <v>58</v>
      </c>
      <c r="K3162" s="2">
        <v>3.8</v>
      </c>
      <c r="L3162" t="s">
        <v>152</v>
      </c>
      <c r="M3162" t="s">
        <v>59</v>
      </c>
      <c r="N3162" t="s">
        <v>47</v>
      </c>
      <c r="O3162" t="s">
        <v>152</v>
      </c>
      <c r="P3162" t="s">
        <v>152</v>
      </c>
      <c r="Q3162" s="3">
        <v>37</v>
      </c>
      <c r="R3162" t="s">
        <v>35</v>
      </c>
      <c r="S3162" t="s">
        <v>30</v>
      </c>
    </row>
    <row r="3163" spans="1:19" x14ac:dyDescent="0.25">
      <c r="A3163">
        <v>3162</v>
      </c>
      <c r="B3163">
        <v>66</v>
      </c>
      <c r="C3163" t="s">
        <v>153</v>
      </c>
      <c r="D3163" t="s">
        <v>82</v>
      </c>
      <c r="E3163" t="s">
        <v>21</v>
      </c>
      <c r="F3163" s="1">
        <v>77</v>
      </c>
      <c r="G3163" t="s">
        <v>37</v>
      </c>
      <c r="H3163" t="s">
        <v>38</v>
      </c>
      <c r="I3163" t="s">
        <v>63</v>
      </c>
      <c r="J3163" t="s">
        <v>25</v>
      </c>
      <c r="K3163" s="2">
        <v>4.2</v>
      </c>
      <c r="L3163" t="s">
        <v>152</v>
      </c>
      <c r="M3163" t="s">
        <v>35</v>
      </c>
      <c r="N3163" t="s">
        <v>72</v>
      </c>
      <c r="O3163" t="s">
        <v>152</v>
      </c>
      <c r="P3163" t="s">
        <v>152</v>
      </c>
      <c r="Q3163" s="3">
        <v>43</v>
      </c>
      <c r="R3163" t="s">
        <v>35</v>
      </c>
      <c r="S3163" t="s">
        <v>88</v>
      </c>
    </row>
    <row r="3164" spans="1:19" x14ac:dyDescent="0.25">
      <c r="A3164">
        <v>3163</v>
      </c>
      <c r="B3164">
        <v>66</v>
      </c>
      <c r="C3164" t="s">
        <v>153</v>
      </c>
      <c r="D3164" t="s">
        <v>73</v>
      </c>
      <c r="E3164" t="s">
        <v>43</v>
      </c>
      <c r="F3164" s="1">
        <v>85</v>
      </c>
      <c r="G3164" t="s">
        <v>150</v>
      </c>
      <c r="H3164" t="s">
        <v>23</v>
      </c>
      <c r="I3164" t="s">
        <v>144</v>
      </c>
      <c r="J3164" t="s">
        <v>25</v>
      </c>
      <c r="K3164" s="2">
        <v>3.9</v>
      </c>
      <c r="L3164" t="s">
        <v>152</v>
      </c>
      <c r="M3164" t="s">
        <v>27</v>
      </c>
      <c r="N3164" t="s">
        <v>55</v>
      </c>
      <c r="O3164" t="s">
        <v>152</v>
      </c>
      <c r="P3164" t="s">
        <v>152</v>
      </c>
      <c r="Q3164" s="3">
        <v>28</v>
      </c>
      <c r="R3164" t="s">
        <v>34</v>
      </c>
      <c r="S3164" t="s">
        <v>60</v>
      </c>
    </row>
    <row r="3165" spans="1:19" x14ac:dyDescent="0.25">
      <c r="A3165">
        <v>3164</v>
      </c>
      <c r="B3165">
        <v>49</v>
      </c>
      <c r="C3165" t="s">
        <v>153</v>
      </c>
      <c r="D3165" t="s">
        <v>95</v>
      </c>
      <c r="E3165" t="s">
        <v>21</v>
      </c>
      <c r="F3165" s="1">
        <v>66</v>
      </c>
      <c r="G3165" t="s">
        <v>145</v>
      </c>
      <c r="H3165" t="s">
        <v>92</v>
      </c>
      <c r="I3165" t="s">
        <v>49</v>
      </c>
      <c r="J3165" t="s">
        <v>54</v>
      </c>
      <c r="K3165" s="2">
        <v>2.8</v>
      </c>
      <c r="L3165" t="s">
        <v>152</v>
      </c>
      <c r="M3165" t="s">
        <v>34</v>
      </c>
      <c r="N3165" t="s">
        <v>28</v>
      </c>
      <c r="O3165" t="s">
        <v>152</v>
      </c>
      <c r="P3165" t="s">
        <v>152</v>
      </c>
      <c r="Q3165" s="3">
        <v>36</v>
      </c>
      <c r="R3165" t="s">
        <v>35</v>
      </c>
      <c r="S3165" t="s">
        <v>88</v>
      </c>
    </row>
    <row r="3166" spans="1:19" x14ac:dyDescent="0.25">
      <c r="A3166">
        <v>3165</v>
      </c>
      <c r="B3166">
        <v>40</v>
      </c>
      <c r="C3166" t="s">
        <v>153</v>
      </c>
      <c r="D3166" t="s">
        <v>82</v>
      </c>
      <c r="E3166" t="s">
        <v>21</v>
      </c>
      <c r="F3166" s="1">
        <v>32</v>
      </c>
      <c r="G3166" t="s">
        <v>117</v>
      </c>
      <c r="H3166" t="s">
        <v>23</v>
      </c>
      <c r="I3166" t="s">
        <v>67</v>
      </c>
      <c r="J3166" t="s">
        <v>25</v>
      </c>
      <c r="K3166" s="2">
        <v>2.6</v>
      </c>
      <c r="L3166" t="s">
        <v>152</v>
      </c>
      <c r="M3166" t="s">
        <v>35</v>
      </c>
      <c r="N3166" t="s">
        <v>55</v>
      </c>
      <c r="O3166" t="s">
        <v>152</v>
      </c>
      <c r="P3166" t="s">
        <v>152</v>
      </c>
      <c r="Q3166" s="3">
        <v>16</v>
      </c>
      <c r="R3166" t="s">
        <v>27</v>
      </c>
      <c r="S3166" t="s">
        <v>50</v>
      </c>
    </row>
    <row r="3167" spans="1:19" x14ac:dyDescent="0.25">
      <c r="A3167">
        <v>3166</v>
      </c>
      <c r="B3167">
        <v>49</v>
      </c>
      <c r="C3167" t="s">
        <v>153</v>
      </c>
      <c r="D3167" t="s">
        <v>102</v>
      </c>
      <c r="E3167" t="s">
        <v>65</v>
      </c>
      <c r="F3167" s="1">
        <v>92</v>
      </c>
      <c r="G3167" t="s">
        <v>78</v>
      </c>
      <c r="H3167" t="s">
        <v>45</v>
      </c>
      <c r="I3167" t="s">
        <v>93</v>
      </c>
      <c r="J3167" t="s">
        <v>39</v>
      </c>
      <c r="K3167" s="2">
        <v>3</v>
      </c>
      <c r="L3167" t="s">
        <v>152</v>
      </c>
      <c r="M3167" t="s">
        <v>46</v>
      </c>
      <c r="N3167" t="s">
        <v>76</v>
      </c>
      <c r="O3167" t="s">
        <v>152</v>
      </c>
      <c r="P3167" t="s">
        <v>152</v>
      </c>
      <c r="Q3167" s="3">
        <v>38</v>
      </c>
      <c r="R3167" t="s">
        <v>34</v>
      </c>
      <c r="S3167" t="s">
        <v>97</v>
      </c>
    </row>
    <row r="3168" spans="1:19" x14ac:dyDescent="0.25">
      <c r="A3168">
        <v>3167</v>
      </c>
      <c r="B3168">
        <v>19</v>
      </c>
      <c r="C3168" t="s">
        <v>153</v>
      </c>
      <c r="D3168" t="s">
        <v>56</v>
      </c>
      <c r="E3168" t="s">
        <v>21</v>
      </c>
      <c r="F3168" s="1">
        <v>80</v>
      </c>
      <c r="G3168" t="s">
        <v>142</v>
      </c>
      <c r="H3168" t="s">
        <v>45</v>
      </c>
      <c r="I3168" t="s">
        <v>81</v>
      </c>
      <c r="J3168" t="s">
        <v>25</v>
      </c>
      <c r="K3168" s="2">
        <v>2.7</v>
      </c>
      <c r="L3168" t="s">
        <v>152</v>
      </c>
      <c r="M3168" t="s">
        <v>59</v>
      </c>
      <c r="N3168" t="s">
        <v>47</v>
      </c>
      <c r="O3168" t="s">
        <v>152</v>
      </c>
      <c r="P3168" t="s">
        <v>152</v>
      </c>
      <c r="Q3168" s="3">
        <v>37</v>
      </c>
      <c r="R3168" t="s">
        <v>34</v>
      </c>
      <c r="S3168" t="s">
        <v>30</v>
      </c>
    </row>
    <row r="3169" spans="1:19" x14ac:dyDescent="0.25">
      <c r="A3169">
        <v>3168</v>
      </c>
      <c r="B3169">
        <v>24</v>
      </c>
      <c r="C3169" t="s">
        <v>153</v>
      </c>
      <c r="D3169" t="s">
        <v>82</v>
      </c>
      <c r="E3169" t="s">
        <v>21</v>
      </c>
      <c r="F3169" s="1">
        <v>78</v>
      </c>
      <c r="G3169" t="s">
        <v>48</v>
      </c>
      <c r="H3169" t="s">
        <v>45</v>
      </c>
      <c r="I3169" t="s">
        <v>144</v>
      </c>
      <c r="J3169" t="s">
        <v>58</v>
      </c>
      <c r="K3169" s="2">
        <v>2.8</v>
      </c>
      <c r="L3169" t="s">
        <v>152</v>
      </c>
      <c r="M3169" t="s">
        <v>29</v>
      </c>
      <c r="N3169" t="s">
        <v>72</v>
      </c>
      <c r="O3169" t="s">
        <v>152</v>
      </c>
      <c r="P3169" t="s">
        <v>152</v>
      </c>
      <c r="Q3169" s="3">
        <v>9</v>
      </c>
      <c r="R3169" t="s">
        <v>35</v>
      </c>
      <c r="S3169" t="s">
        <v>77</v>
      </c>
    </row>
    <row r="3170" spans="1:19" x14ac:dyDescent="0.25">
      <c r="A3170">
        <v>3169</v>
      </c>
      <c r="B3170">
        <v>31</v>
      </c>
      <c r="C3170" t="s">
        <v>153</v>
      </c>
      <c r="D3170" t="s">
        <v>36</v>
      </c>
      <c r="E3170" t="s">
        <v>21</v>
      </c>
      <c r="F3170" s="1">
        <v>24</v>
      </c>
      <c r="G3170" t="s">
        <v>57</v>
      </c>
      <c r="H3170" t="s">
        <v>45</v>
      </c>
      <c r="I3170" t="s">
        <v>121</v>
      </c>
      <c r="J3170" t="s">
        <v>39</v>
      </c>
      <c r="K3170" s="2">
        <v>2.9</v>
      </c>
      <c r="L3170" t="s">
        <v>152</v>
      </c>
      <c r="M3170" t="s">
        <v>34</v>
      </c>
      <c r="N3170" t="s">
        <v>72</v>
      </c>
      <c r="O3170" t="s">
        <v>152</v>
      </c>
      <c r="P3170" t="s">
        <v>152</v>
      </c>
      <c r="Q3170" s="3">
        <v>14</v>
      </c>
      <c r="R3170" t="s">
        <v>46</v>
      </c>
      <c r="S3170" t="s">
        <v>30</v>
      </c>
    </row>
    <row r="3171" spans="1:19" x14ac:dyDescent="0.25">
      <c r="A3171">
        <v>3170</v>
      </c>
      <c r="B3171">
        <v>35</v>
      </c>
      <c r="C3171" t="s">
        <v>153</v>
      </c>
      <c r="D3171" t="s">
        <v>113</v>
      </c>
      <c r="E3171" t="s">
        <v>21</v>
      </c>
      <c r="F3171" s="1">
        <v>59</v>
      </c>
      <c r="G3171" t="s">
        <v>142</v>
      </c>
      <c r="H3171" t="s">
        <v>45</v>
      </c>
      <c r="I3171" t="s">
        <v>53</v>
      </c>
      <c r="J3171" t="s">
        <v>58</v>
      </c>
      <c r="K3171" s="2">
        <v>3.8</v>
      </c>
      <c r="L3171" t="s">
        <v>152</v>
      </c>
      <c r="M3171" t="s">
        <v>29</v>
      </c>
      <c r="N3171" t="s">
        <v>40</v>
      </c>
      <c r="O3171" t="s">
        <v>152</v>
      </c>
      <c r="P3171" t="s">
        <v>152</v>
      </c>
      <c r="Q3171" s="3">
        <v>3</v>
      </c>
      <c r="R3171" t="s">
        <v>29</v>
      </c>
      <c r="S3171" t="s">
        <v>41</v>
      </c>
    </row>
    <row r="3172" spans="1:19" x14ac:dyDescent="0.25">
      <c r="A3172">
        <v>3171</v>
      </c>
      <c r="B3172">
        <v>65</v>
      </c>
      <c r="C3172" t="s">
        <v>153</v>
      </c>
      <c r="D3172" t="s">
        <v>89</v>
      </c>
      <c r="E3172" t="s">
        <v>69</v>
      </c>
      <c r="F3172" s="1">
        <v>41</v>
      </c>
      <c r="G3172" t="s">
        <v>44</v>
      </c>
      <c r="H3172" t="s">
        <v>92</v>
      </c>
      <c r="I3172" t="s">
        <v>63</v>
      </c>
      <c r="J3172" t="s">
        <v>39</v>
      </c>
      <c r="K3172" s="2">
        <v>4.4000000000000004</v>
      </c>
      <c r="L3172" t="s">
        <v>152</v>
      </c>
      <c r="M3172" t="s">
        <v>59</v>
      </c>
      <c r="N3172" t="s">
        <v>28</v>
      </c>
      <c r="O3172" t="s">
        <v>152</v>
      </c>
      <c r="P3172" t="s">
        <v>152</v>
      </c>
      <c r="Q3172" s="3">
        <v>10</v>
      </c>
      <c r="R3172" t="s">
        <v>27</v>
      </c>
      <c r="S3172" t="s">
        <v>30</v>
      </c>
    </row>
    <row r="3173" spans="1:19" x14ac:dyDescent="0.25">
      <c r="A3173">
        <v>3172</v>
      </c>
      <c r="B3173">
        <v>68</v>
      </c>
      <c r="C3173" t="s">
        <v>153</v>
      </c>
      <c r="D3173" t="s">
        <v>106</v>
      </c>
      <c r="E3173" t="s">
        <v>69</v>
      </c>
      <c r="F3173" s="1">
        <v>26</v>
      </c>
      <c r="G3173" t="s">
        <v>122</v>
      </c>
      <c r="H3173" t="s">
        <v>45</v>
      </c>
      <c r="I3173" t="s">
        <v>33</v>
      </c>
      <c r="J3173" t="s">
        <v>39</v>
      </c>
      <c r="K3173" s="2">
        <v>3.1</v>
      </c>
      <c r="L3173" t="s">
        <v>152</v>
      </c>
      <c r="M3173" t="s">
        <v>27</v>
      </c>
      <c r="N3173" t="s">
        <v>28</v>
      </c>
      <c r="O3173" t="s">
        <v>152</v>
      </c>
      <c r="P3173" t="s">
        <v>152</v>
      </c>
      <c r="Q3173" s="3">
        <v>26</v>
      </c>
      <c r="R3173" t="s">
        <v>34</v>
      </c>
      <c r="S3173" t="s">
        <v>77</v>
      </c>
    </row>
    <row r="3174" spans="1:19" x14ac:dyDescent="0.25">
      <c r="A3174">
        <v>3173</v>
      </c>
      <c r="B3174">
        <v>57</v>
      </c>
      <c r="C3174" t="s">
        <v>153</v>
      </c>
      <c r="D3174" t="s">
        <v>125</v>
      </c>
      <c r="E3174" t="s">
        <v>21</v>
      </c>
      <c r="F3174" s="1">
        <v>52</v>
      </c>
      <c r="G3174" t="s">
        <v>70</v>
      </c>
      <c r="H3174" t="s">
        <v>45</v>
      </c>
      <c r="I3174" t="s">
        <v>79</v>
      </c>
      <c r="J3174" t="s">
        <v>58</v>
      </c>
      <c r="K3174" s="2">
        <v>3.7</v>
      </c>
      <c r="L3174" t="s">
        <v>152</v>
      </c>
      <c r="M3174" t="s">
        <v>29</v>
      </c>
      <c r="N3174" t="s">
        <v>55</v>
      </c>
      <c r="O3174" t="s">
        <v>152</v>
      </c>
      <c r="P3174" t="s">
        <v>152</v>
      </c>
      <c r="Q3174" s="3">
        <v>30</v>
      </c>
      <c r="R3174" t="s">
        <v>59</v>
      </c>
      <c r="S3174" t="s">
        <v>77</v>
      </c>
    </row>
    <row r="3175" spans="1:19" x14ac:dyDescent="0.25">
      <c r="A3175">
        <v>3174</v>
      </c>
      <c r="B3175">
        <v>69</v>
      </c>
      <c r="C3175" t="s">
        <v>153</v>
      </c>
      <c r="D3175" t="s">
        <v>87</v>
      </c>
      <c r="E3175" t="s">
        <v>21</v>
      </c>
      <c r="F3175" s="1">
        <v>46</v>
      </c>
      <c r="G3175" t="s">
        <v>149</v>
      </c>
      <c r="H3175" t="s">
        <v>23</v>
      </c>
      <c r="I3175" t="s">
        <v>86</v>
      </c>
      <c r="J3175" t="s">
        <v>54</v>
      </c>
      <c r="K3175" s="2">
        <v>4.9000000000000004</v>
      </c>
      <c r="L3175" t="s">
        <v>152</v>
      </c>
      <c r="M3175" t="s">
        <v>35</v>
      </c>
      <c r="N3175" t="s">
        <v>47</v>
      </c>
      <c r="O3175" t="s">
        <v>152</v>
      </c>
      <c r="P3175" t="s">
        <v>152</v>
      </c>
      <c r="Q3175" s="3">
        <v>32</v>
      </c>
      <c r="R3175" t="s">
        <v>46</v>
      </c>
      <c r="S3175" t="s">
        <v>30</v>
      </c>
    </row>
    <row r="3176" spans="1:19" x14ac:dyDescent="0.25">
      <c r="A3176">
        <v>3175</v>
      </c>
      <c r="B3176">
        <v>45</v>
      </c>
      <c r="C3176" t="s">
        <v>153</v>
      </c>
      <c r="D3176" t="s">
        <v>95</v>
      </c>
      <c r="E3176" t="s">
        <v>21</v>
      </c>
      <c r="F3176" s="1">
        <v>52</v>
      </c>
      <c r="G3176" t="s">
        <v>101</v>
      </c>
      <c r="H3176" t="s">
        <v>23</v>
      </c>
      <c r="I3176" t="s">
        <v>121</v>
      </c>
      <c r="J3176" t="s">
        <v>25</v>
      </c>
      <c r="K3176" s="2">
        <v>3.8</v>
      </c>
      <c r="L3176" t="s">
        <v>152</v>
      </c>
      <c r="M3176" t="s">
        <v>46</v>
      </c>
      <c r="N3176" t="s">
        <v>76</v>
      </c>
      <c r="O3176" t="s">
        <v>152</v>
      </c>
      <c r="P3176" t="s">
        <v>152</v>
      </c>
      <c r="Q3176" s="3">
        <v>35</v>
      </c>
      <c r="R3176" t="s">
        <v>46</v>
      </c>
      <c r="S3176" t="s">
        <v>88</v>
      </c>
    </row>
    <row r="3177" spans="1:19" x14ac:dyDescent="0.25">
      <c r="A3177">
        <v>3176</v>
      </c>
      <c r="B3177">
        <v>35</v>
      </c>
      <c r="C3177" t="s">
        <v>153</v>
      </c>
      <c r="D3177" t="s">
        <v>125</v>
      </c>
      <c r="E3177" t="s">
        <v>21</v>
      </c>
      <c r="F3177" s="1">
        <v>42</v>
      </c>
      <c r="G3177" t="s">
        <v>139</v>
      </c>
      <c r="H3177" t="s">
        <v>45</v>
      </c>
      <c r="I3177" t="s">
        <v>33</v>
      </c>
      <c r="J3177" t="s">
        <v>58</v>
      </c>
      <c r="K3177" s="2">
        <v>3.4</v>
      </c>
      <c r="L3177" t="s">
        <v>152</v>
      </c>
      <c r="M3177" t="s">
        <v>59</v>
      </c>
      <c r="N3177" t="s">
        <v>76</v>
      </c>
      <c r="O3177" t="s">
        <v>152</v>
      </c>
      <c r="P3177" t="s">
        <v>152</v>
      </c>
      <c r="Q3177" s="3">
        <v>26</v>
      </c>
      <c r="R3177" t="s">
        <v>59</v>
      </c>
      <c r="S3177" t="s">
        <v>97</v>
      </c>
    </row>
    <row r="3178" spans="1:19" x14ac:dyDescent="0.25">
      <c r="A3178">
        <v>3177</v>
      </c>
      <c r="B3178">
        <v>36</v>
      </c>
      <c r="C3178" t="s">
        <v>153</v>
      </c>
      <c r="D3178" t="s">
        <v>42</v>
      </c>
      <c r="E3178" t="s">
        <v>43</v>
      </c>
      <c r="F3178" s="1">
        <v>37</v>
      </c>
      <c r="G3178" t="s">
        <v>74</v>
      </c>
      <c r="H3178" t="s">
        <v>92</v>
      </c>
      <c r="I3178" t="s">
        <v>49</v>
      </c>
      <c r="J3178" t="s">
        <v>39</v>
      </c>
      <c r="K3178" s="2">
        <v>4.5999999999999996</v>
      </c>
      <c r="L3178" t="s">
        <v>152</v>
      </c>
      <c r="M3178" t="s">
        <v>35</v>
      </c>
      <c r="N3178" t="s">
        <v>72</v>
      </c>
      <c r="O3178" t="s">
        <v>152</v>
      </c>
      <c r="P3178" t="s">
        <v>152</v>
      </c>
      <c r="Q3178" s="3">
        <v>39</v>
      </c>
      <c r="R3178" t="s">
        <v>27</v>
      </c>
      <c r="S3178" t="s">
        <v>88</v>
      </c>
    </row>
    <row r="3179" spans="1:19" x14ac:dyDescent="0.25">
      <c r="A3179">
        <v>3178</v>
      </c>
      <c r="B3179">
        <v>55</v>
      </c>
      <c r="C3179" t="s">
        <v>153</v>
      </c>
      <c r="D3179" t="s">
        <v>133</v>
      </c>
      <c r="E3179" t="s">
        <v>69</v>
      </c>
      <c r="F3179" s="1">
        <v>52</v>
      </c>
      <c r="G3179" t="s">
        <v>70</v>
      </c>
      <c r="H3179" t="s">
        <v>23</v>
      </c>
      <c r="I3179" t="s">
        <v>118</v>
      </c>
      <c r="J3179" t="s">
        <v>58</v>
      </c>
      <c r="K3179" s="2">
        <v>3.2</v>
      </c>
      <c r="L3179" t="s">
        <v>152</v>
      </c>
      <c r="M3179" t="s">
        <v>27</v>
      </c>
      <c r="N3179" t="s">
        <v>55</v>
      </c>
      <c r="O3179" t="s">
        <v>152</v>
      </c>
      <c r="P3179" t="s">
        <v>152</v>
      </c>
      <c r="Q3179" s="3">
        <v>31</v>
      </c>
      <c r="R3179" t="s">
        <v>27</v>
      </c>
      <c r="S3179" t="s">
        <v>88</v>
      </c>
    </row>
    <row r="3180" spans="1:19" x14ac:dyDescent="0.25">
      <c r="A3180">
        <v>3179</v>
      </c>
      <c r="B3180">
        <v>66</v>
      </c>
      <c r="C3180" t="s">
        <v>153</v>
      </c>
      <c r="D3180" t="s">
        <v>42</v>
      </c>
      <c r="E3180" t="s">
        <v>43</v>
      </c>
      <c r="F3180" s="1">
        <v>34</v>
      </c>
      <c r="G3180" t="s">
        <v>149</v>
      </c>
      <c r="H3180" t="s">
        <v>23</v>
      </c>
      <c r="I3180" t="s">
        <v>118</v>
      </c>
      <c r="J3180" t="s">
        <v>39</v>
      </c>
      <c r="K3180" s="2">
        <v>2.7</v>
      </c>
      <c r="L3180" t="s">
        <v>152</v>
      </c>
      <c r="M3180" t="s">
        <v>35</v>
      </c>
      <c r="N3180" t="s">
        <v>40</v>
      </c>
      <c r="O3180" t="s">
        <v>152</v>
      </c>
      <c r="P3180" t="s">
        <v>152</v>
      </c>
      <c r="Q3180" s="3">
        <v>28</v>
      </c>
      <c r="R3180" t="s">
        <v>27</v>
      </c>
      <c r="S3180" t="s">
        <v>50</v>
      </c>
    </row>
    <row r="3181" spans="1:19" x14ac:dyDescent="0.25">
      <c r="A3181">
        <v>3180</v>
      </c>
      <c r="B3181">
        <v>57</v>
      </c>
      <c r="C3181" t="s">
        <v>153</v>
      </c>
      <c r="D3181" t="s">
        <v>61</v>
      </c>
      <c r="E3181" t="s">
        <v>21</v>
      </c>
      <c r="F3181" s="1">
        <v>88</v>
      </c>
      <c r="G3181" t="s">
        <v>135</v>
      </c>
      <c r="H3181" t="s">
        <v>45</v>
      </c>
      <c r="I3181" t="s">
        <v>79</v>
      </c>
      <c r="J3181" t="s">
        <v>39</v>
      </c>
      <c r="K3181" s="2">
        <v>4.3</v>
      </c>
      <c r="L3181" t="s">
        <v>152</v>
      </c>
      <c r="M3181" t="s">
        <v>59</v>
      </c>
      <c r="N3181" t="s">
        <v>40</v>
      </c>
      <c r="O3181" t="s">
        <v>152</v>
      </c>
      <c r="P3181" t="s">
        <v>152</v>
      </c>
      <c r="Q3181" s="3">
        <v>12</v>
      </c>
      <c r="R3181" t="s">
        <v>59</v>
      </c>
      <c r="S3181" t="s">
        <v>77</v>
      </c>
    </row>
    <row r="3182" spans="1:19" x14ac:dyDescent="0.25">
      <c r="A3182">
        <v>3181</v>
      </c>
      <c r="B3182">
        <v>18</v>
      </c>
      <c r="C3182" t="s">
        <v>153</v>
      </c>
      <c r="D3182" t="s">
        <v>68</v>
      </c>
      <c r="E3182" t="s">
        <v>69</v>
      </c>
      <c r="F3182" s="1">
        <v>88</v>
      </c>
      <c r="G3182" t="s">
        <v>57</v>
      </c>
      <c r="H3182" t="s">
        <v>23</v>
      </c>
      <c r="I3182" t="s">
        <v>49</v>
      </c>
      <c r="J3182" t="s">
        <v>58</v>
      </c>
      <c r="K3182" s="2">
        <v>3.8</v>
      </c>
      <c r="L3182" t="s">
        <v>152</v>
      </c>
      <c r="M3182" t="s">
        <v>35</v>
      </c>
      <c r="N3182" t="s">
        <v>55</v>
      </c>
      <c r="O3182" t="s">
        <v>152</v>
      </c>
      <c r="P3182" t="s">
        <v>152</v>
      </c>
      <c r="Q3182" s="3">
        <v>46</v>
      </c>
      <c r="R3182" t="s">
        <v>46</v>
      </c>
      <c r="S3182" t="s">
        <v>41</v>
      </c>
    </row>
    <row r="3183" spans="1:19" x14ac:dyDescent="0.25">
      <c r="A3183">
        <v>3182</v>
      </c>
      <c r="B3183">
        <v>31</v>
      </c>
      <c r="C3183" t="s">
        <v>153</v>
      </c>
      <c r="D3183" t="s">
        <v>102</v>
      </c>
      <c r="E3183" t="s">
        <v>65</v>
      </c>
      <c r="F3183" s="1">
        <v>51</v>
      </c>
      <c r="G3183" t="s">
        <v>57</v>
      </c>
      <c r="H3183" t="s">
        <v>45</v>
      </c>
      <c r="I3183" t="s">
        <v>63</v>
      </c>
      <c r="J3183" t="s">
        <v>54</v>
      </c>
      <c r="K3183" s="2">
        <v>4.4000000000000004</v>
      </c>
      <c r="L3183" t="s">
        <v>152</v>
      </c>
      <c r="M3183" t="s">
        <v>35</v>
      </c>
      <c r="N3183" t="s">
        <v>40</v>
      </c>
      <c r="O3183" t="s">
        <v>152</v>
      </c>
      <c r="P3183" t="s">
        <v>152</v>
      </c>
      <c r="Q3183" s="3">
        <v>27</v>
      </c>
      <c r="R3183" t="s">
        <v>46</v>
      </c>
      <c r="S3183" t="s">
        <v>97</v>
      </c>
    </row>
    <row r="3184" spans="1:19" x14ac:dyDescent="0.25">
      <c r="A3184">
        <v>3183</v>
      </c>
      <c r="B3184">
        <v>50</v>
      </c>
      <c r="C3184" t="s">
        <v>153</v>
      </c>
      <c r="D3184" t="s">
        <v>89</v>
      </c>
      <c r="E3184" t="s">
        <v>69</v>
      </c>
      <c r="F3184" s="1">
        <v>97</v>
      </c>
      <c r="G3184" t="s">
        <v>142</v>
      </c>
      <c r="H3184" t="s">
        <v>23</v>
      </c>
      <c r="I3184" t="s">
        <v>96</v>
      </c>
      <c r="J3184" t="s">
        <v>58</v>
      </c>
      <c r="K3184" s="2">
        <v>3.6</v>
      </c>
      <c r="L3184" t="s">
        <v>152</v>
      </c>
      <c r="M3184" t="s">
        <v>46</v>
      </c>
      <c r="N3184" t="s">
        <v>40</v>
      </c>
      <c r="O3184" t="s">
        <v>152</v>
      </c>
      <c r="P3184" t="s">
        <v>152</v>
      </c>
      <c r="Q3184" s="3">
        <v>4</v>
      </c>
      <c r="R3184" t="s">
        <v>27</v>
      </c>
      <c r="S3184" t="s">
        <v>50</v>
      </c>
    </row>
    <row r="3185" spans="1:19" x14ac:dyDescent="0.25">
      <c r="A3185">
        <v>3184</v>
      </c>
      <c r="B3185">
        <v>50</v>
      </c>
      <c r="C3185" t="s">
        <v>153</v>
      </c>
      <c r="D3185" t="s">
        <v>51</v>
      </c>
      <c r="E3185" t="s">
        <v>43</v>
      </c>
      <c r="F3185" s="1">
        <v>56</v>
      </c>
      <c r="G3185" t="s">
        <v>91</v>
      </c>
      <c r="H3185" t="s">
        <v>45</v>
      </c>
      <c r="I3185" t="s">
        <v>96</v>
      </c>
      <c r="J3185" t="s">
        <v>25</v>
      </c>
      <c r="K3185" s="2">
        <v>3.5</v>
      </c>
      <c r="L3185" t="s">
        <v>152</v>
      </c>
      <c r="M3185" t="s">
        <v>59</v>
      </c>
      <c r="N3185" t="s">
        <v>55</v>
      </c>
      <c r="O3185" t="s">
        <v>152</v>
      </c>
      <c r="P3185" t="s">
        <v>152</v>
      </c>
      <c r="Q3185" s="3">
        <v>14</v>
      </c>
      <c r="R3185" t="s">
        <v>35</v>
      </c>
      <c r="S3185" t="s">
        <v>97</v>
      </c>
    </row>
    <row r="3186" spans="1:19" x14ac:dyDescent="0.25">
      <c r="A3186">
        <v>3185</v>
      </c>
      <c r="B3186">
        <v>61</v>
      </c>
      <c r="C3186" t="s">
        <v>153</v>
      </c>
      <c r="D3186" t="s">
        <v>31</v>
      </c>
      <c r="E3186" t="s">
        <v>21</v>
      </c>
      <c r="F3186" s="1">
        <v>53</v>
      </c>
      <c r="G3186" t="s">
        <v>78</v>
      </c>
      <c r="H3186" t="s">
        <v>23</v>
      </c>
      <c r="I3186" t="s">
        <v>96</v>
      </c>
      <c r="J3186" t="s">
        <v>39</v>
      </c>
      <c r="K3186" s="2">
        <v>4.2</v>
      </c>
      <c r="L3186" t="s">
        <v>152</v>
      </c>
      <c r="M3186" t="s">
        <v>27</v>
      </c>
      <c r="N3186" t="s">
        <v>72</v>
      </c>
      <c r="O3186" t="s">
        <v>152</v>
      </c>
      <c r="P3186" t="s">
        <v>152</v>
      </c>
      <c r="Q3186" s="3">
        <v>30</v>
      </c>
      <c r="R3186" t="s">
        <v>29</v>
      </c>
      <c r="S3186" t="s">
        <v>60</v>
      </c>
    </row>
    <row r="3187" spans="1:19" x14ac:dyDescent="0.25">
      <c r="A3187">
        <v>3186</v>
      </c>
      <c r="B3187">
        <v>52</v>
      </c>
      <c r="C3187" t="s">
        <v>153</v>
      </c>
      <c r="D3187" t="s">
        <v>87</v>
      </c>
      <c r="E3187" t="s">
        <v>21</v>
      </c>
      <c r="F3187" s="1">
        <v>71</v>
      </c>
      <c r="G3187" t="s">
        <v>123</v>
      </c>
      <c r="H3187" t="s">
        <v>23</v>
      </c>
      <c r="I3187" t="s">
        <v>81</v>
      </c>
      <c r="J3187" t="s">
        <v>58</v>
      </c>
      <c r="K3187" s="2">
        <v>4.7</v>
      </c>
      <c r="L3187" t="s">
        <v>152</v>
      </c>
      <c r="M3187" t="s">
        <v>27</v>
      </c>
      <c r="N3187" t="s">
        <v>28</v>
      </c>
      <c r="O3187" t="s">
        <v>152</v>
      </c>
      <c r="P3187" t="s">
        <v>152</v>
      </c>
      <c r="Q3187" s="3">
        <v>6</v>
      </c>
      <c r="R3187" t="s">
        <v>46</v>
      </c>
      <c r="S3187" t="s">
        <v>50</v>
      </c>
    </row>
    <row r="3188" spans="1:19" x14ac:dyDescent="0.25">
      <c r="A3188">
        <v>3187</v>
      </c>
      <c r="B3188">
        <v>38</v>
      </c>
      <c r="C3188" t="s">
        <v>153</v>
      </c>
      <c r="D3188" t="s">
        <v>106</v>
      </c>
      <c r="E3188" t="s">
        <v>69</v>
      </c>
      <c r="F3188" s="1">
        <v>93</v>
      </c>
      <c r="G3188" t="s">
        <v>141</v>
      </c>
      <c r="H3188" t="s">
        <v>38</v>
      </c>
      <c r="I3188" t="s">
        <v>109</v>
      </c>
      <c r="J3188" t="s">
        <v>25</v>
      </c>
      <c r="K3188" s="2">
        <v>4.8</v>
      </c>
      <c r="L3188" t="s">
        <v>152</v>
      </c>
      <c r="M3188" t="s">
        <v>46</v>
      </c>
      <c r="N3188" t="s">
        <v>76</v>
      </c>
      <c r="O3188" t="s">
        <v>152</v>
      </c>
      <c r="P3188" t="s">
        <v>152</v>
      </c>
      <c r="Q3188" s="3">
        <v>43</v>
      </c>
      <c r="R3188" t="s">
        <v>29</v>
      </c>
      <c r="S3188" t="s">
        <v>50</v>
      </c>
    </row>
    <row r="3189" spans="1:19" x14ac:dyDescent="0.25">
      <c r="A3189">
        <v>3188</v>
      </c>
      <c r="B3189">
        <v>67</v>
      </c>
      <c r="C3189" t="s">
        <v>153</v>
      </c>
      <c r="D3189" t="s">
        <v>20</v>
      </c>
      <c r="E3189" t="s">
        <v>21</v>
      </c>
      <c r="F3189" s="1">
        <v>72</v>
      </c>
      <c r="G3189" t="s">
        <v>105</v>
      </c>
      <c r="H3189" t="s">
        <v>23</v>
      </c>
      <c r="I3189" t="s">
        <v>126</v>
      </c>
      <c r="J3189" t="s">
        <v>25</v>
      </c>
      <c r="K3189" s="2">
        <v>3.2</v>
      </c>
      <c r="L3189" t="s">
        <v>152</v>
      </c>
      <c r="M3189" t="s">
        <v>27</v>
      </c>
      <c r="N3189" t="s">
        <v>40</v>
      </c>
      <c r="O3189" t="s">
        <v>152</v>
      </c>
      <c r="P3189" t="s">
        <v>152</v>
      </c>
      <c r="Q3189" s="3">
        <v>28</v>
      </c>
      <c r="R3189" t="s">
        <v>59</v>
      </c>
      <c r="S3189" t="s">
        <v>41</v>
      </c>
    </row>
    <row r="3190" spans="1:19" x14ac:dyDescent="0.25">
      <c r="A3190">
        <v>3189</v>
      </c>
      <c r="B3190">
        <v>42</v>
      </c>
      <c r="C3190" t="s">
        <v>153</v>
      </c>
      <c r="D3190" t="s">
        <v>20</v>
      </c>
      <c r="E3190" t="s">
        <v>21</v>
      </c>
      <c r="F3190" s="1">
        <v>59</v>
      </c>
      <c r="G3190" t="s">
        <v>129</v>
      </c>
      <c r="H3190" t="s">
        <v>45</v>
      </c>
      <c r="I3190" t="s">
        <v>93</v>
      </c>
      <c r="J3190" t="s">
        <v>25</v>
      </c>
      <c r="K3190" s="2">
        <v>3.5</v>
      </c>
      <c r="L3190" t="s">
        <v>152</v>
      </c>
      <c r="M3190" t="s">
        <v>29</v>
      </c>
      <c r="N3190" t="s">
        <v>55</v>
      </c>
      <c r="O3190" t="s">
        <v>152</v>
      </c>
      <c r="P3190" t="s">
        <v>152</v>
      </c>
      <c r="Q3190" s="3">
        <v>39</v>
      </c>
      <c r="R3190" t="s">
        <v>34</v>
      </c>
      <c r="S3190" t="s">
        <v>88</v>
      </c>
    </row>
    <row r="3191" spans="1:19" x14ac:dyDescent="0.25">
      <c r="A3191">
        <v>3190</v>
      </c>
      <c r="B3191">
        <v>25</v>
      </c>
      <c r="C3191" t="s">
        <v>153</v>
      </c>
      <c r="D3191" t="s">
        <v>137</v>
      </c>
      <c r="E3191" t="s">
        <v>43</v>
      </c>
      <c r="F3191" s="1">
        <v>87</v>
      </c>
      <c r="G3191" t="s">
        <v>111</v>
      </c>
      <c r="H3191" t="s">
        <v>45</v>
      </c>
      <c r="I3191" t="s">
        <v>118</v>
      </c>
      <c r="J3191" t="s">
        <v>54</v>
      </c>
      <c r="K3191" s="2">
        <v>4.2</v>
      </c>
      <c r="L3191" t="s">
        <v>152</v>
      </c>
      <c r="M3191" t="s">
        <v>46</v>
      </c>
      <c r="N3191" t="s">
        <v>76</v>
      </c>
      <c r="O3191" t="s">
        <v>152</v>
      </c>
      <c r="P3191" t="s">
        <v>152</v>
      </c>
      <c r="Q3191" s="3">
        <v>30</v>
      </c>
      <c r="R3191" t="s">
        <v>46</v>
      </c>
      <c r="S3191" t="s">
        <v>77</v>
      </c>
    </row>
    <row r="3192" spans="1:19" x14ac:dyDescent="0.25">
      <c r="A3192">
        <v>3191</v>
      </c>
      <c r="B3192">
        <v>41</v>
      </c>
      <c r="C3192" t="s">
        <v>153</v>
      </c>
      <c r="D3192" t="s">
        <v>36</v>
      </c>
      <c r="E3192" t="s">
        <v>21</v>
      </c>
      <c r="F3192" s="1">
        <v>78</v>
      </c>
      <c r="G3192" t="s">
        <v>99</v>
      </c>
      <c r="H3192" t="s">
        <v>38</v>
      </c>
      <c r="I3192" t="s">
        <v>75</v>
      </c>
      <c r="J3192" t="s">
        <v>58</v>
      </c>
      <c r="K3192" s="2">
        <v>3.4</v>
      </c>
      <c r="L3192" t="s">
        <v>152</v>
      </c>
      <c r="M3192" t="s">
        <v>34</v>
      </c>
      <c r="N3192" t="s">
        <v>40</v>
      </c>
      <c r="O3192" t="s">
        <v>152</v>
      </c>
      <c r="P3192" t="s">
        <v>152</v>
      </c>
      <c r="Q3192" s="3">
        <v>5</v>
      </c>
      <c r="R3192" t="s">
        <v>27</v>
      </c>
      <c r="S3192" t="s">
        <v>30</v>
      </c>
    </row>
    <row r="3193" spans="1:19" x14ac:dyDescent="0.25">
      <c r="A3193">
        <v>3192</v>
      </c>
      <c r="B3193">
        <v>62</v>
      </c>
      <c r="C3193" t="s">
        <v>153</v>
      </c>
      <c r="D3193" t="s">
        <v>104</v>
      </c>
      <c r="E3193" t="s">
        <v>21</v>
      </c>
      <c r="F3193" s="1">
        <v>68</v>
      </c>
      <c r="G3193" t="s">
        <v>91</v>
      </c>
      <c r="H3193" t="s">
        <v>92</v>
      </c>
      <c r="I3193" t="s">
        <v>33</v>
      </c>
      <c r="J3193" t="s">
        <v>25</v>
      </c>
      <c r="K3193" s="2">
        <v>4.7</v>
      </c>
      <c r="L3193" t="s">
        <v>152</v>
      </c>
      <c r="M3193" t="s">
        <v>34</v>
      </c>
      <c r="N3193" t="s">
        <v>76</v>
      </c>
      <c r="O3193" t="s">
        <v>152</v>
      </c>
      <c r="P3193" t="s">
        <v>152</v>
      </c>
      <c r="Q3193" s="3">
        <v>42</v>
      </c>
      <c r="R3193" t="s">
        <v>27</v>
      </c>
      <c r="S3193" t="s">
        <v>97</v>
      </c>
    </row>
    <row r="3194" spans="1:19" x14ac:dyDescent="0.25">
      <c r="A3194">
        <v>3193</v>
      </c>
      <c r="B3194">
        <v>19</v>
      </c>
      <c r="C3194" t="s">
        <v>153</v>
      </c>
      <c r="D3194" t="s">
        <v>31</v>
      </c>
      <c r="E3194" t="s">
        <v>21</v>
      </c>
      <c r="F3194" s="1">
        <v>76</v>
      </c>
      <c r="G3194" t="s">
        <v>146</v>
      </c>
      <c r="H3194" t="s">
        <v>38</v>
      </c>
      <c r="I3194" t="s">
        <v>33</v>
      </c>
      <c r="J3194" t="s">
        <v>58</v>
      </c>
      <c r="K3194" s="2">
        <v>3</v>
      </c>
      <c r="L3194" t="s">
        <v>152</v>
      </c>
      <c r="M3194" t="s">
        <v>27</v>
      </c>
      <c r="N3194" t="s">
        <v>40</v>
      </c>
      <c r="O3194" t="s">
        <v>152</v>
      </c>
      <c r="P3194" t="s">
        <v>152</v>
      </c>
      <c r="Q3194" s="3">
        <v>20</v>
      </c>
      <c r="R3194" t="s">
        <v>35</v>
      </c>
      <c r="S3194" t="s">
        <v>30</v>
      </c>
    </row>
    <row r="3195" spans="1:19" x14ac:dyDescent="0.25">
      <c r="A3195">
        <v>3194</v>
      </c>
      <c r="B3195">
        <v>63</v>
      </c>
      <c r="C3195" t="s">
        <v>153</v>
      </c>
      <c r="D3195" t="s">
        <v>143</v>
      </c>
      <c r="E3195" t="s">
        <v>69</v>
      </c>
      <c r="F3195" s="1">
        <v>99</v>
      </c>
      <c r="G3195" t="s">
        <v>141</v>
      </c>
      <c r="H3195" t="s">
        <v>23</v>
      </c>
      <c r="I3195" t="s">
        <v>86</v>
      </c>
      <c r="J3195" t="s">
        <v>25</v>
      </c>
      <c r="K3195" s="2">
        <v>4</v>
      </c>
      <c r="L3195" t="s">
        <v>152</v>
      </c>
      <c r="M3195" t="s">
        <v>46</v>
      </c>
      <c r="N3195" t="s">
        <v>28</v>
      </c>
      <c r="O3195" t="s">
        <v>152</v>
      </c>
      <c r="P3195" t="s">
        <v>152</v>
      </c>
      <c r="Q3195" s="3">
        <v>35</v>
      </c>
      <c r="R3195" t="s">
        <v>27</v>
      </c>
      <c r="S3195" t="s">
        <v>30</v>
      </c>
    </row>
    <row r="3196" spans="1:19" x14ac:dyDescent="0.25">
      <c r="A3196">
        <v>3195</v>
      </c>
      <c r="B3196">
        <v>43</v>
      </c>
      <c r="C3196" t="s">
        <v>153</v>
      </c>
      <c r="D3196" t="s">
        <v>51</v>
      </c>
      <c r="E3196" t="s">
        <v>43</v>
      </c>
      <c r="F3196" s="1">
        <v>52</v>
      </c>
      <c r="G3196" t="s">
        <v>128</v>
      </c>
      <c r="H3196" t="s">
        <v>23</v>
      </c>
      <c r="I3196" t="s">
        <v>81</v>
      </c>
      <c r="J3196" t="s">
        <v>54</v>
      </c>
      <c r="K3196" s="2">
        <v>4.5999999999999996</v>
      </c>
      <c r="L3196" t="s">
        <v>152</v>
      </c>
      <c r="M3196" t="s">
        <v>59</v>
      </c>
      <c r="N3196" t="s">
        <v>55</v>
      </c>
      <c r="O3196" t="s">
        <v>152</v>
      </c>
      <c r="P3196" t="s">
        <v>152</v>
      </c>
      <c r="Q3196" s="3">
        <v>10</v>
      </c>
      <c r="R3196" t="s">
        <v>27</v>
      </c>
      <c r="S3196" t="s">
        <v>77</v>
      </c>
    </row>
    <row r="3197" spans="1:19" x14ac:dyDescent="0.25">
      <c r="A3197">
        <v>3196</v>
      </c>
      <c r="B3197">
        <v>68</v>
      </c>
      <c r="C3197" t="s">
        <v>153</v>
      </c>
      <c r="D3197" t="s">
        <v>89</v>
      </c>
      <c r="E3197" t="s">
        <v>69</v>
      </c>
      <c r="F3197" s="1">
        <v>58</v>
      </c>
      <c r="G3197" t="s">
        <v>70</v>
      </c>
      <c r="H3197" t="s">
        <v>38</v>
      </c>
      <c r="I3197" t="s">
        <v>108</v>
      </c>
      <c r="J3197" t="s">
        <v>39</v>
      </c>
      <c r="K3197" s="2">
        <v>4.9000000000000004</v>
      </c>
      <c r="L3197" t="s">
        <v>152</v>
      </c>
      <c r="M3197" t="s">
        <v>59</v>
      </c>
      <c r="N3197" t="s">
        <v>47</v>
      </c>
      <c r="O3197" t="s">
        <v>152</v>
      </c>
      <c r="P3197" t="s">
        <v>152</v>
      </c>
      <c r="Q3197" s="3">
        <v>36</v>
      </c>
      <c r="R3197" t="s">
        <v>27</v>
      </c>
      <c r="S3197" t="s">
        <v>60</v>
      </c>
    </row>
    <row r="3198" spans="1:19" x14ac:dyDescent="0.25">
      <c r="A3198">
        <v>3197</v>
      </c>
      <c r="B3198">
        <v>24</v>
      </c>
      <c r="C3198" t="s">
        <v>153</v>
      </c>
      <c r="D3198" t="s">
        <v>133</v>
      </c>
      <c r="E3198" t="s">
        <v>69</v>
      </c>
      <c r="F3198" s="1">
        <v>59</v>
      </c>
      <c r="G3198" t="s">
        <v>150</v>
      </c>
      <c r="H3198" t="s">
        <v>23</v>
      </c>
      <c r="I3198" t="s">
        <v>33</v>
      </c>
      <c r="J3198" t="s">
        <v>25</v>
      </c>
      <c r="K3198" s="2">
        <v>2.8</v>
      </c>
      <c r="L3198" t="s">
        <v>152</v>
      </c>
      <c r="M3198" t="s">
        <v>59</v>
      </c>
      <c r="N3198" t="s">
        <v>28</v>
      </c>
      <c r="O3198" t="s">
        <v>152</v>
      </c>
      <c r="P3198" t="s">
        <v>152</v>
      </c>
      <c r="Q3198" s="3">
        <v>21</v>
      </c>
      <c r="R3198" t="s">
        <v>59</v>
      </c>
      <c r="S3198" t="s">
        <v>30</v>
      </c>
    </row>
    <row r="3199" spans="1:19" x14ac:dyDescent="0.25">
      <c r="A3199">
        <v>3198</v>
      </c>
      <c r="B3199">
        <v>27</v>
      </c>
      <c r="C3199" t="s">
        <v>153</v>
      </c>
      <c r="D3199" t="s">
        <v>31</v>
      </c>
      <c r="E3199" t="s">
        <v>21</v>
      </c>
      <c r="F3199" s="1">
        <v>71</v>
      </c>
      <c r="G3199" t="s">
        <v>32</v>
      </c>
      <c r="H3199" t="s">
        <v>45</v>
      </c>
      <c r="I3199" t="s">
        <v>86</v>
      </c>
      <c r="J3199" t="s">
        <v>39</v>
      </c>
      <c r="K3199" s="2">
        <v>3.2</v>
      </c>
      <c r="L3199" t="s">
        <v>152</v>
      </c>
      <c r="M3199" t="s">
        <v>34</v>
      </c>
      <c r="N3199" t="s">
        <v>40</v>
      </c>
      <c r="O3199" t="s">
        <v>152</v>
      </c>
      <c r="P3199" t="s">
        <v>152</v>
      </c>
      <c r="Q3199" s="3">
        <v>29</v>
      </c>
      <c r="R3199" t="s">
        <v>27</v>
      </c>
      <c r="S3199" t="s">
        <v>97</v>
      </c>
    </row>
    <row r="3200" spans="1:19" x14ac:dyDescent="0.25">
      <c r="A3200">
        <v>3199</v>
      </c>
      <c r="B3200">
        <v>61</v>
      </c>
      <c r="C3200" t="s">
        <v>153</v>
      </c>
      <c r="D3200" t="s">
        <v>143</v>
      </c>
      <c r="E3200" t="s">
        <v>69</v>
      </c>
      <c r="F3200" s="1">
        <v>94</v>
      </c>
      <c r="G3200" t="s">
        <v>138</v>
      </c>
      <c r="H3200" t="s">
        <v>23</v>
      </c>
      <c r="I3200" t="s">
        <v>100</v>
      </c>
      <c r="J3200" t="s">
        <v>25</v>
      </c>
      <c r="K3200" s="2">
        <v>2.8</v>
      </c>
      <c r="L3200" t="s">
        <v>152</v>
      </c>
      <c r="M3200" t="s">
        <v>35</v>
      </c>
      <c r="N3200" t="s">
        <v>40</v>
      </c>
      <c r="O3200" t="s">
        <v>152</v>
      </c>
      <c r="P3200" t="s">
        <v>152</v>
      </c>
      <c r="Q3200" s="3">
        <v>39</v>
      </c>
      <c r="R3200" t="s">
        <v>59</v>
      </c>
      <c r="S3200" t="s">
        <v>41</v>
      </c>
    </row>
    <row r="3201" spans="1:19" x14ac:dyDescent="0.25">
      <c r="A3201">
        <v>3200</v>
      </c>
      <c r="B3201">
        <v>59</v>
      </c>
      <c r="C3201" t="s">
        <v>153</v>
      </c>
      <c r="D3201" t="s">
        <v>68</v>
      </c>
      <c r="E3201" t="s">
        <v>69</v>
      </c>
      <c r="F3201" s="1">
        <v>40</v>
      </c>
      <c r="G3201" t="s">
        <v>32</v>
      </c>
      <c r="H3201" t="s">
        <v>92</v>
      </c>
      <c r="I3201" t="s">
        <v>71</v>
      </c>
      <c r="J3201" t="s">
        <v>25</v>
      </c>
      <c r="K3201" s="2">
        <v>4.2</v>
      </c>
      <c r="L3201" t="s">
        <v>152</v>
      </c>
      <c r="M3201" t="s">
        <v>46</v>
      </c>
      <c r="N3201" t="s">
        <v>28</v>
      </c>
      <c r="O3201" t="s">
        <v>152</v>
      </c>
      <c r="P3201" t="s">
        <v>152</v>
      </c>
      <c r="Q3201" s="3">
        <v>16</v>
      </c>
      <c r="R3201" t="s">
        <v>46</v>
      </c>
      <c r="S3201" t="s">
        <v>88</v>
      </c>
    </row>
    <row r="3202" spans="1:19" x14ac:dyDescent="0.25">
      <c r="A3202">
        <v>3201</v>
      </c>
      <c r="B3202">
        <v>67</v>
      </c>
      <c r="C3202" t="s">
        <v>153</v>
      </c>
      <c r="D3202" t="s">
        <v>125</v>
      </c>
      <c r="E3202" t="s">
        <v>21</v>
      </c>
      <c r="F3202" s="1">
        <v>24</v>
      </c>
      <c r="G3202" t="s">
        <v>70</v>
      </c>
      <c r="H3202" t="s">
        <v>23</v>
      </c>
      <c r="I3202" t="s">
        <v>94</v>
      </c>
      <c r="J3202" t="s">
        <v>39</v>
      </c>
      <c r="K3202" s="2">
        <v>4.8</v>
      </c>
      <c r="L3202" t="s">
        <v>152</v>
      </c>
      <c r="M3202" t="s">
        <v>46</v>
      </c>
      <c r="N3202" t="s">
        <v>40</v>
      </c>
      <c r="O3202" t="s">
        <v>152</v>
      </c>
      <c r="P3202" t="s">
        <v>152</v>
      </c>
      <c r="Q3202" s="3">
        <v>32</v>
      </c>
      <c r="R3202" t="s">
        <v>27</v>
      </c>
      <c r="S3202" t="s">
        <v>88</v>
      </c>
    </row>
    <row r="3203" spans="1:19" x14ac:dyDescent="0.25">
      <c r="A3203">
        <v>3202</v>
      </c>
      <c r="B3203">
        <v>46</v>
      </c>
      <c r="C3203" t="s">
        <v>153</v>
      </c>
      <c r="D3203" t="s">
        <v>95</v>
      </c>
      <c r="E3203" t="s">
        <v>21</v>
      </c>
      <c r="F3203" s="1">
        <v>38</v>
      </c>
      <c r="G3203" t="s">
        <v>129</v>
      </c>
      <c r="H3203" t="s">
        <v>38</v>
      </c>
      <c r="I3203" t="s">
        <v>126</v>
      </c>
      <c r="J3203" t="s">
        <v>58</v>
      </c>
      <c r="K3203" s="2">
        <v>2.8</v>
      </c>
      <c r="L3203" t="s">
        <v>152</v>
      </c>
      <c r="M3203" t="s">
        <v>27</v>
      </c>
      <c r="N3203" t="s">
        <v>72</v>
      </c>
      <c r="O3203" t="s">
        <v>152</v>
      </c>
      <c r="P3203" t="s">
        <v>152</v>
      </c>
      <c r="Q3203" s="3">
        <v>34</v>
      </c>
      <c r="R3203" t="s">
        <v>35</v>
      </c>
      <c r="S3203" t="s">
        <v>88</v>
      </c>
    </row>
    <row r="3204" spans="1:19" x14ac:dyDescent="0.25">
      <c r="A3204">
        <v>3203</v>
      </c>
      <c r="B3204">
        <v>65</v>
      </c>
      <c r="C3204" t="s">
        <v>153</v>
      </c>
      <c r="D3204" t="s">
        <v>119</v>
      </c>
      <c r="E3204" t="s">
        <v>69</v>
      </c>
      <c r="F3204" s="1">
        <v>37</v>
      </c>
      <c r="G3204" t="s">
        <v>150</v>
      </c>
      <c r="H3204" t="s">
        <v>23</v>
      </c>
      <c r="I3204" t="s">
        <v>96</v>
      </c>
      <c r="J3204" t="s">
        <v>58</v>
      </c>
      <c r="K3204" s="2">
        <v>4.5</v>
      </c>
      <c r="L3204" t="s">
        <v>152</v>
      </c>
      <c r="M3204" t="s">
        <v>34</v>
      </c>
      <c r="N3204" t="s">
        <v>55</v>
      </c>
      <c r="O3204" t="s">
        <v>152</v>
      </c>
      <c r="P3204" t="s">
        <v>152</v>
      </c>
      <c r="Q3204" s="3">
        <v>38</v>
      </c>
      <c r="R3204" t="s">
        <v>29</v>
      </c>
      <c r="S3204" t="s">
        <v>50</v>
      </c>
    </row>
    <row r="3205" spans="1:19" x14ac:dyDescent="0.25">
      <c r="A3205">
        <v>3204</v>
      </c>
      <c r="B3205">
        <v>63</v>
      </c>
      <c r="C3205" t="s">
        <v>153</v>
      </c>
      <c r="D3205" t="s">
        <v>64</v>
      </c>
      <c r="E3205" t="s">
        <v>65</v>
      </c>
      <c r="F3205" s="1">
        <v>29</v>
      </c>
      <c r="G3205" t="s">
        <v>127</v>
      </c>
      <c r="H3205" t="s">
        <v>23</v>
      </c>
      <c r="I3205" t="s">
        <v>86</v>
      </c>
      <c r="J3205" t="s">
        <v>39</v>
      </c>
      <c r="K3205" s="2">
        <v>4.0999999999999996</v>
      </c>
      <c r="L3205" t="s">
        <v>152</v>
      </c>
      <c r="M3205" t="s">
        <v>35</v>
      </c>
      <c r="N3205" t="s">
        <v>28</v>
      </c>
      <c r="O3205" t="s">
        <v>152</v>
      </c>
      <c r="P3205" t="s">
        <v>152</v>
      </c>
      <c r="Q3205" s="3">
        <v>14</v>
      </c>
      <c r="R3205" t="s">
        <v>29</v>
      </c>
      <c r="S3205" t="s">
        <v>50</v>
      </c>
    </row>
    <row r="3206" spans="1:19" x14ac:dyDescent="0.25">
      <c r="A3206">
        <v>3205</v>
      </c>
      <c r="B3206">
        <v>57</v>
      </c>
      <c r="C3206" t="s">
        <v>153</v>
      </c>
      <c r="D3206" t="s">
        <v>102</v>
      </c>
      <c r="E3206" t="s">
        <v>65</v>
      </c>
      <c r="F3206" s="1">
        <v>92</v>
      </c>
      <c r="G3206" t="s">
        <v>130</v>
      </c>
      <c r="H3206" t="s">
        <v>92</v>
      </c>
      <c r="I3206" t="s">
        <v>93</v>
      </c>
      <c r="J3206" t="s">
        <v>58</v>
      </c>
      <c r="K3206" s="2">
        <v>4.3</v>
      </c>
      <c r="L3206" t="s">
        <v>152</v>
      </c>
      <c r="M3206" t="s">
        <v>27</v>
      </c>
      <c r="N3206" t="s">
        <v>40</v>
      </c>
      <c r="O3206" t="s">
        <v>152</v>
      </c>
      <c r="P3206" t="s">
        <v>152</v>
      </c>
      <c r="Q3206" s="3">
        <v>23</v>
      </c>
      <c r="R3206" t="s">
        <v>59</v>
      </c>
      <c r="S3206" t="s">
        <v>77</v>
      </c>
    </row>
    <row r="3207" spans="1:19" x14ac:dyDescent="0.25">
      <c r="A3207">
        <v>3206</v>
      </c>
      <c r="B3207">
        <v>40</v>
      </c>
      <c r="C3207" t="s">
        <v>153</v>
      </c>
      <c r="D3207" t="s">
        <v>104</v>
      </c>
      <c r="E3207" t="s">
        <v>21</v>
      </c>
      <c r="F3207" s="1">
        <v>24</v>
      </c>
      <c r="G3207" t="s">
        <v>112</v>
      </c>
      <c r="H3207" t="s">
        <v>92</v>
      </c>
      <c r="I3207" t="s">
        <v>136</v>
      </c>
      <c r="J3207" t="s">
        <v>58</v>
      </c>
      <c r="K3207" s="2">
        <v>4.4000000000000004</v>
      </c>
      <c r="L3207" t="s">
        <v>152</v>
      </c>
      <c r="M3207" t="s">
        <v>59</v>
      </c>
      <c r="N3207" t="s">
        <v>72</v>
      </c>
      <c r="O3207" t="s">
        <v>152</v>
      </c>
      <c r="P3207" t="s">
        <v>152</v>
      </c>
      <c r="Q3207" s="3">
        <v>50</v>
      </c>
      <c r="R3207" t="s">
        <v>34</v>
      </c>
      <c r="S3207" t="s">
        <v>97</v>
      </c>
    </row>
    <row r="3208" spans="1:19" x14ac:dyDescent="0.25">
      <c r="A3208">
        <v>3207</v>
      </c>
      <c r="B3208">
        <v>36</v>
      </c>
      <c r="C3208" t="s">
        <v>153</v>
      </c>
      <c r="D3208" t="s">
        <v>137</v>
      </c>
      <c r="E3208" t="s">
        <v>43</v>
      </c>
      <c r="F3208" s="1">
        <v>52</v>
      </c>
      <c r="G3208" t="s">
        <v>99</v>
      </c>
      <c r="H3208" t="s">
        <v>45</v>
      </c>
      <c r="I3208" t="s">
        <v>110</v>
      </c>
      <c r="J3208" t="s">
        <v>25</v>
      </c>
      <c r="K3208" s="2">
        <v>3</v>
      </c>
      <c r="L3208" t="s">
        <v>152</v>
      </c>
      <c r="M3208" t="s">
        <v>59</v>
      </c>
      <c r="N3208" t="s">
        <v>40</v>
      </c>
      <c r="O3208" t="s">
        <v>152</v>
      </c>
      <c r="P3208" t="s">
        <v>152</v>
      </c>
      <c r="Q3208" s="3">
        <v>49</v>
      </c>
      <c r="R3208" t="s">
        <v>46</v>
      </c>
      <c r="S3208" t="s">
        <v>88</v>
      </c>
    </row>
    <row r="3209" spans="1:19" x14ac:dyDescent="0.25">
      <c r="A3209">
        <v>3208</v>
      </c>
      <c r="B3209">
        <v>67</v>
      </c>
      <c r="C3209" t="s">
        <v>153</v>
      </c>
      <c r="D3209" t="s">
        <v>125</v>
      </c>
      <c r="E3209" t="s">
        <v>21</v>
      </c>
      <c r="F3209" s="1">
        <v>29</v>
      </c>
      <c r="G3209" t="s">
        <v>117</v>
      </c>
      <c r="H3209" t="s">
        <v>92</v>
      </c>
      <c r="I3209" t="s">
        <v>118</v>
      </c>
      <c r="J3209" t="s">
        <v>54</v>
      </c>
      <c r="K3209" s="2">
        <v>2.7</v>
      </c>
      <c r="L3209" t="s">
        <v>152</v>
      </c>
      <c r="M3209" t="s">
        <v>59</v>
      </c>
      <c r="N3209" t="s">
        <v>47</v>
      </c>
      <c r="O3209" t="s">
        <v>152</v>
      </c>
      <c r="P3209" t="s">
        <v>152</v>
      </c>
      <c r="Q3209" s="3">
        <v>14</v>
      </c>
      <c r="R3209" t="s">
        <v>46</v>
      </c>
      <c r="S3209" t="s">
        <v>50</v>
      </c>
    </row>
    <row r="3210" spans="1:19" x14ac:dyDescent="0.25">
      <c r="A3210">
        <v>3209</v>
      </c>
      <c r="B3210">
        <v>61</v>
      </c>
      <c r="C3210" t="s">
        <v>153</v>
      </c>
      <c r="D3210" t="s">
        <v>106</v>
      </c>
      <c r="E3210" t="s">
        <v>69</v>
      </c>
      <c r="F3210" s="1">
        <v>30</v>
      </c>
      <c r="G3210" t="s">
        <v>116</v>
      </c>
      <c r="H3210" t="s">
        <v>23</v>
      </c>
      <c r="I3210" t="s">
        <v>126</v>
      </c>
      <c r="J3210" t="s">
        <v>25</v>
      </c>
      <c r="K3210" s="2">
        <v>3.3</v>
      </c>
      <c r="L3210" t="s">
        <v>152</v>
      </c>
      <c r="M3210" t="s">
        <v>46</v>
      </c>
      <c r="N3210" t="s">
        <v>72</v>
      </c>
      <c r="O3210" t="s">
        <v>152</v>
      </c>
      <c r="P3210" t="s">
        <v>152</v>
      </c>
      <c r="Q3210" s="3">
        <v>42</v>
      </c>
      <c r="R3210" t="s">
        <v>46</v>
      </c>
      <c r="S3210" t="s">
        <v>41</v>
      </c>
    </row>
    <row r="3211" spans="1:19" x14ac:dyDescent="0.25">
      <c r="A3211">
        <v>3210</v>
      </c>
      <c r="B3211">
        <v>64</v>
      </c>
      <c r="C3211" t="s">
        <v>153</v>
      </c>
      <c r="D3211" t="s">
        <v>73</v>
      </c>
      <c r="E3211" t="s">
        <v>43</v>
      </c>
      <c r="F3211" s="1">
        <v>31</v>
      </c>
      <c r="G3211" t="s">
        <v>74</v>
      </c>
      <c r="H3211" t="s">
        <v>23</v>
      </c>
      <c r="I3211" t="s">
        <v>100</v>
      </c>
      <c r="J3211" t="s">
        <v>58</v>
      </c>
      <c r="K3211" s="2">
        <v>4.3</v>
      </c>
      <c r="L3211" t="s">
        <v>152</v>
      </c>
      <c r="M3211" t="s">
        <v>34</v>
      </c>
      <c r="N3211" t="s">
        <v>55</v>
      </c>
      <c r="O3211" t="s">
        <v>152</v>
      </c>
      <c r="P3211" t="s">
        <v>152</v>
      </c>
      <c r="Q3211" s="3">
        <v>39</v>
      </c>
      <c r="R3211" t="s">
        <v>59</v>
      </c>
      <c r="S3211" t="s">
        <v>50</v>
      </c>
    </row>
    <row r="3212" spans="1:19" x14ac:dyDescent="0.25">
      <c r="A3212">
        <v>3211</v>
      </c>
      <c r="B3212">
        <v>30</v>
      </c>
      <c r="C3212" t="s">
        <v>153</v>
      </c>
      <c r="D3212" t="s">
        <v>125</v>
      </c>
      <c r="E3212" t="s">
        <v>21</v>
      </c>
      <c r="F3212" s="1">
        <v>67</v>
      </c>
      <c r="G3212" t="s">
        <v>107</v>
      </c>
      <c r="H3212" t="s">
        <v>45</v>
      </c>
      <c r="I3212" t="s">
        <v>136</v>
      </c>
      <c r="J3212" t="s">
        <v>54</v>
      </c>
      <c r="K3212" s="2">
        <v>2.9</v>
      </c>
      <c r="L3212" t="s">
        <v>152</v>
      </c>
      <c r="M3212" t="s">
        <v>59</v>
      </c>
      <c r="N3212" t="s">
        <v>28</v>
      </c>
      <c r="O3212" t="s">
        <v>152</v>
      </c>
      <c r="P3212" t="s">
        <v>152</v>
      </c>
      <c r="Q3212" s="3">
        <v>43</v>
      </c>
      <c r="R3212" t="s">
        <v>29</v>
      </c>
      <c r="S3212" t="s">
        <v>77</v>
      </c>
    </row>
    <row r="3213" spans="1:19" x14ac:dyDescent="0.25">
      <c r="A3213">
        <v>3212</v>
      </c>
      <c r="B3213">
        <v>53</v>
      </c>
      <c r="C3213" t="s">
        <v>153</v>
      </c>
      <c r="D3213" t="s">
        <v>95</v>
      </c>
      <c r="E3213" t="s">
        <v>21</v>
      </c>
      <c r="F3213" s="1">
        <v>65</v>
      </c>
      <c r="G3213" t="s">
        <v>44</v>
      </c>
      <c r="H3213" t="s">
        <v>23</v>
      </c>
      <c r="I3213" t="s">
        <v>49</v>
      </c>
      <c r="J3213" t="s">
        <v>25</v>
      </c>
      <c r="K3213" s="2">
        <v>4.9000000000000004</v>
      </c>
      <c r="L3213" t="s">
        <v>152</v>
      </c>
      <c r="M3213" t="s">
        <v>27</v>
      </c>
      <c r="N3213" t="s">
        <v>55</v>
      </c>
      <c r="O3213" t="s">
        <v>152</v>
      </c>
      <c r="P3213" t="s">
        <v>152</v>
      </c>
      <c r="Q3213" s="3">
        <v>12</v>
      </c>
      <c r="R3213" t="s">
        <v>35</v>
      </c>
      <c r="S3213" t="s">
        <v>88</v>
      </c>
    </row>
    <row r="3214" spans="1:19" x14ac:dyDescent="0.25">
      <c r="A3214">
        <v>3213</v>
      </c>
      <c r="B3214">
        <v>27</v>
      </c>
      <c r="C3214" t="s">
        <v>153</v>
      </c>
      <c r="D3214" t="s">
        <v>51</v>
      </c>
      <c r="E3214" t="s">
        <v>43</v>
      </c>
      <c r="F3214" s="1">
        <v>22</v>
      </c>
      <c r="G3214" t="s">
        <v>52</v>
      </c>
      <c r="H3214" t="s">
        <v>45</v>
      </c>
      <c r="I3214" t="s">
        <v>126</v>
      </c>
      <c r="J3214" t="s">
        <v>25</v>
      </c>
      <c r="K3214" s="2">
        <v>3.6</v>
      </c>
      <c r="L3214" t="s">
        <v>152</v>
      </c>
      <c r="M3214" t="s">
        <v>34</v>
      </c>
      <c r="N3214" t="s">
        <v>72</v>
      </c>
      <c r="O3214" t="s">
        <v>152</v>
      </c>
      <c r="P3214" t="s">
        <v>152</v>
      </c>
      <c r="Q3214" s="3">
        <v>21</v>
      </c>
      <c r="R3214" t="s">
        <v>59</v>
      </c>
      <c r="S3214" t="s">
        <v>41</v>
      </c>
    </row>
    <row r="3215" spans="1:19" x14ac:dyDescent="0.25">
      <c r="A3215">
        <v>3214</v>
      </c>
      <c r="B3215">
        <v>27</v>
      </c>
      <c r="C3215" t="s">
        <v>153</v>
      </c>
      <c r="D3215" t="s">
        <v>89</v>
      </c>
      <c r="E3215" t="s">
        <v>69</v>
      </c>
      <c r="F3215" s="1">
        <v>56</v>
      </c>
      <c r="G3215" t="s">
        <v>105</v>
      </c>
      <c r="H3215" t="s">
        <v>45</v>
      </c>
      <c r="I3215" t="s">
        <v>110</v>
      </c>
      <c r="J3215" t="s">
        <v>25</v>
      </c>
      <c r="K3215" s="2">
        <v>3.3</v>
      </c>
      <c r="L3215" t="s">
        <v>152</v>
      </c>
      <c r="M3215" t="s">
        <v>29</v>
      </c>
      <c r="N3215" t="s">
        <v>55</v>
      </c>
      <c r="O3215" t="s">
        <v>152</v>
      </c>
      <c r="P3215" t="s">
        <v>152</v>
      </c>
      <c r="Q3215" s="3">
        <v>33</v>
      </c>
      <c r="R3215" t="s">
        <v>27</v>
      </c>
      <c r="S3215" t="s">
        <v>88</v>
      </c>
    </row>
    <row r="3216" spans="1:19" x14ac:dyDescent="0.25">
      <c r="A3216">
        <v>3215</v>
      </c>
      <c r="B3216">
        <v>53</v>
      </c>
      <c r="C3216" t="s">
        <v>153</v>
      </c>
      <c r="D3216" t="s">
        <v>87</v>
      </c>
      <c r="E3216" t="s">
        <v>21</v>
      </c>
      <c r="F3216" s="1">
        <v>78</v>
      </c>
      <c r="G3216" t="s">
        <v>149</v>
      </c>
      <c r="H3216" t="s">
        <v>45</v>
      </c>
      <c r="I3216" t="s">
        <v>134</v>
      </c>
      <c r="J3216" t="s">
        <v>39</v>
      </c>
      <c r="K3216" s="2">
        <v>3.1</v>
      </c>
      <c r="L3216" t="s">
        <v>152</v>
      </c>
      <c r="M3216" t="s">
        <v>34</v>
      </c>
      <c r="N3216" t="s">
        <v>40</v>
      </c>
      <c r="O3216" t="s">
        <v>152</v>
      </c>
      <c r="P3216" t="s">
        <v>152</v>
      </c>
      <c r="Q3216" s="3">
        <v>6</v>
      </c>
      <c r="R3216" t="s">
        <v>59</v>
      </c>
      <c r="S3216" t="s">
        <v>50</v>
      </c>
    </row>
    <row r="3217" spans="1:19" x14ac:dyDescent="0.25">
      <c r="A3217">
        <v>3216</v>
      </c>
      <c r="B3217">
        <v>34</v>
      </c>
      <c r="C3217" t="s">
        <v>153</v>
      </c>
      <c r="D3217" t="s">
        <v>64</v>
      </c>
      <c r="E3217" t="s">
        <v>65</v>
      </c>
      <c r="F3217" s="1">
        <v>90</v>
      </c>
      <c r="G3217" t="s">
        <v>44</v>
      </c>
      <c r="H3217" t="s">
        <v>45</v>
      </c>
      <c r="I3217" t="s">
        <v>136</v>
      </c>
      <c r="J3217" t="s">
        <v>54</v>
      </c>
      <c r="K3217" s="2">
        <v>2.7</v>
      </c>
      <c r="L3217" t="s">
        <v>152</v>
      </c>
      <c r="M3217" t="s">
        <v>34</v>
      </c>
      <c r="N3217" t="s">
        <v>40</v>
      </c>
      <c r="O3217" t="s">
        <v>152</v>
      </c>
      <c r="P3217" t="s">
        <v>152</v>
      </c>
      <c r="Q3217" s="3">
        <v>10</v>
      </c>
      <c r="R3217" t="s">
        <v>46</v>
      </c>
      <c r="S3217" t="s">
        <v>97</v>
      </c>
    </row>
    <row r="3218" spans="1:19" x14ac:dyDescent="0.25">
      <c r="A3218">
        <v>3217</v>
      </c>
      <c r="B3218">
        <v>39</v>
      </c>
      <c r="C3218" t="s">
        <v>153</v>
      </c>
      <c r="D3218" t="s">
        <v>104</v>
      </c>
      <c r="E3218" t="s">
        <v>21</v>
      </c>
      <c r="F3218" s="1">
        <v>85</v>
      </c>
      <c r="G3218" t="s">
        <v>115</v>
      </c>
      <c r="H3218" t="s">
        <v>38</v>
      </c>
      <c r="I3218" t="s">
        <v>79</v>
      </c>
      <c r="J3218" t="s">
        <v>25</v>
      </c>
      <c r="K3218" s="2">
        <v>3.4</v>
      </c>
      <c r="L3218" t="s">
        <v>152</v>
      </c>
      <c r="M3218" t="s">
        <v>59</v>
      </c>
      <c r="N3218" t="s">
        <v>47</v>
      </c>
      <c r="O3218" t="s">
        <v>152</v>
      </c>
      <c r="P3218" t="s">
        <v>152</v>
      </c>
      <c r="Q3218" s="3">
        <v>18</v>
      </c>
      <c r="R3218" t="s">
        <v>35</v>
      </c>
      <c r="S3218" t="s">
        <v>41</v>
      </c>
    </row>
    <row r="3219" spans="1:19" x14ac:dyDescent="0.25">
      <c r="A3219">
        <v>3218</v>
      </c>
      <c r="B3219">
        <v>44</v>
      </c>
      <c r="C3219" t="s">
        <v>153</v>
      </c>
      <c r="D3219" t="s">
        <v>89</v>
      </c>
      <c r="E3219" t="s">
        <v>69</v>
      </c>
      <c r="F3219" s="1">
        <v>58</v>
      </c>
      <c r="G3219" t="s">
        <v>48</v>
      </c>
      <c r="H3219" t="s">
        <v>45</v>
      </c>
      <c r="I3219" t="s">
        <v>67</v>
      </c>
      <c r="J3219" t="s">
        <v>58</v>
      </c>
      <c r="K3219" s="2">
        <v>3.4</v>
      </c>
      <c r="L3219" t="s">
        <v>152</v>
      </c>
      <c r="M3219" t="s">
        <v>46</v>
      </c>
      <c r="N3219" t="s">
        <v>28</v>
      </c>
      <c r="O3219" t="s">
        <v>152</v>
      </c>
      <c r="P3219" t="s">
        <v>152</v>
      </c>
      <c r="Q3219" s="3">
        <v>46</v>
      </c>
      <c r="R3219" t="s">
        <v>29</v>
      </c>
      <c r="S3219" t="s">
        <v>41</v>
      </c>
    </row>
    <row r="3220" spans="1:19" x14ac:dyDescent="0.25">
      <c r="A3220">
        <v>3219</v>
      </c>
      <c r="B3220">
        <v>37</v>
      </c>
      <c r="C3220" t="s">
        <v>153</v>
      </c>
      <c r="D3220" t="s">
        <v>87</v>
      </c>
      <c r="E3220" t="s">
        <v>21</v>
      </c>
      <c r="F3220" s="1">
        <v>34</v>
      </c>
      <c r="G3220" t="s">
        <v>103</v>
      </c>
      <c r="H3220" t="s">
        <v>45</v>
      </c>
      <c r="I3220" t="s">
        <v>86</v>
      </c>
      <c r="J3220" t="s">
        <v>58</v>
      </c>
      <c r="K3220" s="2">
        <v>3.9</v>
      </c>
      <c r="L3220" t="s">
        <v>152</v>
      </c>
      <c r="M3220" t="s">
        <v>29</v>
      </c>
      <c r="N3220" t="s">
        <v>28</v>
      </c>
      <c r="O3220" t="s">
        <v>152</v>
      </c>
      <c r="P3220" t="s">
        <v>152</v>
      </c>
      <c r="Q3220" s="3">
        <v>49</v>
      </c>
      <c r="R3220" t="s">
        <v>46</v>
      </c>
      <c r="S3220" t="s">
        <v>88</v>
      </c>
    </row>
    <row r="3221" spans="1:19" x14ac:dyDescent="0.25">
      <c r="A3221">
        <v>3220</v>
      </c>
      <c r="B3221">
        <v>57</v>
      </c>
      <c r="C3221" t="s">
        <v>153</v>
      </c>
      <c r="D3221" t="s">
        <v>64</v>
      </c>
      <c r="E3221" t="s">
        <v>65</v>
      </c>
      <c r="F3221" s="1">
        <v>40</v>
      </c>
      <c r="G3221" t="s">
        <v>111</v>
      </c>
      <c r="H3221" t="s">
        <v>23</v>
      </c>
      <c r="I3221" t="s">
        <v>53</v>
      </c>
      <c r="J3221" t="s">
        <v>54</v>
      </c>
      <c r="K3221" s="2">
        <v>3.5</v>
      </c>
      <c r="L3221" t="s">
        <v>152</v>
      </c>
      <c r="M3221" t="s">
        <v>34</v>
      </c>
      <c r="N3221" t="s">
        <v>72</v>
      </c>
      <c r="O3221" t="s">
        <v>152</v>
      </c>
      <c r="P3221" t="s">
        <v>152</v>
      </c>
      <c r="Q3221" s="3">
        <v>39</v>
      </c>
      <c r="R3221" t="s">
        <v>27</v>
      </c>
      <c r="S3221" t="s">
        <v>41</v>
      </c>
    </row>
    <row r="3222" spans="1:19" x14ac:dyDescent="0.25">
      <c r="A3222">
        <v>3221</v>
      </c>
      <c r="B3222">
        <v>38</v>
      </c>
      <c r="C3222" t="s">
        <v>153</v>
      </c>
      <c r="D3222" t="s">
        <v>68</v>
      </c>
      <c r="E3222" t="s">
        <v>69</v>
      </c>
      <c r="F3222" s="1">
        <v>29</v>
      </c>
      <c r="G3222" t="s">
        <v>114</v>
      </c>
      <c r="H3222" t="s">
        <v>45</v>
      </c>
      <c r="I3222" t="s">
        <v>144</v>
      </c>
      <c r="J3222" t="s">
        <v>58</v>
      </c>
      <c r="K3222" s="2">
        <v>4.0999999999999996</v>
      </c>
      <c r="L3222" t="s">
        <v>152</v>
      </c>
      <c r="M3222" t="s">
        <v>46</v>
      </c>
      <c r="N3222" t="s">
        <v>40</v>
      </c>
      <c r="O3222" t="s">
        <v>152</v>
      </c>
      <c r="P3222" t="s">
        <v>152</v>
      </c>
      <c r="Q3222" s="3">
        <v>16</v>
      </c>
      <c r="R3222" t="s">
        <v>35</v>
      </c>
      <c r="S3222" t="s">
        <v>88</v>
      </c>
    </row>
    <row r="3223" spans="1:19" x14ac:dyDescent="0.25">
      <c r="A3223">
        <v>3222</v>
      </c>
      <c r="B3223">
        <v>21</v>
      </c>
      <c r="C3223" t="s">
        <v>153</v>
      </c>
      <c r="D3223" t="s">
        <v>113</v>
      </c>
      <c r="E3223" t="s">
        <v>21</v>
      </c>
      <c r="F3223" s="1">
        <v>76</v>
      </c>
      <c r="G3223" t="s">
        <v>83</v>
      </c>
      <c r="H3223" t="s">
        <v>45</v>
      </c>
      <c r="I3223" t="s">
        <v>134</v>
      </c>
      <c r="J3223" t="s">
        <v>25</v>
      </c>
      <c r="K3223" s="2">
        <v>3.2</v>
      </c>
      <c r="L3223" t="s">
        <v>152</v>
      </c>
      <c r="M3223" t="s">
        <v>27</v>
      </c>
      <c r="N3223" t="s">
        <v>55</v>
      </c>
      <c r="O3223" t="s">
        <v>152</v>
      </c>
      <c r="P3223" t="s">
        <v>152</v>
      </c>
      <c r="Q3223" s="3">
        <v>28</v>
      </c>
      <c r="R3223" t="s">
        <v>35</v>
      </c>
      <c r="S3223" t="s">
        <v>50</v>
      </c>
    </row>
    <row r="3224" spans="1:19" x14ac:dyDescent="0.25">
      <c r="A3224">
        <v>3223</v>
      </c>
      <c r="B3224">
        <v>45</v>
      </c>
      <c r="C3224" t="s">
        <v>153</v>
      </c>
      <c r="D3224" t="s">
        <v>89</v>
      </c>
      <c r="E3224" t="s">
        <v>69</v>
      </c>
      <c r="F3224" s="1">
        <v>84</v>
      </c>
      <c r="G3224" t="s">
        <v>105</v>
      </c>
      <c r="H3224" t="s">
        <v>38</v>
      </c>
      <c r="I3224" t="s">
        <v>33</v>
      </c>
      <c r="J3224" t="s">
        <v>58</v>
      </c>
      <c r="K3224" s="2">
        <v>4.5999999999999996</v>
      </c>
      <c r="L3224" t="s">
        <v>152</v>
      </c>
      <c r="M3224" t="s">
        <v>59</v>
      </c>
      <c r="N3224" t="s">
        <v>76</v>
      </c>
      <c r="O3224" t="s">
        <v>152</v>
      </c>
      <c r="P3224" t="s">
        <v>152</v>
      </c>
      <c r="Q3224" s="3">
        <v>22</v>
      </c>
      <c r="R3224" t="s">
        <v>46</v>
      </c>
      <c r="S3224" t="s">
        <v>60</v>
      </c>
    </row>
    <row r="3225" spans="1:19" x14ac:dyDescent="0.25">
      <c r="A3225">
        <v>3224</v>
      </c>
      <c r="B3225">
        <v>68</v>
      </c>
      <c r="C3225" t="s">
        <v>153</v>
      </c>
      <c r="D3225" t="s">
        <v>56</v>
      </c>
      <c r="E3225" t="s">
        <v>21</v>
      </c>
      <c r="F3225" s="1">
        <v>65</v>
      </c>
      <c r="G3225" t="s">
        <v>57</v>
      </c>
      <c r="H3225" t="s">
        <v>38</v>
      </c>
      <c r="I3225" t="s">
        <v>24</v>
      </c>
      <c r="J3225" t="s">
        <v>39</v>
      </c>
      <c r="K3225" s="2">
        <v>3.9</v>
      </c>
      <c r="L3225" t="s">
        <v>152</v>
      </c>
      <c r="M3225" t="s">
        <v>46</v>
      </c>
      <c r="N3225" t="s">
        <v>55</v>
      </c>
      <c r="O3225" t="s">
        <v>152</v>
      </c>
      <c r="P3225" t="s">
        <v>152</v>
      </c>
      <c r="Q3225" s="3">
        <v>36</v>
      </c>
      <c r="R3225" t="s">
        <v>29</v>
      </c>
      <c r="S3225" t="s">
        <v>77</v>
      </c>
    </row>
    <row r="3226" spans="1:19" x14ac:dyDescent="0.25">
      <c r="A3226">
        <v>3225</v>
      </c>
      <c r="B3226">
        <v>37</v>
      </c>
      <c r="C3226" t="s">
        <v>153</v>
      </c>
      <c r="D3226" t="s">
        <v>104</v>
      </c>
      <c r="E3226" t="s">
        <v>21</v>
      </c>
      <c r="F3226" s="1">
        <v>80</v>
      </c>
      <c r="G3226" t="s">
        <v>80</v>
      </c>
      <c r="H3226" t="s">
        <v>23</v>
      </c>
      <c r="I3226" t="s">
        <v>126</v>
      </c>
      <c r="J3226" t="s">
        <v>25</v>
      </c>
      <c r="K3226" s="2">
        <v>2.7</v>
      </c>
      <c r="L3226" t="s">
        <v>152</v>
      </c>
      <c r="M3226" t="s">
        <v>35</v>
      </c>
      <c r="N3226" t="s">
        <v>40</v>
      </c>
      <c r="O3226" t="s">
        <v>152</v>
      </c>
      <c r="P3226" t="s">
        <v>152</v>
      </c>
      <c r="Q3226" s="3">
        <v>18</v>
      </c>
      <c r="R3226" t="s">
        <v>46</v>
      </c>
      <c r="S3226" t="s">
        <v>88</v>
      </c>
    </row>
    <row r="3227" spans="1:19" x14ac:dyDescent="0.25">
      <c r="A3227">
        <v>3226</v>
      </c>
      <c r="B3227">
        <v>53</v>
      </c>
      <c r="C3227" t="s">
        <v>153</v>
      </c>
      <c r="D3227" t="s">
        <v>20</v>
      </c>
      <c r="E3227" t="s">
        <v>21</v>
      </c>
      <c r="F3227" s="1">
        <v>98</v>
      </c>
      <c r="G3227" t="s">
        <v>83</v>
      </c>
      <c r="H3227" t="s">
        <v>45</v>
      </c>
      <c r="I3227" t="s">
        <v>71</v>
      </c>
      <c r="J3227" t="s">
        <v>58</v>
      </c>
      <c r="K3227" s="2">
        <v>3</v>
      </c>
      <c r="L3227" t="s">
        <v>152</v>
      </c>
      <c r="M3227" t="s">
        <v>27</v>
      </c>
      <c r="N3227" t="s">
        <v>76</v>
      </c>
      <c r="O3227" t="s">
        <v>152</v>
      </c>
      <c r="P3227" t="s">
        <v>152</v>
      </c>
      <c r="Q3227" s="3">
        <v>31</v>
      </c>
      <c r="R3227" t="s">
        <v>27</v>
      </c>
      <c r="S3227" t="s">
        <v>41</v>
      </c>
    </row>
    <row r="3228" spans="1:19" x14ac:dyDescent="0.25">
      <c r="A3228">
        <v>3227</v>
      </c>
      <c r="B3228">
        <v>57</v>
      </c>
      <c r="C3228" t="s">
        <v>153</v>
      </c>
      <c r="D3228" t="s">
        <v>51</v>
      </c>
      <c r="E3228" t="s">
        <v>43</v>
      </c>
      <c r="F3228" s="1">
        <v>71</v>
      </c>
      <c r="G3228" t="s">
        <v>148</v>
      </c>
      <c r="H3228" t="s">
        <v>92</v>
      </c>
      <c r="I3228" t="s">
        <v>118</v>
      </c>
      <c r="J3228" t="s">
        <v>39</v>
      </c>
      <c r="K3228" s="2">
        <v>3.3</v>
      </c>
      <c r="L3228" t="s">
        <v>152</v>
      </c>
      <c r="M3228" t="s">
        <v>59</v>
      </c>
      <c r="N3228" t="s">
        <v>47</v>
      </c>
      <c r="O3228" t="s">
        <v>152</v>
      </c>
      <c r="P3228" t="s">
        <v>152</v>
      </c>
      <c r="Q3228" s="3">
        <v>38</v>
      </c>
      <c r="R3228" t="s">
        <v>34</v>
      </c>
      <c r="S3228" t="s">
        <v>30</v>
      </c>
    </row>
    <row r="3229" spans="1:19" x14ac:dyDescent="0.25">
      <c r="A3229">
        <v>3228</v>
      </c>
      <c r="B3229">
        <v>28</v>
      </c>
      <c r="C3229" t="s">
        <v>153</v>
      </c>
      <c r="D3229" t="s">
        <v>119</v>
      </c>
      <c r="E3229" t="s">
        <v>69</v>
      </c>
      <c r="F3229" s="1">
        <v>69</v>
      </c>
      <c r="G3229" t="s">
        <v>120</v>
      </c>
      <c r="H3229" t="s">
        <v>92</v>
      </c>
      <c r="I3229" t="s">
        <v>53</v>
      </c>
      <c r="J3229" t="s">
        <v>58</v>
      </c>
      <c r="K3229" s="2">
        <v>2.7</v>
      </c>
      <c r="L3229" t="s">
        <v>152</v>
      </c>
      <c r="M3229" t="s">
        <v>27</v>
      </c>
      <c r="N3229" t="s">
        <v>40</v>
      </c>
      <c r="O3229" t="s">
        <v>152</v>
      </c>
      <c r="P3229" t="s">
        <v>152</v>
      </c>
      <c r="Q3229" s="3">
        <v>42</v>
      </c>
      <c r="R3229" t="s">
        <v>59</v>
      </c>
      <c r="S3229" t="s">
        <v>60</v>
      </c>
    </row>
    <row r="3230" spans="1:19" x14ac:dyDescent="0.25">
      <c r="A3230">
        <v>3229</v>
      </c>
      <c r="B3230">
        <v>37</v>
      </c>
      <c r="C3230" t="s">
        <v>153</v>
      </c>
      <c r="D3230" t="s">
        <v>106</v>
      </c>
      <c r="E3230" t="s">
        <v>69</v>
      </c>
      <c r="F3230" s="1">
        <v>95</v>
      </c>
      <c r="G3230" t="s">
        <v>139</v>
      </c>
      <c r="H3230" t="s">
        <v>45</v>
      </c>
      <c r="I3230" t="s">
        <v>134</v>
      </c>
      <c r="J3230" t="s">
        <v>39</v>
      </c>
      <c r="K3230" s="2">
        <v>4.5999999999999996</v>
      </c>
      <c r="L3230" t="s">
        <v>152</v>
      </c>
      <c r="M3230" t="s">
        <v>27</v>
      </c>
      <c r="N3230" t="s">
        <v>72</v>
      </c>
      <c r="O3230" t="s">
        <v>152</v>
      </c>
      <c r="P3230" t="s">
        <v>152</v>
      </c>
      <c r="Q3230" s="3">
        <v>27</v>
      </c>
      <c r="R3230" t="s">
        <v>46</v>
      </c>
      <c r="S3230" t="s">
        <v>50</v>
      </c>
    </row>
    <row r="3231" spans="1:19" x14ac:dyDescent="0.25">
      <c r="A3231">
        <v>3230</v>
      </c>
      <c r="B3231">
        <v>54</v>
      </c>
      <c r="C3231" t="s">
        <v>153</v>
      </c>
      <c r="D3231" t="s">
        <v>95</v>
      </c>
      <c r="E3231" t="s">
        <v>21</v>
      </c>
      <c r="F3231" s="1">
        <v>67</v>
      </c>
      <c r="G3231" t="s">
        <v>139</v>
      </c>
      <c r="H3231" t="s">
        <v>45</v>
      </c>
      <c r="I3231" t="s">
        <v>86</v>
      </c>
      <c r="J3231" t="s">
        <v>58</v>
      </c>
      <c r="K3231" s="2">
        <v>2.7</v>
      </c>
      <c r="L3231" t="s">
        <v>152</v>
      </c>
      <c r="M3231" t="s">
        <v>59</v>
      </c>
      <c r="N3231" t="s">
        <v>28</v>
      </c>
      <c r="O3231" t="s">
        <v>152</v>
      </c>
      <c r="P3231" t="s">
        <v>152</v>
      </c>
      <c r="Q3231" s="3">
        <v>24</v>
      </c>
      <c r="R3231" t="s">
        <v>35</v>
      </c>
      <c r="S3231" t="s">
        <v>88</v>
      </c>
    </row>
    <row r="3232" spans="1:19" x14ac:dyDescent="0.25">
      <c r="A3232">
        <v>3231</v>
      </c>
      <c r="B3232">
        <v>49</v>
      </c>
      <c r="C3232" t="s">
        <v>153</v>
      </c>
      <c r="D3232" t="s">
        <v>51</v>
      </c>
      <c r="E3232" t="s">
        <v>43</v>
      </c>
      <c r="F3232" s="1">
        <v>49</v>
      </c>
      <c r="G3232" t="s">
        <v>111</v>
      </c>
      <c r="H3232" t="s">
        <v>45</v>
      </c>
      <c r="I3232" t="s">
        <v>79</v>
      </c>
      <c r="J3232" t="s">
        <v>54</v>
      </c>
      <c r="K3232" s="2">
        <v>2.5</v>
      </c>
      <c r="L3232" t="s">
        <v>152</v>
      </c>
      <c r="M3232" t="s">
        <v>29</v>
      </c>
      <c r="N3232" t="s">
        <v>47</v>
      </c>
      <c r="O3232" t="s">
        <v>152</v>
      </c>
      <c r="P3232" t="s">
        <v>152</v>
      </c>
      <c r="Q3232" s="3">
        <v>38</v>
      </c>
      <c r="R3232" t="s">
        <v>59</v>
      </c>
      <c r="S3232" t="s">
        <v>50</v>
      </c>
    </row>
    <row r="3233" spans="1:19" x14ac:dyDescent="0.25">
      <c r="A3233">
        <v>3232</v>
      </c>
      <c r="B3233">
        <v>62</v>
      </c>
      <c r="C3233" t="s">
        <v>153</v>
      </c>
      <c r="D3233" t="s">
        <v>73</v>
      </c>
      <c r="E3233" t="s">
        <v>43</v>
      </c>
      <c r="F3233" s="1">
        <v>97</v>
      </c>
      <c r="G3233" t="s">
        <v>107</v>
      </c>
      <c r="H3233" t="s">
        <v>45</v>
      </c>
      <c r="I3233" t="s">
        <v>33</v>
      </c>
      <c r="J3233" t="s">
        <v>25</v>
      </c>
      <c r="K3233" s="2">
        <v>4.4000000000000004</v>
      </c>
      <c r="L3233" t="s">
        <v>152</v>
      </c>
      <c r="M3233" t="s">
        <v>46</v>
      </c>
      <c r="N3233" t="s">
        <v>40</v>
      </c>
      <c r="O3233" t="s">
        <v>152</v>
      </c>
      <c r="P3233" t="s">
        <v>152</v>
      </c>
      <c r="Q3233" s="3">
        <v>9</v>
      </c>
      <c r="R3233" t="s">
        <v>27</v>
      </c>
      <c r="S3233" t="s">
        <v>50</v>
      </c>
    </row>
    <row r="3234" spans="1:19" x14ac:dyDescent="0.25">
      <c r="A3234">
        <v>3233</v>
      </c>
      <c r="B3234">
        <v>45</v>
      </c>
      <c r="C3234" t="s">
        <v>153</v>
      </c>
      <c r="D3234" t="s">
        <v>113</v>
      </c>
      <c r="E3234" t="s">
        <v>21</v>
      </c>
      <c r="F3234" s="1">
        <v>34</v>
      </c>
      <c r="G3234" t="s">
        <v>37</v>
      </c>
      <c r="H3234" t="s">
        <v>45</v>
      </c>
      <c r="I3234" t="s">
        <v>53</v>
      </c>
      <c r="J3234" t="s">
        <v>39</v>
      </c>
      <c r="K3234" s="2">
        <v>4</v>
      </c>
      <c r="L3234" t="s">
        <v>152</v>
      </c>
      <c r="M3234" t="s">
        <v>46</v>
      </c>
      <c r="N3234" t="s">
        <v>47</v>
      </c>
      <c r="O3234" t="s">
        <v>152</v>
      </c>
      <c r="P3234" t="s">
        <v>152</v>
      </c>
      <c r="Q3234" s="3">
        <v>19</v>
      </c>
      <c r="R3234" t="s">
        <v>34</v>
      </c>
      <c r="S3234" t="s">
        <v>88</v>
      </c>
    </row>
    <row r="3235" spans="1:19" x14ac:dyDescent="0.25">
      <c r="A3235">
        <v>3234</v>
      </c>
      <c r="B3235">
        <v>45</v>
      </c>
      <c r="C3235" t="s">
        <v>153</v>
      </c>
      <c r="D3235" t="s">
        <v>133</v>
      </c>
      <c r="E3235" t="s">
        <v>69</v>
      </c>
      <c r="F3235" s="1">
        <v>74</v>
      </c>
      <c r="G3235" t="s">
        <v>116</v>
      </c>
      <c r="H3235" t="s">
        <v>45</v>
      </c>
      <c r="I3235" t="s">
        <v>93</v>
      </c>
      <c r="J3235" t="s">
        <v>58</v>
      </c>
      <c r="K3235" s="2">
        <v>3.8</v>
      </c>
      <c r="L3235" t="s">
        <v>152</v>
      </c>
      <c r="M3235" t="s">
        <v>27</v>
      </c>
      <c r="N3235" t="s">
        <v>28</v>
      </c>
      <c r="O3235" t="s">
        <v>152</v>
      </c>
      <c r="P3235" t="s">
        <v>152</v>
      </c>
      <c r="Q3235" s="3">
        <v>11</v>
      </c>
      <c r="R3235" t="s">
        <v>59</v>
      </c>
      <c r="S3235" t="s">
        <v>77</v>
      </c>
    </row>
    <row r="3236" spans="1:19" x14ac:dyDescent="0.25">
      <c r="A3236">
        <v>3235</v>
      </c>
      <c r="B3236">
        <v>49</v>
      </c>
      <c r="C3236" t="s">
        <v>153</v>
      </c>
      <c r="D3236" t="s">
        <v>106</v>
      </c>
      <c r="E3236" t="s">
        <v>69</v>
      </c>
      <c r="F3236" s="1">
        <v>96</v>
      </c>
      <c r="G3236" t="s">
        <v>149</v>
      </c>
      <c r="H3236" t="s">
        <v>45</v>
      </c>
      <c r="I3236" t="s">
        <v>94</v>
      </c>
      <c r="J3236" t="s">
        <v>25</v>
      </c>
      <c r="K3236" s="2">
        <v>2.5</v>
      </c>
      <c r="L3236" t="s">
        <v>152</v>
      </c>
      <c r="M3236" t="s">
        <v>34</v>
      </c>
      <c r="N3236" t="s">
        <v>72</v>
      </c>
      <c r="O3236" t="s">
        <v>152</v>
      </c>
      <c r="P3236" t="s">
        <v>152</v>
      </c>
      <c r="Q3236" s="3">
        <v>16</v>
      </c>
      <c r="R3236" t="s">
        <v>59</v>
      </c>
      <c r="S3236" t="s">
        <v>60</v>
      </c>
    </row>
    <row r="3237" spans="1:19" x14ac:dyDescent="0.25">
      <c r="A3237">
        <v>3236</v>
      </c>
      <c r="B3237">
        <v>27</v>
      </c>
      <c r="C3237" t="s">
        <v>153</v>
      </c>
      <c r="D3237" t="s">
        <v>133</v>
      </c>
      <c r="E3237" t="s">
        <v>69</v>
      </c>
      <c r="F3237" s="1">
        <v>68</v>
      </c>
      <c r="G3237" t="s">
        <v>111</v>
      </c>
      <c r="H3237" t="s">
        <v>45</v>
      </c>
      <c r="I3237" t="s">
        <v>96</v>
      </c>
      <c r="J3237" t="s">
        <v>54</v>
      </c>
      <c r="K3237" s="2">
        <v>4</v>
      </c>
      <c r="L3237" t="s">
        <v>152</v>
      </c>
      <c r="M3237" t="s">
        <v>29</v>
      </c>
      <c r="N3237" t="s">
        <v>40</v>
      </c>
      <c r="O3237" t="s">
        <v>152</v>
      </c>
      <c r="P3237" t="s">
        <v>152</v>
      </c>
      <c r="Q3237" s="3">
        <v>18</v>
      </c>
      <c r="R3237" t="s">
        <v>29</v>
      </c>
      <c r="S3237" t="s">
        <v>88</v>
      </c>
    </row>
    <row r="3238" spans="1:19" x14ac:dyDescent="0.25">
      <c r="A3238">
        <v>3237</v>
      </c>
      <c r="B3238">
        <v>63</v>
      </c>
      <c r="C3238" t="s">
        <v>153</v>
      </c>
      <c r="D3238" t="s">
        <v>133</v>
      </c>
      <c r="E3238" t="s">
        <v>69</v>
      </c>
      <c r="F3238" s="1">
        <v>84</v>
      </c>
      <c r="G3238" t="s">
        <v>131</v>
      </c>
      <c r="H3238" t="s">
        <v>23</v>
      </c>
      <c r="I3238" t="s">
        <v>79</v>
      </c>
      <c r="J3238" t="s">
        <v>58</v>
      </c>
      <c r="K3238" s="2">
        <v>4.0999999999999996</v>
      </c>
      <c r="L3238" t="s">
        <v>152</v>
      </c>
      <c r="M3238" t="s">
        <v>29</v>
      </c>
      <c r="N3238" t="s">
        <v>47</v>
      </c>
      <c r="O3238" t="s">
        <v>152</v>
      </c>
      <c r="P3238" t="s">
        <v>152</v>
      </c>
      <c r="Q3238" s="3">
        <v>8</v>
      </c>
      <c r="R3238" t="s">
        <v>35</v>
      </c>
      <c r="S3238" t="s">
        <v>88</v>
      </c>
    </row>
    <row r="3239" spans="1:19" x14ac:dyDescent="0.25">
      <c r="A3239">
        <v>3238</v>
      </c>
      <c r="B3239">
        <v>61</v>
      </c>
      <c r="C3239" t="s">
        <v>153</v>
      </c>
      <c r="D3239" t="s">
        <v>113</v>
      </c>
      <c r="E3239" t="s">
        <v>21</v>
      </c>
      <c r="F3239" s="1">
        <v>57</v>
      </c>
      <c r="G3239" t="s">
        <v>129</v>
      </c>
      <c r="H3239" t="s">
        <v>45</v>
      </c>
      <c r="I3239" t="s">
        <v>24</v>
      </c>
      <c r="J3239" t="s">
        <v>54</v>
      </c>
      <c r="K3239" s="2">
        <v>2.8</v>
      </c>
      <c r="L3239" t="s">
        <v>152</v>
      </c>
      <c r="M3239" t="s">
        <v>34</v>
      </c>
      <c r="N3239" t="s">
        <v>28</v>
      </c>
      <c r="O3239" t="s">
        <v>152</v>
      </c>
      <c r="P3239" t="s">
        <v>152</v>
      </c>
      <c r="Q3239" s="3">
        <v>4</v>
      </c>
      <c r="R3239" t="s">
        <v>35</v>
      </c>
      <c r="S3239" t="s">
        <v>41</v>
      </c>
    </row>
    <row r="3240" spans="1:19" x14ac:dyDescent="0.25">
      <c r="A3240">
        <v>3239</v>
      </c>
      <c r="B3240">
        <v>25</v>
      </c>
      <c r="C3240" t="s">
        <v>153</v>
      </c>
      <c r="D3240" t="s">
        <v>51</v>
      </c>
      <c r="E3240" t="s">
        <v>43</v>
      </c>
      <c r="F3240" s="1">
        <v>84</v>
      </c>
      <c r="G3240" t="s">
        <v>52</v>
      </c>
      <c r="H3240" t="s">
        <v>92</v>
      </c>
      <c r="I3240" t="s">
        <v>86</v>
      </c>
      <c r="J3240" t="s">
        <v>58</v>
      </c>
      <c r="K3240" s="2">
        <v>3.4</v>
      </c>
      <c r="L3240" t="s">
        <v>152</v>
      </c>
      <c r="M3240" t="s">
        <v>46</v>
      </c>
      <c r="N3240" t="s">
        <v>72</v>
      </c>
      <c r="O3240" t="s">
        <v>152</v>
      </c>
      <c r="P3240" t="s">
        <v>152</v>
      </c>
      <c r="Q3240" s="3">
        <v>37</v>
      </c>
      <c r="R3240" t="s">
        <v>35</v>
      </c>
      <c r="S3240" t="s">
        <v>60</v>
      </c>
    </row>
    <row r="3241" spans="1:19" x14ac:dyDescent="0.25">
      <c r="A3241">
        <v>3240</v>
      </c>
      <c r="B3241">
        <v>33</v>
      </c>
      <c r="C3241" t="s">
        <v>153</v>
      </c>
      <c r="D3241" t="s">
        <v>89</v>
      </c>
      <c r="E3241" t="s">
        <v>69</v>
      </c>
      <c r="F3241" s="1">
        <v>32</v>
      </c>
      <c r="G3241" t="s">
        <v>112</v>
      </c>
      <c r="H3241" t="s">
        <v>45</v>
      </c>
      <c r="I3241" t="s">
        <v>63</v>
      </c>
      <c r="J3241" t="s">
        <v>58</v>
      </c>
      <c r="K3241" s="2">
        <v>2.7</v>
      </c>
      <c r="L3241" t="s">
        <v>152</v>
      </c>
      <c r="M3241" t="s">
        <v>27</v>
      </c>
      <c r="N3241" t="s">
        <v>72</v>
      </c>
      <c r="O3241" t="s">
        <v>152</v>
      </c>
      <c r="P3241" t="s">
        <v>152</v>
      </c>
      <c r="Q3241" s="3">
        <v>30</v>
      </c>
      <c r="R3241" t="s">
        <v>35</v>
      </c>
      <c r="S3241" t="s">
        <v>88</v>
      </c>
    </row>
    <row r="3242" spans="1:19" x14ac:dyDescent="0.25">
      <c r="A3242">
        <v>3241</v>
      </c>
      <c r="B3242">
        <v>56</v>
      </c>
      <c r="C3242" t="s">
        <v>153</v>
      </c>
      <c r="D3242" t="s">
        <v>42</v>
      </c>
      <c r="E3242" t="s">
        <v>43</v>
      </c>
      <c r="F3242" s="1">
        <v>37</v>
      </c>
      <c r="G3242" t="s">
        <v>66</v>
      </c>
      <c r="H3242" t="s">
        <v>45</v>
      </c>
      <c r="I3242" t="s">
        <v>84</v>
      </c>
      <c r="J3242" t="s">
        <v>58</v>
      </c>
      <c r="K3242" s="2">
        <v>3.8</v>
      </c>
      <c r="L3242" t="s">
        <v>152</v>
      </c>
      <c r="M3242" t="s">
        <v>27</v>
      </c>
      <c r="N3242" t="s">
        <v>72</v>
      </c>
      <c r="O3242" t="s">
        <v>152</v>
      </c>
      <c r="P3242" t="s">
        <v>152</v>
      </c>
      <c r="Q3242" s="3">
        <v>37</v>
      </c>
      <c r="R3242" t="s">
        <v>34</v>
      </c>
      <c r="S3242" t="s">
        <v>88</v>
      </c>
    </row>
    <row r="3243" spans="1:19" x14ac:dyDescent="0.25">
      <c r="A3243">
        <v>3242</v>
      </c>
      <c r="B3243">
        <v>50</v>
      </c>
      <c r="C3243" t="s">
        <v>153</v>
      </c>
      <c r="D3243" t="s">
        <v>68</v>
      </c>
      <c r="E3243" t="s">
        <v>69</v>
      </c>
      <c r="F3243" s="1">
        <v>58</v>
      </c>
      <c r="G3243" t="s">
        <v>139</v>
      </c>
      <c r="H3243" t="s">
        <v>45</v>
      </c>
      <c r="I3243" t="s">
        <v>93</v>
      </c>
      <c r="J3243" t="s">
        <v>54</v>
      </c>
      <c r="K3243" s="2">
        <v>4.4000000000000004</v>
      </c>
      <c r="L3243" t="s">
        <v>152</v>
      </c>
      <c r="M3243" t="s">
        <v>27</v>
      </c>
      <c r="N3243" t="s">
        <v>76</v>
      </c>
      <c r="O3243" t="s">
        <v>152</v>
      </c>
      <c r="P3243" t="s">
        <v>152</v>
      </c>
      <c r="Q3243" s="3">
        <v>30</v>
      </c>
      <c r="R3243" t="s">
        <v>46</v>
      </c>
      <c r="S3243" t="s">
        <v>60</v>
      </c>
    </row>
    <row r="3244" spans="1:19" x14ac:dyDescent="0.25">
      <c r="A3244">
        <v>3243</v>
      </c>
      <c r="B3244">
        <v>45</v>
      </c>
      <c r="C3244" t="s">
        <v>153</v>
      </c>
      <c r="D3244" t="s">
        <v>125</v>
      </c>
      <c r="E3244" t="s">
        <v>21</v>
      </c>
      <c r="F3244" s="1">
        <v>74</v>
      </c>
      <c r="G3244" t="s">
        <v>48</v>
      </c>
      <c r="H3244" t="s">
        <v>38</v>
      </c>
      <c r="I3244" t="s">
        <v>118</v>
      </c>
      <c r="J3244" t="s">
        <v>58</v>
      </c>
      <c r="K3244" s="2">
        <v>2.8</v>
      </c>
      <c r="L3244" t="s">
        <v>152</v>
      </c>
      <c r="M3244" t="s">
        <v>35</v>
      </c>
      <c r="N3244" t="s">
        <v>28</v>
      </c>
      <c r="O3244" t="s">
        <v>152</v>
      </c>
      <c r="P3244" t="s">
        <v>152</v>
      </c>
      <c r="Q3244" s="3">
        <v>17</v>
      </c>
      <c r="R3244" t="s">
        <v>29</v>
      </c>
      <c r="S3244" t="s">
        <v>41</v>
      </c>
    </row>
    <row r="3245" spans="1:19" x14ac:dyDescent="0.25">
      <c r="A3245">
        <v>3244</v>
      </c>
      <c r="B3245">
        <v>45</v>
      </c>
      <c r="C3245" t="s">
        <v>153</v>
      </c>
      <c r="D3245" t="s">
        <v>104</v>
      </c>
      <c r="E3245" t="s">
        <v>21</v>
      </c>
      <c r="F3245" s="1">
        <v>99</v>
      </c>
      <c r="G3245" t="s">
        <v>135</v>
      </c>
      <c r="H3245" t="s">
        <v>23</v>
      </c>
      <c r="I3245" t="s">
        <v>94</v>
      </c>
      <c r="J3245" t="s">
        <v>54</v>
      </c>
      <c r="K3245" s="2">
        <v>5</v>
      </c>
      <c r="L3245" t="s">
        <v>152</v>
      </c>
      <c r="M3245" t="s">
        <v>29</v>
      </c>
      <c r="N3245" t="s">
        <v>76</v>
      </c>
      <c r="O3245" t="s">
        <v>152</v>
      </c>
      <c r="P3245" t="s">
        <v>152</v>
      </c>
      <c r="Q3245" s="3">
        <v>11</v>
      </c>
      <c r="R3245" t="s">
        <v>34</v>
      </c>
      <c r="S3245" t="s">
        <v>97</v>
      </c>
    </row>
    <row r="3246" spans="1:19" x14ac:dyDescent="0.25">
      <c r="A3246">
        <v>3245</v>
      </c>
      <c r="B3246">
        <v>65</v>
      </c>
      <c r="C3246" t="s">
        <v>153</v>
      </c>
      <c r="D3246" t="s">
        <v>31</v>
      </c>
      <c r="E3246" t="s">
        <v>21</v>
      </c>
      <c r="F3246" s="1">
        <v>81</v>
      </c>
      <c r="G3246" t="s">
        <v>74</v>
      </c>
      <c r="H3246" t="s">
        <v>45</v>
      </c>
      <c r="I3246" t="s">
        <v>94</v>
      </c>
      <c r="J3246" t="s">
        <v>58</v>
      </c>
      <c r="K3246" s="2">
        <v>4.7</v>
      </c>
      <c r="L3246" t="s">
        <v>152</v>
      </c>
      <c r="M3246" t="s">
        <v>34</v>
      </c>
      <c r="N3246" t="s">
        <v>28</v>
      </c>
      <c r="O3246" t="s">
        <v>152</v>
      </c>
      <c r="P3246" t="s">
        <v>152</v>
      </c>
      <c r="Q3246" s="3">
        <v>42</v>
      </c>
      <c r="R3246" t="s">
        <v>27</v>
      </c>
      <c r="S3246" t="s">
        <v>50</v>
      </c>
    </row>
    <row r="3247" spans="1:19" x14ac:dyDescent="0.25">
      <c r="A3247">
        <v>3246</v>
      </c>
      <c r="B3247">
        <v>63</v>
      </c>
      <c r="C3247" t="s">
        <v>153</v>
      </c>
      <c r="D3247" t="s">
        <v>95</v>
      </c>
      <c r="E3247" t="s">
        <v>21</v>
      </c>
      <c r="F3247" s="1">
        <v>76</v>
      </c>
      <c r="G3247" t="s">
        <v>111</v>
      </c>
      <c r="H3247" t="s">
        <v>45</v>
      </c>
      <c r="I3247" t="s">
        <v>75</v>
      </c>
      <c r="J3247" t="s">
        <v>58</v>
      </c>
      <c r="K3247" s="2">
        <v>3.2</v>
      </c>
      <c r="L3247" t="s">
        <v>152</v>
      </c>
      <c r="M3247" t="s">
        <v>46</v>
      </c>
      <c r="N3247" t="s">
        <v>47</v>
      </c>
      <c r="O3247" t="s">
        <v>152</v>
      </c>
      <c r="P3247" t="s">
        <v>152</v>
      </c>
      <c r="Q3247" s="3">
        <v>20</v>
      </c>
      <c r="R3247" t="s">
        <v>35</v>
      </c>
      <c r="S3247" t="s">
        <v>41</v>
      </c>
    </row>
    <row r="3248" spans="1:19" x14ac:dyDescent="0.25">
      <c r="A3248">
        <v>3247</v>
      </c>
      <c r="B3248">
        <v>70</v>
      </c>
      <c r="C3248" t="s">
        <v>153</v>
      </c>
      <c r="D3248" t="s">
        <v>51</v>
      </c>
      <c r="E3248" t="s">
        <v>43</v>
      </c>
      <c r="F3248" s="1">
        <v>98</v>
      </c>
      <c r="G3248" t="s">
        <v>151</v>
      </c>
      <c r="H3248" t="s">
        <v>45</v>
      </c>
      <c r="I3248" t="s">
        <v>136</v>
      </c>
      <c r="J3248" t="s">
        <v>54</v>
      </c>
      <c r="K3248" s="2">
        <v>2.9</v>
      </c>
      <c r="L3248" t="s">
        <v>152</v>
      </c>
      <c r="M3248" t="s">
        <v>29</v>
      </c>
      <c r="N3248" t="s">
        <v>76</v>
      </c>
      <c r="O3248" t="s">
        <v>152</v>
      </c>
      <c r="P3248" t="s">
        <v>152</v>
      </c>
      <c r="Q3248" s="3">
        <v>37</v>
      </c>
      <c r="R3248" t="s">
        <v>35</v>
      </c>
      <c r="S3248" t="s">
        <v>88</v>
      </c>
    </row>
    <row r="3249" spans="1:19" x14ac:dyDescent="0.25">
      <c r="A3249">
        <v>3248</v>
      </c>
      <c r="B3249">
        <v>53</v>
      </c>
      <c r="C3249" t="s">
        <v>153</v>
      </c>
      <c r="D3249" t="s">
        <v>143</v>
      </c>
      <c r="E3249" t="s">
        <v>69</v>
      </c>
      <c r="F3249" s="1">
        <v>91</v>
      </c>
      <c r="G3249" t="s">
        <v>74</v>
      </c>
      <c r="H3249" t="s">
        <v>45</v>
      </c>
      <c r="I3249" t="s">
        <v>86</v>
      </c>
      <c r="J3249" t="s">
        <v>54</v>
      </c>
      <c r="K3249" s="2">
        <v>3.7</v>
      </c>
      <c r="L3249" t="s">
        <v>152</v>
      </c>
      <c r="M3249" t="s">
        <v>29</v>
      </c>
      <c r="N3249" t="s">
        <v>28</v>
      </c>
      <c r="O3249" t="s">
        <v>152</v>
      </c>
      <c r="P3249" t="s">
        <v>152</v>
      </c>
      <c r="Q3249" s="3">
        <v>12</v>
      </c>
      <c r="R3249" t="s">
        <v>46</v>
      </c>
      <c r="S3249" t="s">
        <v>30</v>
      </c>
    </row>
    <row r="3250" spans="1:19" x14ac:dyDescent="0.25">
      <c r="A3250">
        <v>3249</v>
      </c>
      <c r="B3250">
        <v>22</v>
      </c>
      <c r="C3250" t="s">
        <v>153</v>
      </c>
      <c r="D3250" t="s">
        <v>113</v>
      </c>
      <c r="E3250" t="s">
        <v>21</v>
      </c>
      <c r="F3250" s="1">
        <v>79</v>
      </c>
      <c r="G3250" t="s">
        <v>138</v>
      </c>
      <c r="H3250" t="s">
        <v>38</v>
      </c>
      <c r="I3250" t="s">
        <v>86</v>
      </c>
      <c r="J3250" t="s">
        <v>54</v>
      </c>
      <c r="K3250" s="2">
        <v>4.2</v>
      </c>
      <c r="L3250" t="s">
        <v>152</v>
      </c>
      <c r="M3250" t="s">
        <v>29</v>
      </c>
      <c r="N3250" t="s">
        <v>40</v>
      </c>
      <c r="O3250" t="s">
        <v>152</v>
      </c>
      <c r="P3250" t="s">
        <v>152</v>
      </c>
      <c r="Q3250" s="3">
        <v>41</v>
      </c>
      <c r="R3250" t="s">
        <v>34</v>
      </c>
      <c r="S3250" t="s">
        <v>60</v>
      </c>
    </row>
    <row r="3251" spans="1:19" x14ac:dyDescent="0.25">
      <c r="A3251">
        <v>3250</v>
      </c>
      <c r="B3251">
        <v>26</v>
      </c>
      <c r="C3251" t="s">
        <v>153</v>
      </c>
      <c r="D3251" t="s">
        <v>132</v>
      </c>
      <c r="E3251" t="s">
        <v>69</v>
      </c>
      <c r="F3251" s="1">
        <v>83</v>
      </c>
      <c r="G3251" t="s">
        <v>141</v>
      </c>
      <c r="H3251" t="s">
        <v>45</v>
      </c>
      <c r="I3251" t="s">
        <v>71</v>
      </c>
      <c r="J3251" t="s">
        <v>54</v>
      </c>
      <c r="K3251" s="2">
        <v>3.4</v>
      </c>
      <c r="L3251" t="s">
        <v>152</v>
      </c>
      <c r="M3251" t="s">
        <v>27</v>
      </c>
      <c r="N3251" t="s">
        <v>28</v>
      </c>
      <c r="O3251" t="s">
        <v>152</v>
      </c>
      <c r="P3251" t="s">
        <v>152</v>
      </c>
      <c r="Q3251" s="3">
        <v>32</v>
      </c>
      <c r="R3251" t="s">
        <v>27</v>
      </c>
      <c r="S3251" t="s">
        <v>60</v>
      </c>
    </row>
    <row r="3252" spans="1:19" x14ac:dyDescent="0.25">
      <c r="A3252">
        <v>3251</v>
      </c>
      <c r="B3252">
        <v>23</v>
      </c>
      <c r="C3252" t="s">
        <v>153</v>
      </c>
      <c r="D3252" t="s">
        <v>64</v>
      </c>
      <c r="E3252" t="s">
        <v>65</v>
      </c>
      <c r="F3252" s="1">
        <v>90</v>
      </c>
      <c r="G3252" t="s">
        <v>148</v>
      </c>
      <c r="H3252" t="s">
        <v>45</v>
      </c>
      <c r="I3252" t="s">
        <v>86</v>
      </c>
      <c r="J3252" t="s">
        <v>39</v>
      </c>
      <c r="K3252" s="2">
        <v>2.9</v>
      </c>
      <c r="L3252" t="s">
        <v>152</v>
      </c>
      <c r="M3252" t="s">
        <v>35</v>
      </c>
      <c r="N3252" t="s">
        <v>72</v>
      </c>
      <c r="O3252" t="s">
        <v>152</v>
      </c>
      <c r="P3252" t="s">
        <v>152</v>
      </c>
      <c r="Q3252" s="3">
        <v>15</v>
      </c>
      <c r="R3252" t="s">
        <v>29</v>
      </c>
      <c r="S3252" t="s">
        <v>41</v>
      </c>
    </row>
    <row r="3253" spans="1:19" x14ac:dyDescent="0.25">
      <c r="A3253">
        <v>3252</v>
      </c>
      <c r="B3253">
        <v>25</v>
      </c>
      <c r="C3253" t="s">
        <v>153</v>
      </c>
      <c r="D3253" t="s">
        <v>64</v>
      </c>
      <c r="E3253" t="s">
        <v>65</v>
      </c>
      <c r="F3253" s="1">
        <v>20</v>
      </c>
      <c r="G3253" t="s">
        <v>107</v>
      </c>
      <c r="H3253" t="s">
        <v>45</v>
      </c>
      <c r="I3253" t="s">
        <v>81</v>
      </c>
      <c r="J3253" t="s">
        <v>25</v>
      </c>
      <c r="K3253" s="2">
        <v>3.7</v>
      </c>
      <c r="L3253" t="s">
        <v>152</v>
      </c>
      <c r="M3253" t="s">
        <v>59</v>
      </c>
      <c r="N3253" t="s">
        <v>55</v>
      </c>
      <c r="O3253" t="s">
        <v>152</v>
      </c>
      <c r="P3253" t="s">
        <v>152</v>
      </c>
      <c r="Q3253" s="3">
        <v>39</v>
      </c>
      <c r="R3253" t="s">
        <v>29</v>
      </c>
      <c r="S3253" t="s">
        <v>60</v>
      </c>
    </row>
    <row r="3254" spans="1:19" x14ac:dyDescent="0.25">
      <c r="A3254">
        <v>3253</v>
      </c>
      <c r="B3254">
        <v>69</v>
      </c>
      <c r="C3254" t="s">
        <v>153</v>
      </c>
      <c r="D3254" t="s">
        <v>42</v>
      </c>
      <c r="E3254" t="s">
        <v>43</v>
      </c>
      <c r="F3254" s="1">
        <v>21</v>
      </c>
      <c r="G3254" t="s">
        <v>57</v>
      </c>
      <c r="H3254" t="s">
        <v>23</v>
      </c>
      <c r="I3254" t="s">
        <v>110</v>
      </c>
      <c r="J3254" t="s">
        <v>39</v>
      </c>
      <c r="K3254" s="2">
        <v>2.7</v>
      </c>
      <c r="L3254" t="s">
        <v>152</v>
      </c>
      <c r="M3254" t="s">
        <v>34</v>
      </c>
      <c r="N3254" t="s">
        <v>76</v>
      </c>
      <c r="O3254" t="s">
        <v>152</v>
      </c>
      <c r="P3254" t="s">
        <v>152</v>
      </c>
      <c r="Q3254" s="3">
        <v>48</v>
      </c>
      <c r="R3254" t="s">
        <v>27</v>
      </c>
      <c r="S3254" t="s">
        <v>30</v>
      </c>
    </row>
    <row r="3255" spans="1:19" x14ac:dyDescent="0.25">
      <c r="A3255">
        <v>3254</v>
      </c>
      <c r="B3255">
        <v>36</v>
      </c>
      <c r="C3255" t="s">
        <v>153</v>
      </c>
      <c r="D3255" t="s">
        <v>132</v>
      </c>
      <c r="E3255" t="s">
        <v>69</v>
      </c>
      <c r="F3255" s="1">
        <v>60</v>
      </c>
      <c r="G3255" t="s">
        <v>145</v>
      </c>
      <c r="H3255" t="s">
        <v>45</v>
      </c>
      <c r="I3255" t="s">
        <v>110</v>
      </c>
      <c r="J3255" t="s">
        <v>58</v>
      </c>
      <c r="K3255" s="2">
        <v>3.2</v>
      </c>
      <c r="L3255" t="s">
        <v>152</v>
      </c>
      <c r="M3255" t="s">
        <v>59</v>
      </c>
      <c r="N3255" t="s">
        <v>72</v>
      </c>
      <c r="O3255" t="s">
        <v>152</v>
      </c>
      <c r="P3255" t="s">
        <v>152</v>
      </c>
      <c r="Q3255" s="3">
        <v>8</v>
      </c>
      <c r="R3255" t="s">
        <v>29</v>
      </c>
      <c r="S3255" t="s">
        <v>30</v>
      </c>
    </row>
    <row r="3256" spans="1:19" x14ac:dyDescent="0.25">
      <c r="A3256">
        <v>3255</v>
      </c>
      <c r="B3256">
        <v>21</v>
      </c>
      <c r="C3256" t="s">
        <v>153</v>
      </c>
      <c r="D3256" t="s">
        <v>31</v>
      </c>
      <c r="E3256" t="s">
        <v>21</v>
      </c>
      <c r="F3256" s="1">
        <v>31</v>
      </c>
      <c r="G3256" t="s">
        <v>116</v>
      </c>
      <c r="H3256" t="s">
        <v>38</v>
      </c>
      <c r="I3256" t="s">
        <v>136</v>
      </c>
      <c r="J3256" t="s">
        <v>25</v>
      </c>
      <c r="K3256" s="2">
        <v>4.9000000000000004</v>
      </c>
      <c r="L3256" t="s">
        <v>152</v>
      </c>
      <c r="M3256" t="s">
        <v>29</v>
      </c>
      <c r="N3256" t="s">
        <v>76</v>
      </c>
      <c r="O3256" t="s">
        <v>152</v>
      </c>
      <c r="P3256" t="s">
        <v>152</v>
      </c>
      <c r="Q3256" s="3">
        <v>11</v>
      </c>
      <c r="R3256" t="s">
        <v>34</v>
      </c>
      <c r="S3256" t="s">
        <v>97</v>
      </c>
    </row>
    <row r="3257" spans="1:19" x14ac:dyDescent="0.25">
      <c r="A3257">
        <v>3256</v>
      </c>
      <c r="B3257">
        <v>57</v>
      </c>
      <c r="C3257" t="s">
        <v>153</v>
      </c>
      <c r="D3257" t="s">
        <v>61</v>
      </c>
      <c r="E3257" t="s">
        <v>21</v>
      </c>
      <c r="F3257" s="1">
        <v>40</v>
      </c>
      <c r="G3257" t="s">
        <v>127</v>
      </c>
      <c r="H3257" t="s">
        <v>45</v>
      </c>
      <c r="I3257" t="s">
        <v>94</v>
      </c>
      <c r="J3257" t="s">
        <v>58</v>
      </c>
      <c r="K3257" s="2">
        <v>2.8</v>
      </c>
      <c r="L3257" t="s">
        <v>152</v>
      </c>
      <c r="M3257" t="s">
        <v>35</v>
      </c>
      <c r="N3257" t="s">
        <v>47</v>
      </c>
      <c r="O3257" t="s">
        <v>152</v>
      </c>
      <c r="P3257" t="s">
        <v>152</v>
      </c>
      <c r="Q3257" s="3">
        <v>36</v>
      </c>
      <c r="R3257" t="s">
        <v>34</v>
      </c>
      <c r="S3257" t="s">
        <v>88</v>
      </c>
    </row>
    <row r="3258" spans="1:19" x14ac:dyDescent="0.25">
      <c r="A3258">
        <v>3257</v>
      </c>
      <c r="B3258">
        <v>60</v>
      </c>
      <c r="C3258" t="s">
        <v>153</v>
      </c>
      <c r="D3258" t="s">
        <v>89</v>
      </c>
      <c r="E3258" t="s">
        <v>69</v>
      </c>
      <c r="F3258" s="1">
        <v>26</v>
      </c>
      <c r="G3258" t="s">
        <v>150</v>
      </c>
      <c r="H3258" t="s">
        <v>23</v>
      </c>
      <c r="I3258" t="s">
        <v>86</v>
      </c>
      <c r="J3258" t="s">
        <v>25</v>
      </c>
      <c r="K3258" s="2">
        <v>4.7</v>
      </c>
      <c r="L3258" t="s">
        <v>152</v>
      </c>
      <c r="M3258" t="s">
        <v>35</v>
      </c>
      <c r="N3258" t="s">
        <v>40</v>
      </c>
      <c r="O3258" t="s">
        <v>152</v>
      </c>
      <c r="P3258" t="s">
        <v>152</v>
      </c>
      <c r="Q3258" s="3">
        <v>50</v>
      </c>
      <c r="R3258" t="s">
        <v>29</v>
      </c>
      <c r="S3258" t="s">
        <v>97</v>
      </c>
    </row>
    <row r="3259" spans="1:19" x14ac:dyDescent="0.25">
      <c r="A3259">
        <v>3258</v>
      </c>
      <c r="B3259">
        <v>44</v>
      </c>
      <c r="C3259" t="s">
        <v>153</v>
      </c>
      <c r="D3259" t="s">
        <v>56</v>
      </c>
      <c r="E3259" t="s">
        <v>21</v>
      </c>
      <c r="F3259" s="1">
        <v>98</v>
      </c>
      <c r="G3259" t="s">
        <v>148</v>
      </c>
      <c r="H3259" t="s">
        <v>45</v>
      </c>
      <c r="I3259" t="s">
        <v>110</v>
      </c>
      <c r="J3259" t="s">
        <v>58</v>
      </c>
      <c r="K3259" s="2">
        <v>3.3</v>
      </c>
      <c r="L3259" t="s">
        <v>152</v>
      </c>
      <c r="M3259" t="s">
        <v>46</v>
      </c>
      <c r="N3259" t="s">
        <v>28</v>
      </c>
      <c r="O3259" t="s">
        <v>152</v>
      </c>
      <c r="P3259" t="s">
        <v>152</v>
      </c>
      <c r="Q3259" s="3">
        <v>39</v>
      </c>
      <c r="R3259" t="s">
        <v>29</v>
      </c>
      <c r="S3259" t="s">
        <v>97</v>
      </c>
    </row>
    <row r="3260" spans="1:19" x14ac:dyDescent="0.25">
      <c r="A3260">
        <v>3259</v>
      </c>
      <c r="B3260">
        <v>31</v>
      </c>
      <c r="C3260" t="s">
        <v>153</v>
      </c>
      <c r="D3260" t="s">
        <v>73</v>
      </c>
      <c r="E3260" t="s">
        <v>43</v>
      </c>
      <c r="F3260" s="1">
        <v>51</v>
      </c>
      <c r="G3260" t="s">
        <v>127</v>
      </c>
      <c r="H3260" t="s">
        <v>45</v>
      </c>
      <c r="I3260" t="s">
        <v>136</v>
      </c>
      <c r="J3260" t="s">
        <v>39</v>
      </c>
      <c r="K3260" s="2">
        <v>4.3</v>
      </c>
      <c r="L3260" t="s">
        <v>152</v>
      </c>
      <c r="M3260" t="s">
        <v>59</v>
      </c>
      <c r="N3260" t="s">
        <v>28</v>
      </c>
      <c r="O3260" t="s">
        <v>152</v>
      </c>
      <c r="P3260" t="s">
        <v>152</v>
      </c>
      <c r="Q3260" s="3">
        <v>11</v>
      </c>
      <c r="R3260" t="s">
        <v>27</v>
      </c>
      <c r="S3260" t="s">
        <v>77</v>
      </c>
    </row>
    <row r="3261" spans="1:19" x14ac:dyDescent="0.25">
      <c r="A3261">
        <v>3260</v>
      </c>
      <c r="B3261">
        <v>57</v>
      </c>
      <c r="C3261" t="s">
        <v>153</v>
      </c>
      <c r="D3261" t="s">
        <v>124</v>
      </c>
      <c r="E3261" t="s">
        <v>69</v>
      </c>
      <c r="F3261" s="1">
        <v>95</v>
      </c>
      <c r="G3261" t="s">
        <v>101</v>
      </c>
      <c r="H3261" t="s">
        <v>92</v>
      </c>
      <c r="I3261" t="s">
        <v>126</v>
      </c>
      <c r="J3261" t="s">
        <v>58</v>
      </c>
      <c r="K3261" s="2">
        <v>3.7</v>
      </c>
      <c r="L3261" t="s">
        <v>152</v>
      </c>
      <c r="M3261" t="s">
        <v>46</v>
      </c>
      <c r="N3261" t="s">
        <v>72</v>
      </c>
      <c r="O3261" t="s">
        <v>152</v>
      </c>
      <c r="P3261" t="s">
        <v>152</v>
      </c>
      <c r="Q3261" s="3">
        <v>5</v>
      </c>
      <c r="R3261" t="s">
        <v>59</v>
      </c>
      <c r="S3261" t="s">
        <v>97</v>
      </c>
    </row>
    <row r="3262" spans="1:19" x14ac:dyDescent="0.25">
      <c r="A3262">
        <v>3261</v>
      </c>
      <c r="B3262">
        <v>39</v>
      </c>
      <c r="C3262" t="s">
        <v>153</v>
      </c>
      <c r="D3262" t="s">
        <v>119</v>
      </c>
      <c r="E3262" t="s">
        <v>69</v>
      </c>
      <c r="F3262" s="1">
        <v>36</v>
      </c>
      <c r="G3262" t="s">
        <v>150</v>
      </c>
      <c r="H3262" t="s">
        <v>45</v>
      </c>
      <c r="I3262" t="s">
        <v>84</v>
      </c>
      <c r="J3262" t="s">
        <v>54</v>
      </c>
      <c r="K3262" s="2">
        <v>4.5</v>
      </c>
      <c r="L3262" t="s">
        <v>152</v>
      </c>
      <c r="M3262" t="s">
        <v>34</v>
      </c>
      <c r="N3262" t="s">
        <v>72</v>
      </c>
      <c r="O3262" t="s">
        <v>152</v>
      </c>
      <c r="P3262" t="s">
        <v>152</v>
      </c>
      <c r="Q3262" s="3">
        <v>7</v>
      </c>
      <c r="R3262" t="s">
        <v>27</v>
      </c>
      <c r="S3262" t="s">
        <v>50</v>
      </c>
    </row>
    <row r="3263" spans="1:19" x14ac:dyDescent="0.25">
      <c r="A3263">
        <v>3262</v>
      </c>
      <c r="B3263">
        <v>48</v>
      </c>
      <c r="C3263" t="s">
        <v>153</v>
      </c>
      <c r="D3263" t="s">
        <v>133</v>
      </c>
      <c r="E3263" t="s">
        <v>69</v>
      </c>
      <c r="F3263" s="1">
        <v>52</v>
      </c>
      <c r="G3263" t="s">
        <v>44</v>
      </c>
      <c r="H3263" t="s">
        <v>23</v>
      </c>
      <c r="I3263" t="s">
        <v>109</v>
      </c>
      <c r="J3263" t="s">
        <v>25</v>
      </c>
      <c r="K3263" s="2">
        <v>3.4</v>
      </c>
      <c r="L3263" t="s">
        <v>152</v>
      </c>
      <c r="M3263" t="s">
        <v>34</v>
      </c>
      <c r="N3263" t="s">
        <v>76</v>
      </c>
      <c r="O3263" t="s">
        <v>152</v>
      </c>
      <c r="P3263" t="s">
        <v>152</v>
      </c>
      <c r="Q3263" s="3">
        <v>50</v>
      </c>
      <c r="R3263" t="s">
        <v>59</v>
      </c>
      <c r="S3263" t="s">
        <v>41</v>
      </c>
    </row>
    <row r="3264" spans="1:19" x14ac:dyDescent="0.25">
      <c r="A3264">
        <v>3263</v>
      </c>
      <c r="B3264">
        <v>42</v>
      </c>
      <c r="C3264" t="s">
        <v>153</v>
      </c>
      <c r="D3264" t="s">
        <v>113</v>
      </c>
      <c r="E3264" t="s">
        <v>21</v>
      </c>
      <c r="F3264" s="1">
        <v>35</v>
      </c>
      <c r="G3264" t="s">
        <v>116</v>
      </c>
      <c r="H3264" t="s">
        <v>45</v>
      </c>
      <c r="I3264" t="s">
        <v>84</v>
      </c>
      <c r="J3264" t="s">
        <v>39</v>
      </c>
      <c r="K3264" s="2">
        <v>2.7</v>
      </c>
      <c r="L3264" t="s">
        <v>152</v>
      </c>
      <c r="M3264" t="s">
        <v>35</v>
      </c>
      <c r="N3264" t="s">
        <v>55</v>
      </c>
      <c r="O3264" t="s">
        <v>152</v>
      </c>
      <c r="P3264" t="s">
        <v>152</v>
      </c>
      <c r="Q3264" s="3">
        <v>21</v>
      </c>
      <c r="R3264" t="s">
        <v>35</v>
      </c>
      <c r="S3264" t="s">
        <v>97</v>
      </c>
    </row>
    <row r="3265" spans="1:19" x14ac:dyDescent="0.25">
      <c r="A3265">
        <v>3264</v>
      </c>
      <c r="B3265">
        <v>56</v>
      </c>
      <c r="C3265" t="s">
        <v>153</v>
      </c>
      <c r="D3265" t="s">
        <v>61</v>
      </c>
      <c r="E3265" t="s">
        <v>21</v>
      </c>
      <c r="F3265" s="1">
        <v>68</v>
      </c>
      <c r="G3265" t="s">
        <v>129</v>
      </c>
      <c r="H3265" t="s">
        <v>38</v>
      </c>
      <c r="I3265" t="s">
        <v>94</v>
      </c>
      <c r="J3265" t="s">
        <v>58</v>
      </c>
      <c r="K3265" s="2">
        <v>4.4000000000000004</v>
      </c>
      <c r="L3265" t="s">
        <v>152</v>
      </c>
      <c r="M3265" t="s">
        <v>46</v>
      </c>
      <c r="N3265" t="s">
        <v>28</v>
      </c>
      <c r="O3265" t="s">
        <v>152</v>
      </c>
      <c r="P3265" t="s">
        <v>152</v>
      </c>
      <c r="Q3265" s="3">
        <v>31</v>
      </c>
      <c r="R3265" t="s">
        <v>59</v>
      </c>
      <c r="S3265" t="s">
        <v>30</v>
      </c>
    </row>
    <row r="3266" spans="1:19" x14ac:dyDescent="0.25">
      <c r="A3266">
        <v>3265</v>
      </c>
      <c r="B3266">
        <v>28</v>
      </c>
      <c r="C3266" t="s">
        <v>153</v>
      </c>
      <c r="D3266" t="s">
        <v>95</v>
      </c>
      <c r="E3266" t="s">
        <v>21</v>
      </c>
      <c r="F3266" s="1">
        <v>50</v>
      </c>
      <c r="G3266" t="s">
        <v>32</v>
      </c>
      <c r="H3266" t="s">
        <v>38</v>
      </c>
      <c r="I3266" t="s">
        <v>63</v>
      </c>
      <c r="J3266" t="s">
        <v>25</v>
      </c>
      <c r="K3266" s="2">
        <v>4</v>
      </c>
      <c r="L3266" t="s">
        <v>152</v>
      </c>
      <c r="M3266" t="s">
        <v>46</v>
      </c>
      <c r="N3266" t="s">
        <v>28</v>
      </c>
      <c r="O3266" t="s">
        <v>152</v>
      </c>
      <c r="P3266" t="s">
        <v>152</v>
      </c>
      <c r="Q3266" s="3">
        <v>39</v>
      </c>
      <c r="R3266" t="s">
        <v>35</v>
      </c>
      <c r="S3266" t="s">
        <v>77</v>
      </c>
    </row>
    <row r="3267" spans="1:19" x14ac:dyDescent="0.25">
      <c r="A3267">
        <v>3266</v>
      </c>
      <c r="B3267">
        <v>40</v>
      </c>
      <c r="C3267" t="s">
        <v>153</v>
      </c>
      <c r="D3267" t="s">
        <v>89</v>
      </c>
      <c r="E3267" t="s">
        <v>69</v>
      </c>
      <c r="F3267" s="1">
        <v>100</v>
      </c>
      <c r="G3267" t="s">
        <v>90</v>
      </c>
      <c r="H3267" t="s">
        <v>45</v>
      </c>
      <c r="I3267" t="s">
        <v>53</v>
      </c>
      <c r="J3267" t="s">
        <v>25</v>
      </c>
      <c r="K3267" s="2">
        <v>3.2</v>
      </c>
      <c r="L3267" t="s">
        <v>152</v>
      </c>
      <c r="M3267" t="s">
        <v>27</v>
      </c>
      <c r="N3267" t="s">
        <v>28</v>
      </c>
      <c r="O3267" t="s">
        <v>152</v>
      </c>
      <c r="P3267" t="s">
        <v>152</v>
      </c>
      <c r="Q3267" s="3">
        <v>28</v>
      </c>
      <c r="R3267" t="s">
        <v>27</v>
      </c>
      <c r="S3267" t="s">
        <v>30</v>
      </c>
    </row>
    <row r="3268" spans="1:19" x14ac:dyDescent="0.25">
      <c r="A3268">
        <v>3267</v>
      </c>
      <c r="B3268">
        <v>49</v>
      </c>
      <c r="C3268" t="s">
        <v>153</v>
      </c>
      <c r="D3268" t="s">
        <v>64</v>
      </c>
      <c r="E3268" t="s">
        <v>65</v>
      </c>
      <c r="F3268" s="1">
        <v>74</v>
      </c>
      <c r="G3268" t="s">
        <v>90</v>
      </c>
      <c r="H3268" t="s">
        <v>38</v>
      </c>
      <c r="I3268" t="s">
        <v>24</v>
      </c>
      <c r="J3268" t="s">
        <v>25</v>
      </c>
      <c r="K3268" s="2">
        <v>4.2</v>
      </c>
      <c r="L3268" t="s">
        <v>152</v>
      </c>
      <c r="M3268" t="s">
        <v>34</v>
      </c>
      <c r="N3268" t="s">
        <v>47</v>
      </c>
      <c r="O3268" t="s">
        <v>152</v>
      </c>
      <c r="P3268" t="s">
        <v>152</v>
      </c>
      <c r="Q3268" s="3">
        <v>33</v>
      </c>
      <c r="R3268" t="s">
        <v>34</v>
      </c>
      <c r="S3268" t="s">
        <v>41</v>
      </c>
    </row>
    <row r="3269" spans="1:19" x14ac:dyDescent="0.25">
      <c r="A3269">
        <v>3268</v>
      </c>
      <c r="B3269">
        <v>37</v>
      </c>
      <c r="C3269" t="s">
        <v>153</v>
      </c>
      <c r="D3269" t="s">
        <v>104</v>
      </c>
      <c r="E3269" t="s">
        <v>21</v>
      </c>
      <c r="F3269" s="1">
        <v>45</v>
      </c>
      <c r="G3269" t="s">
        <v>135</v>
      </c>
      <c r="H3269" t="s">
        <v>23</v>
      </c>
      <c r="I3269" t="s">
        <v>71</v>
      </c>
      <c r="J3269" t="s">
        <v>25</v>
      </c>
      <c r="K3269" s="2">
        <v>3</v>
      </c>
      <c r="L3269" t="s">
        <v>152</v>
      </c>
      <c r="M3269" t="s">
        <v>59</v>
      </c>
      <c r="N3269" t="s">
        <v>76</v>
      </c>
      <c r="O3269" t="s">
        <v>152</v>
      </c>
      <c r="P3269" t="s">
        <v>152</v>
      </c>
      <c r="Q3269" s="3">
        <v>42</v>
      </c>
      <c r="R3269" t="s">
        <v>27</v>
      </c>
      <c r="S3269" t="s">
        <v>60</v>
      </c>
    </row>
    <row r="3270" spans="1:19" x14ac:dyDescent="0.25">
      <c r="A3270">
        <v>3269</v>
      </c>
      <c r="B3270">
        <v>22</v>
      </c>
      <c r="C3270" t="s">
        <v>153</v>
      </c>
      <c r="D3270" t="s">
        <v>82</v>
      </c>
      <c r="E3270" t="s">
        <v>21</v>
      </c>
      <c r="F3270" s="1">
        <v>97</v>
      </c>
      <c r="G3270" t="s">
        <v>74</v>
      </c>
      <c r="H3270" t="s">
        <v>45</v>
      </c>
      <c r="I3270" t="s">
        <v>109</v>
      </c>
      <c r="J3270" t="s">
        <v>58</v>
      </c>
      <c r="K3270" s="2">
        <v>2.8</v>
      </c>
      <c r="L3270" t="s">
        <v>152</v>
      </c>
      <c r="M3270" t="s">
        <v>35</v>
      </c>
      <c r="N3270" t="s">
        <v>40</v>
      </c>
      <c r="O3270" t="s">
        <v>152</v>
      </c>
      <c r="P3270" t="s">
        <v>152</v>
      </c>
      <c r="Q3270" s="3">
        <v>5</v>
      </c>
      <c r="R3270" t="s">
        <v>34</v>
      </c>
      <c r="S3270" t="s">
        <v>97</v>
      </c>
    </row>
    <row r="3271" spans="1:19" x14ac:dyDescent="0.25">
      <c r="A3271">
        <v>3270</v>
      </c>
      <c r="B3271">
        <v>27</v>
      </c>
      <c r="C3271" t="s">
        <v>153</v>
      </c>
      <c r="D3271" t="s">
        <v>20</v>
      </c>
      <c r="E3271" t="s">
        <v>21</v>
      </c>
      <c r="F3271" s="1">
        <v>60</v>
      </c>
      <c r="G3271" t="s">
        <v>123</v>
      </c>
      <c r="H3271" t="s">
        <v>45</v>
      </c>
      <c r="I3271" t="s">
        <v>144</v>
      </c>
      <c r="J3271" t="s">
        <v>25</v>
      </c>
      <c r="K3271" s="2">
        <v>4.9000000000000004</v>
      </c>
      <c r="L3271" t="s">
        <v>152</v>
      </c>
      <c r="M3271" t="s">
        <v>29</v>
      </c>
      <c r="N3271" t="s">
        <v>28</v>
      </c>
      <c r="O3271" t="s">
        <v>152</v>
      </c>
      <c r="P3271" t="s">
        <v>152</v>
      </c>
      <c r="Q3271" s="3">
        <v>25</v>
      </c>
      <c r="R3271" t="s">
        <v>35</v>
      </c>
      <c r="S3271" t="s">
        <v>88</v>
      </c>
    </row>
    <row r="3272" spans="1:19" x14ac:dyDescent="0.25">
      <c r="A3272">
        <v>3271</v>
      </c>
      <c r="B3272">
        <v>59</v>
      </c>
      <c r="C3272" t="s">
        <v>153</v>
      </c>
      <c r="D3272" t="s">
        <v>125</v>
      </c>
      <c r="E3272" t="s">
        <v>21</v>
      </c>
      <c r="F3272" s="1">
        <v>25</v>
      </c>
      <c r="G3272" t="s">
        <v>115</v>
      </c>
      <c r="H3272" t="s">
        <v>45</v>
      </c>
      <c r="I3272" t="s">
        <v>126</v>
      </c>
      <c r="J3272" t="s">
        <v>25</v>
      </c>
      <c r="K3272" s="2">
        <v>4.7</v>
      </c>
      <c r="L3272" t="s">
        <v>152</v>
      </c>
      <c r="M3272" t="s">
        <v>35</v>
      </c>
      <c r="N3272" t="s">
        <v>28</v>
      </c>
      <c r="O3272" t="s">
        <v>152</v>
      </c>
      <c r="P3272" t="s">
        <v>152</v>
      </c>
      <c r="Q3272" s="3">
        <v>48</v>
      </c>
      <c r="R3272" t="s">
        <v>46</v>
      </c>
      <c r="S3272" t="s">
        <v>50</v>
      </c>
    </row>
    <row r="3273" spans="1:19" x14ac:dyDescent="0.25">
      <c r="A3273">
        <v>3272</v>
      </c>
      <c r="B3273">
        <v>35</v>
      </c>
      <c r="C3273" t="s">
        <v>153</v>
      </c>
      <c r="D3273" t="s">
        <v>125</v>
      </c>
      <c r="E3273" t="s">
        <v>21</v>
      </c>
      <c r="F3273" s="1">
        <v>55</v>
      </c>
      <c r="G3273" t="s">
        <v>107</v>
      </c>
      <c r="H3273" t="s">
        <v>92</v>
      </c>
      <c r="I3273" t="s">
        <v>136</v>
      </c>
      <c r="J3273" t="s">
        <v>39</v>
      </c>
      <c r="K3273" s="2">
        <v>4.4000000000000004</v>
      </c>
      <c r="L3273" t="s">
        <v>152</v>
      </c>
      <c r="M3273" t="s">
        <v>59</v>
      </c>
      <c r="N3273" t="s">
        <v>55</v>
      </c>
      <c r="O3273" t="s">
        <v>152</v>
      </c>
      <c r="P3273" t="s">
        <v>152</v>
      </c>
      <c r="Q3273" s="3">
        <v>30</v>
      </c>
      <c r="R3273" t="s">
        <v>27</v>
      </c>
      <c r="S3273" t="s">
        <v>41</v>
      </c>
    </row>
    <row r="3274" spans="1:19" x14ac:dyDescent="0.25">
      <c r="A3274">
        <v>3273</v>
      </c>
      <c r="B3274">
        <v>58</v>
      </c>
      <c r="C3274" t="s">
        <v>153</v>
      </c>
      <c r="D3274" t="s">
        <v>73</v>
      </c>
      <c r="E3274" t="s">
        <v>43</v>
      </c>
      <c r="F3274" s="1">
        <v>99</v>
      </c>
      <c r="G3274" t="s">
        <v>105</v>
      </c>
      <c r="H3274" t="s">
        <v>45</v>
      </c>
      <c r="I3274" t="s">
        <v>93</v>
      </c>
      <c r="J3274" t="s">
        <v>25</v>
      </c>
      <c r="K3274" s="2">
        <v>3.1</v>
      </c>
      <c r="L3274" t="s">
        <v>152</v>
      </c>
      <c r="M3274" t="s">
        <v>34</v>
      </c>
      <c r="N3274" t="s">
        <v>47</v>
      </c>
      <c r="O3274" t="s">
        <v>152</v>
      </c>
      <c r="P3274" t="s">
        <v>152</v>
      </c>
      <c r="Q3274" s="3">
        <v>34</v>
      </c>
      <c r="R3274" t="s">
        <v>46</v>
      </c>
      <c r="S3274" t="s">
        <v>60</v>
      </c>
    </row>
    <row r="3275" spans="1:19" x14ac:dyDescent="0.25">
      <c r="A3275">
        <v>3274</v>
      </c>
      <c r="B3275">
        <v>58</v>
      </c>
      <c r="C3275" t="s">
        <v>153</v>
      </c>
      <c r="D3275" t="s">
        <v>133</v>
      </c>
      <c r="E3275" t="s">
        <v>69</v>
      </c>
      <c r="F3275" s="1">
        <v>45</v>
      </c>
      <c r="G3275" t="s">
        <v>107</v>
      </c>
      <c r="H3275" t="s">
        <v>38</v>
      </c>
      <c r="I3275" t="s">
        <v>121</v>
      </c>
      <c r="J3275" t="s">
        <v>54</v>
      </c>
      <c r="K3275" s="2">
        <v>2.6</v>
      </c>
      <c r="L3275" t="s">
        <v>152</v>
      </c>
      <c r="M3275" t="s">
        <v>27</v>
      </c>
      <c r="N3275" t="s">
        <v>40</v>
      </c>
      <c r="O3275" t="s">
        <v>152</v>
      </c>
      <c r="P3275" t="s">
        <v>152</v>
      </c>
      <c r="Q3275" s="3">
        <v>34</v>
      </c>
      <c r="R3275" t="s">
        <v>46</v>
      </c>
      <c r="S3275" t="s">
        <v>97</v>
      </c>
    </row>
    <row r="3276" spans="1:19" x14ac:dyDescent="0.25">
      <c r="A3276">
        <v>3275</v>
      </c>
      <c r="B3276">
        <v>46</v>
      </c>
      <c r="C3276" t="s">
        <v>153</v>
      </c>
      <c r="D3276" t="s">
        <v>31</v>
      </c>
      <c r="E3276" t="s">
        <v>21</v>
      </c>
      <c r="F3276" s="1">
        <v>20</v>
      </c>
      <c r="G3276" t="s">
        <v>101</v>
      </c>
      <c r="H3276" t="s">
        <v>45</v>
      </c>
      <c r="I3276" t="s">
        <v>109</v>
      </c>
      <c r="J3276" t="s">
        <v>39</v>
      </c>
      <c r="K3276" s="2">
        <v>3.9</v>
      </c>
      <c r="L3276" t="s">
        <v>152</v>
      </c>
      <c r="M3276" t="s">
        <v>27</v>
      </c>
      <c r="N3276" t="s">
        <v>76</v>
      </c>
      <c r="O3276" t="s">
        <v>152</v>
      </c>
      <c r="P3276" t="s">
        <v>152</v>
      </c>
      <c r="Q3276" s="3">
        <v>14</v>
      </c>
      <c r="R3276" t="s">
        <v>35</v>
      </c>
      <c r="S3276" t="s">
        <v>30</v>
      </c>
    </row>
    <row r="3277" spans="1:19" x14ac:dyDescent="0.25">
      <c r="A3277">
        <v>3276</v>
      </c>
      <c r="B3277">
        <v>43</v>
      </c>
      <c r="C3277" t="s">
        <v>153</v>
      </c>
      <c r="D3277" t="s">
        <v>95</v>
      </c>
      <c r="E3277" t="s">
        <v>21</v>
      </c>
      <c r="F3277" s="1">
        <v>88</v>
      </c>
      <c r="G3277" t="s">
        <v>90</v>
      </c>
      <c r="H3277" t="s">
        <v>92</v>
      </c>
      <c r="I3277" t="s">
        <v>96</v>
      </c>
      <c r="J3277" t="s">
        <v>54</v>
      </c>
      <c r="K3277" s="2">
        <v>2.6</v>
      </c>
      <c r="L3277" t="s">
        <v>152</v>
      </c>
      <c r="M3277" t="s">
        <v>29</v>
      </c>
      <c r="N3277" t="s">
        <v>72</v>
      </c>
      <c r="O3277" t="s">
        <v>152</v>
      </c>
      <c r="P3277" t="s">
        <v>152</v>
      </c>
      <c r="Q3277" s="3">
        <v>2</v>
      </c>
      <c r="R3277" t="s">
        <v>59</v>
      </c>
      <c r="S3277" t="s">
        <v>41</v>
      </c>
    </row>
    <row r="3278" spans="1:19" x14ac:dyDescent="0.25">
      <c r="A3278">
        <v>3277</v>
      </c>
      <c r="B3278">
        <v>39</v>
      </c>
      <c r="C3278" t="s">
        <v>153</v>
      </c>
      <c r="D3278" t="s">
        <v>119</v>
      </c>
      <c r="E3278" t="s">
        <v>69</v>
      </c>
      <c r="F3278" s="1">
        <v>99</v>
      </c>
      <c r="G3278" t="s">
        <v>147</v>
      </c>
      <c r="H3278" t="s">
        <v>45</v>
      </c>
      <c r="I3278" t="s">
        <v>53</v>
      </c>
      <c r="J3278" t="s">
        <v>54</v>
      </c>
      <c r="K3278" s="2">
        <v>4</v>
      </c>
      <c r="L3278" t="s">
        <v>152</v>
      </c>
      <c r="M3278" t="s">
        <v>27</v>
      </c>
      <c r="N3278" t="s">
        <v>76</v>
      </c>
      <c r="O3278" t="s">
        <v>152</v>
      </c>
      <c r="P3278" t="s">
        <v>152</v>
      </c>
      <c r="Q3278" s="3">
        <v>41</v>
      </c>
      <c r="R3278" t="s">
        <v>46</v>
      </c>
      <c r="S3278" t="s">
        <v>97</v>
      </c>
    </row>
    <row r="3279" spans="1:19" x14ac:dyDescent="0.25">
      <c r="A3279">
        <v>3278</v>
      </c>
      <c r="B3279">
        <v>59</v>
      </c>
      <c r="C3279" t="s">
        <v>153</v>
      </c>
      <c r="D3279" t="s">
        <v>87</v>
      </c>
      <c r="E3279" t="s">
        <v>21</v>
      </c>
      <c r="F3279" s="1">
        <v>86</v>
      </c>
      <c r="G3279" t="s">
        <v>105</v>
      </c>
      <c r="H3279" t="s">
        <v>45</v>
      </c>
      <c r="I3279" t="s">
        <v>144</v>
      </c>
      <c r="J3279" t="s">
        <v>39</v>
      </c>
      <c r="K3279" s="2">
        <v>4.9000000000000004</v>
      </c>
      <c r="L3279" t="s">
        <v>152</v>
      </c>
      <c r="M3279" t="s">
        <v>35</v>
      </c>
      <c r="N3279" t="s">
        <v>76</v>
      </c>
      <c r="O3279" t="s">
        <v>152</v>
      </c>
      <c r="P3279" t="s">
        <v>152</v>
      </c>
      <c r="Q3279" s="3">
        <v>3</v>
      </c>
      <c r="R3279" t="s">
        <v>27</v>
      </c>
      <c r="S3279" t="s">
        <v>88</v>
      </c>
    </row>
    <row r="3280" spans="1:19" x14ac:dyDescent="0.25">
      <c r="A3280">
        <v>3279</v>
      </c>
      <c r="B3280">
        <v>59</v>
      </c>
      <c r="C3280" t="s">
        <v>153</v>
      </c>
      <c r="D3280" t="s">
        <v>82</v>
      </c>
      <c r="E3280" t="s">
        <v>21</v>
      </c>
      <c r="F3280" s="1">
        <v>70</v>
      </c>
      <c r="G3280" t="s">
        <v>57</v>
      </c>
      <c r="H3280" t="s">
        <v>45</v>
      </c>
      <c r="I3280" t="s">
        <v>94</v>
      </c>
      <c r="J3280" t="s">
        <v>54</v>
      </c>
      <c r="K3280" s="2">
        <v>3.3</v>
      </c>
      <c r="L3280" t="s">
        <v>152</v>
      </c>
      <c r="M3280" t="s">
        <v>59</v>
      </c>
      <c r="N3280" t="s">
        <v>72</v>
      </c>
      <c r="O3280" t="s">
        <v>152</v>
      </c>
      <c r="P3280" t="s">
        <v>152</v>
      </c>
      <c r="Q3280" s="3">
        <v>18</v>
      </c>
      <c r="R3280" t="s">
        <v>34</v>
      </c>
      <c r="S3280" t="s">
        <v>41</v>
      </c>
    </row>
    <row r="3281" spans="1:19" x14ac:dyDescent="0.25">
      <c r="A3281">
        <v>3280</v>
      </c>
      <c r="B3281">
        <v>59</v>
      </c>
      <c r="C3281" t="s">
        <v>153</v>
      </c>
      <c r="D3281" t="s">
        <v>124</v>
      </c>
      <c r="E3281" t="s">
        <v>69</v>
      </c>
      <c r="F3281" s="1">
        <v>50</v>
      </c>
      <c r="G3281" t="s">
        <v>52</v>
      </c>
      <c r="H3281" t="s">
        <v>38</v>
      </c>
      <c r="I3281" t="s">
        <v>108</v>
      </c>
      <c r="J3281" t="s">
        <v>58</v>
      </c>
      <c r="K3281" s="2">
        <v>3</v>
      </c>
      <c r="L3281" t="s">
        <v>152</v>
      </c>
      <c r="M3281" t="s">
        <v>27</v>
      </c>
      <c r="N3281" t="s">
        <v>28</v>
      </c>
      <c r="O3281" t="s">
        <v>152</v>
      </c>
      <c r="P3281" t="s">
        <v>152</v>
      </c>
      <c r="Q3281" s="3">
        <v>1</v>
      </c>
      <c r="R3281" t="s">
        <v>59</v>
      </c>
      <c r="S3281" t="s">
        <v>30</v>
      </c>
    </row>
    <row r="3282" spans="1:19" x14ac:dyDescent="0.25">
      <c r="A3282">
        <v>3281</v>
      </c>
      <c r="B3282">
        <v>45</v>
      </c>
      <c r="C3282" t="s">
        <v>153</v>
      </c>
      <c r="D3282" t="s">
        <v>68</v>
      </c>
      <c r="E3282" t="s">
        <v>69</v>
      </c>
      <c r="F3282" s="1">
        <v>57</v>
      </c>
      <c r="G3282" t="s">
        <v>85</v>
      </c>
      <c r="H3282" t="s">
        <v>23</v>
      </c>
      <c r="I3282" t="s">
        <v>108</v>
      </c>
      <c r="J3282" t="s">
        <v>25</v>
      </c>
      <c r="K3282" s="2">
        <v>2.7</v>
      </c>
      <c r="L3282" t="s">
        <v>152</v>
      </c>
      <c r="M3282" t="s">
        <v>27</v>
      </c>
      <c r="N3282" t="s">
        <v>47</v>
      </c>
      <c r="O3282" t="s">
        <v>152</v>
      </c>
      <c r="P3282" t="s">
        <v>152</v>
      </c>
      <c r="Q3282" s="3">
        <v>5</v>
      </c>
      <c r="R3282" t="s">
        <v>46</v>
      </c>
      <c r="S3282" t="s">
        <v>88</v>
      </c>
    </row>
    <row r="3283" spans="1:19" x14ac:dyDescent="0.25">
      <c r="A3283">
        <v>3282</v>
      </c>
      <c r="B3283">
        <v>27</v>
      </c>
      <c r="C3283" t="s">
        <v>153</v>
      </c>
      <c r="D3283" t="s">
        <v>95</v>
      </c>
      <c r="E3283" t="s">
        <v>21</v>
      </c>
      <c r="F3283" s="1">
        <v>69</v>
      </c>
      <c r="G3283" t="s">
        <v>48</v>
      </c>
      <c r="H3283" t="s">
        <v>23</v>
      </c>
      <c r="I3283" t="s">
        <v>81</v>
      </c>
      <c r="J3283" t="s">
        <v>25</v>
      </c>
      <c r="K3283" s="2">
        <v>3.1</v>
      </c>
      <c r="L3283" t="s">
        <v>152</v>
      </c>
      <c r="M3283" t="s">
        <v>59</v>
      </c>
      <c r="N3283" t="s">
        <v>40</v>
      </c>
      <c r="O3283" t="s">
        <v>152</v>
      </c>
      <c r="P3283" t="s">
        <v>152</v>
      </c>
      <c r="Q3283" s="3">
        <v>41</v>
      </c>
      <c r="R3283" t="s">
        <v>34</v>
      </c>
      <c r="S3283" t="s">
        <v>50</v>
      </c>
    </row>
    <row r="3284" spans="1:19" x14ac:dyDescent="0.25">
      <c r="A3284">
        <v>3283</v>
      </c>
      <c r="B3284">
        <v>24</v>
      </c>
      <c r="C3284" t="s">
        <v>153</v>
      </c>
      <c r="D3284" t="s">
        <v>113</v>
      </c>
      <c r="E3284" t="s">
        <v>21</v>
      </c>
      <c r="F3284" s="1">
        <v>94</v>
      </c>
      <c r="G3284" t="s">
        <v>99</v>
      </c>
      <c r="H3284" t="s">
        <v>45</v>
      </c>
      <c r="I3284" t="s">
        <v>108</v>
      </c>
      <c r="J3284" t="s">
        <v>58</v>
      </c>
      <c r="K3284" s="2">
        <v>4.8</v>
      </c>
      <c r="L3284" t="s">
        <v>152</v>
      </c>
      <c r="M3284" t="s">
        <v>34</v>
      </c>
      <c r="N3284" t="s">
        <v>47</v>
      </c>
      <c r="O3284" t="s">
        <v>152</v>
      </c>
      <c r="P3284" t="s">
        <v>152</v>
      </c>
      <c r="Q3284" s="3">
        <v>5</v>
      </c>
      <c r="R3284" t="s">
        <v>27</v>
      </c>
      <c r="S3284" t="s">
        <v>88</v>
      </c>
    </row>
    <row r="3285" spans="1:19" x14ac:dyDescent="0.25">
      <c r="A3285">
        <v>3284</v>
      </c>
      <c r="B3285">
        <v>47</v>
      </c>
      <c r="C3285" t="s">
        <v>153</v>
      </c>
      <c r="D3285" t="s">
        <v>102</v>
      </c>
      <c r="E3285" t="s">
        <v>65</v>
      </c>
      <c r="F3285" s="1">
        <v>24</v>
      </c>
      <c r="G3285" t="s">
        <v>98</v>
      </c>
      <c r="H3285" t="s">
        <v>23</v>
      </c>
      <c r="I3285" t="s">
        <v>75</v>
      </c>
      <c r="J3285" t="s">
        <v>39</v>
      </c>
      <c r="K3285" s="2">
        <v>2.9</v>
      </c>
      <c r="L3285" t="s">
        <v>152</v>
      </c>
      <c r="M3285" t="s">
        <v>27</v>
      </c>
      <c r="N3285" t="s">
        <v>28</v>
      </c>
      <c r="O3285" t="s">
        <v>152</v>
      </c>
      <c r="P3285" t="s">
        <v>152</v>
      </c>
      <c r="Q3285" s="3">
        <v>10</v>
      </c>
      <c r="R3285" t="s">
        <v>59</v>
      </c>
      <c r="S3285" t="s">
        <v>97</v>
      </c>
    </row>
    <row r="3286" spans="1:19" x14ac:dyDescent="0.25">
      <c r="A3286">
        <v>3285</v>
      </c>
      <c r="B3286">
        <v>70</v>
      </c>
      <c r="C3286" t="s">
        <v>153</v>
      </c>
      <c r="D3286" t="s">
        <v>119</v>
      </c>
      <c r="E3286" t="s">
        <v>69</v>
      </c>
      <c r="F3286" s="1">
        <v>79</v>
      </c>
      <c r="G3286" t="s">
        <v>22</v>
      </c>
      <c r="H3286" t="s">
        <v>23</v>
      </c>
      <c r="I3286" t="s">
        <v>53</v>
      </c>
      <c r="J3286" t="s">
        <v>39</v>
      </c>
      <c r="K3286" s="2">
        <v>4.5</v>
      </c>
      <c r="L3286" t="s">
        <v>152</v>
      </c>
      <c r="M3286" t="s">
        <v>59</v>
      </c>
      <c r="N3286" t="s">
        <v>72</v>
      </c>
      <c r="O3286" t="s">
        <v>152</v>
      </c>
      <c r="P3286" t="s">
        <v>152</v>
      </c>
      <c r="Q3286" s="3">
        <v>20</v>
      </c>
      <c r="R3286" t="s">
        <v>29</v>
      </c>
      <c r="S3286" t="s">
        <v>50</v>
      </c>
    </row>
    <row r="3287" spans="1:19" x14ac:dyDescent="0.25">
      <c r="A3287">
        <v>3286</v>
      </c>
      <c r="B3287">
        <v>58</v>
      </c>
      <c r="C3287" t="s">
        <v>153</v>
      </c>
      <c r="D3287" t="s">
        <v>124</v>
      </c>
      <c r="E3287" t="s">
        <v>69</v>
      </c>
      <c r="F3287" s="1">
        <v>31</v>
      </c>
      <c r="G3287" t="s">
        <v>78</v>
      </c>
      <c r="H3287" t="s">
        <v>92</v>
      </c>
      <c r="I3287" t="s">
        <v>136</v>
      </c>
      <c r="J3287" t="s">
        <v>58</v>
      </c>
      <c r="K3287" s="2">
        <v>4.5999999999999996</v>
      </c>
      <c r="L3287" t="s">
        <v>152</v>
      </c>
      <c r="M3287" t="s">
        <v>46</v>
      </c>
      <c r="N3287" t="s">
        <v>40</v>
      </c>
      <c r="O3287" t="s">
        <v>152</v>
      </c>
      <c r="P3287" t="s">
        <v>152</v>
      </c>
      <c r="Q3287" s="3">
        <v>11</v>
      </c>
      <c r="R3287" t="s">
        <v>35</v>
      </c>
      <c r="S3287" t="s">
        <v>41</v>
      </c>
    </row>
    <row r="3288" spans="1:19" x14ac:dyDescent="0.25">
      <c r="A3288">
        <v>3287</v>
      </c>
      <c r="B3288">
        <v>45</v>
      </c>
      <c r="C3288" t="s">
        <v>153</v>
      </c>
      <c r="D3288" t="s">
        <v>102</v>
      </c>
      <c r="E3288" t="s">
        <v>65</v>
      </c>
      <c r="F3288" s="1">
        <v>67</v>
      </c>
      <c r="G3288" t="s">
        <v>115</v>
      </c>
      <c r="H3288" t="s">
        <v>23</v>
      </c>
      <c r="I3288" t="s">
        <v>71</v>
      </c>
      <c r="J3288" t="s">
        <v>25</v>
      </c>
      <c r="K3288" s="2">
        <v>5</v>
      </c>
      <c r="L3288" t="s">
        <v>152</v>
      </c>
      <c r="M3288" t="s">
        <v>29</v>
      </c>
      <c r="N3288" t="s">
        <v>28</v>
      </c>
      <c r="O3288" t="s">
        <v>152</v>
      </c>
      <c r="P3288" t="s">
        <v>152</v>
      </c>
      <c r="Q3288" s="3">
        <v>4</v>
      </c>
      <c r="R3288" t="s">
        <v>29</v>
      </c>
      <c r="S3288" t="s">
        <v>30</v>
      </c>
    </row>
    <row r="3289" spans="1:19" x14ac:dyDescent="0.25">
      <c r="A3289">
        <v>3288</v>
      </c>
      <c r="B3289">
        <v>24</v>
      </c>
      <c r="C3289" t="s">
        <v>153</v>
      </c>
      <c r="D3289" t="s">
        <v>87</v>
      </c>
      <c r="E3289" t="s">
        <v>21</v>
      </c>
      <c r="F3289" s="1">
        <v>63</v>
      </c>
      <c r="G3289" t="s">
        <v>66</v>
      </c>
      <c r="H3289" t="s">
        <v>23</v>
      </c>
      <c r="I3289" t="s">
        <v>94</v>
      </c>
      <c r="J3289" t="s">
        <v>39</v>
      </c>
      <c r="K3289" s="2">
        <v>4.3</v>
      </c>
      <c r="L3289" t="s">
        <v>152</v>
      </c>
      <c r="M3289" t="s">
        <v>46</v>
      </c>
      <c r="N3289" t="s">
        <v>72</v>
      </c>
      <c r="O3289" t="s">
        <v>152</v>
      </c>
      <c r="P3289" t="s">
        <v>152</v>
      </c>
      <c r="Q3289" s="3">
        <v>38</v>
      </c>
      <c r="R3289" t="s">
        <v>27</v>
      </c>
      <c r="S3289" t="s">
        <v>41</v>
      </c>
    </row>
    <row r="3290" spans="1:19" x14ac:dyDescent="0.25">
      <c r="A3290">
        <v>3289</v>
      </c>
      <c r="B3290">
        <v>67</v>
      </c>
      <c r="C3290" t="s">
        <v>153</v>
      </c>
      <c r="D3290" t="s">
        <v>68</v>
      </c>
      <c r="E3290" t="s">
        <v>69</v>
      </c>
      <c r="F3290" s="1">
        <v>61</v>
      </c>
      <c r="G3290" t="s">
        <v>131</v>
      </c>
      <c r="H3290" t="s">
        <v>92</v>
      </c>
      <c r="I3290" t="s">
        <v>53</v>
      </c>
      <c r="J3290" t="s">
        <v>39</v>
      </c>
      <c r="K3290" s="2">
        <v>4.9000000000000004</v>
      </c>
      <c r="L3290" t="s">
        <v>152</v>
      </c>
      <c r="M3290" t="s">
        <v>59</v>
      </c>
      <c r="N3290" t="s">
        <v>47</v>
      </c>
      <c r="O3290" t="s">
        <v>152</v>
      </c>
      <c r="P3290" t="s">
        <v>152</v>
      </c>
      <c r="Q3290" s="3">
        <v>19</v>
      </c>
      <c r="R3290" t="s">
        <v>27</v>
      </c>
      <c r="S3290" t="s">
        <v>77</v>
      </c>
    </row>
    <row r="3291" spans="1:19" x14ac:dyDescent="0.25">
      <c r="A3291">
        <v>3290</v>
      </c>
      <c r="B3291">
        <v>31</v>
      </c>
      <c r="C3291" t="s">
        <v>153</v>
      </c>
      <c r="D3291" t="s">
        <v>132</v>
      </c>
      <c r="E3291" t="s">
        <v>69</v>
      </c>
      <c r="F3291" s="1">
        <v>50</v>
      </c>
      <c r="G3291" t="s">
        <v>57</v>
      </c>
      <c r="H3291" t="s">
        <v>45</v>
      </c>
      <c r="I3291" t="s">
        <v>33</v>
      </c>
      <c r="J3291" t="s">
        <v>54</v>
      </c>
      <c r="K3291" s="2">
        <v>4</v>
      </c>
      <c r="L3291" t="s">
        <v>152</v>
      </c>
      <c r="M3291" t="s">
        <v>29</v>
      </c>
      <c r="N3291" t="s">
        <v>72</v>
      </c>
      <c r="O3291" t="s">
        <v>152</v>
      </c>
      <c r="P3291" t="s">
        <v>152</v>
      </c>
      <c r="Q3291" s="3">
        <v>16</v>
      </c>
      <c r="R3291" t="s">
        <v>29</v>
      </c>
      <c r="S3291" t="s">
        <v>97</v>
      </c>
    </row>
    <row r="3292" spans="1:19" x14ac:dyDescent="0.25">
      <c r="A3292">
        <v>3291</v>
      </c>
      <c r="B3292">
        <v>52</v>
      </c>
      <c r="C3292" t="s">
        <v>153</v>
      </c>
      <c r="D3292" t="s">
        <v>64</v>
      </c>
      <c r="E3292" t="s">
        <v>65</v>
      </c>
      <c r="F3292" s="1">
        <v>82</v>
      </c>
      <c r="G3292" t="s">
        <v>114</v>
      </c>
      <c r="H3292" t="s">
        <v>23</v>
      </c>
      <c r="I3292" t="s">
        <v>94</v>
      </c>
      <c r="J3292" t="s">
        <v>39</v>
      </c>
      <c r="K3292" s="2">
        <v>3.1</v>
      </c>
      <c r="L3292" t="s">
        <v>152</v>
      </c>
      <c r="M3292" t="s">
        <v>34</v>
      </c>
      <c r="N3292" t="s">
        <v>40</v>
      </c>
      <c r="O3292" t="s">
        <v>152</v>
      </c>
      <c r="P3292" t="s">
        <v>152</v>
      </c>
      <c r="Q3292" s="3">
        <v>2</v>
      </c>
      <c r="R3292" t="s">
        <v>46</v>
      </c>
      <c r="S3292" t="s">
        <v>88</v>
      </c>
    </row>
    <row r="3293" spans="1:19" x14ac:dyDescent="0.25">
      <c r="A3293">
        <v>3292</v>
      </c>
      <c r="B3293">
        <v>29</v>
      </c>
      <c r="C3293" t="s">
        <v>153</v>
      </c>
      <c r="D3293" t="s">
        <v>133</v>
      </c>
      <c r="E3293" t="s">
        <v>69</v>
      </c>
      <c r="F3293" s="1">
        <v>51</v>
      </c>
      <c r="G3293" t="s">
        <v>130</v>
      </c>
      <c r="H3293" t="s">
        <v>23</v>
      </c>
      <c r="I3293" t="s">
        <v>79</v>
      </c>
      <c r="J3293" t="s">
        <v>58</v>
      </c>
      <c r="K3293" s="2">
        <v>2.6</v>
      </c>
      <c r="L3293" t="s">
        <v>152</v>
      </c>
      <c r="M3293" t="s">
        <v>34</v>
      </c>
      <c r="N3293" t="s">
        <v>72</v>
      </c>
      <c r="O3293" t="s">
        <v>152</v>
      </c>
      <c r="P3293" t="s">
        <v>152</v>
      </c>
      <c r="Q3293" s="3">
        <v>11</v>
      </c>
      <c r="R3293" t="s">
        <v>35</v>
      </c>
      <c r="S3293" t="s">
        <v>88</v>
      </c>
    </row>
    <row r="3294" spans="1:19" x14ac:dyDescent="0.25">
      <c r="A3294">
        <v>3293</v>
      </c>
      <c r="B3294">
        <v>62</v>
      </c>
      <c r="C3294" t="s">
        <v>153</v>
      </c>
      <c r="D3294" t="s">
        <v>68</v>
      </c>
      <c r="E3294" t="s">
        <v>69</v>
      </c>
      <c r="F3294" s="1">
        <v>23</v>
      </c>
      <c r="G3294" t="s">
        <v>70</v>
      </c>
      <c r="H3294" t="s">
        <v>23</v>
      </c>
      <c r="I3294" t="s">
        <v>24</v>
      </c>
      <c r="J3294" t="s">
        <v>39</v>
      </c>
      <c r="K3294" s="2">
        <v>4.9000000000000004</v>
      </c>
      <c r="L3294" t="s">
        <v>152</v>
      </c>
      <c r="M3294" t="s">
        <v>59</v>
      </c>
      <c r="N3294" t="s">
        <v>55</v>
      </c>
      <c r="O3294" t="s">
        <v>152</v>
      </c>
      <c r="P3294" t="s">
        <v>152</v>
      </c>
      <c r="Q3294" s="3">
        <v>18</v>
      </c>
      <c r="R3294" t="s">
        <v>34</v>
      </c>
      <c r="S3294" t="s">
        <v>30</v>
      </c>
    </row>
    <row r="3295" spans="1:19" x14ac:dyDescent="0.25">
      <c r="A3295">
        <v>3294</v>
      </c>
      <c r="B3295">
        <v>19</v>
      </c>
      <c r="C3295" t="s">
        <v>153</v>
      </c>
      <c r="D3295" t="s">
        <v>64</v>
      </c>
      <c r="E3295" t="s">
        <v>65</v>
      </c>
      <c r="F3295" s="1">
        <v>91</v>
      </c>
      <c r="G3295" t="s">
        <v>66</v>
      </c>
      <c r="H3295" t="s">
        <v>45</v>
      </c>
      <c r="I3295" t="s">
        <v>81</v>
      </c>
      <c r="J3295" t="s">
        <v>39</v>
      </c>
      <c r="K3295" s="2">
        <v>3.5</v>
      </c>
      <c r="L3295" t="s">
        <v>152</v>
      </c>
      <c r="M3295" t="s">
        <v>34</v>
      </c>
      <c r="N3295" t="s">
        <v>72</v>
      </c>
      <c r="O3295" t="s">
        <v>152</v>
      </c>
      <c r="P3295" t="s">
        <v>152</v>
      </c>
      <c r="Q3295" s="3">
        <v>47</v>
      </c>
      <c r="R3295" t="s">
        <v>27</v>
      </c>
      <c r="S3295" t="s">
        <v>30</v>
      </c>
    </row>
    <row r="3296" spans="1:19" x14ac:dyDescent="0.25">
      <c r="A3296">
        <v>3295</v>
      </c>
      <c r="B3296">
        <v>62</v>
      </c>
      <c r="C3296" t="s">
        <v>153</v>
      </c>
      <c r="D3296" t="s">
        <v>31</v>
      </c>
      <c r="E3296" t="s">
        <v>21</v>
      </c>
      <c r="F3296" s="1">
        <v>60</v>
      </c>
      <c r="G3296" t="s">
        <v>131</v>
      </c>
      <c r="H3296" t="s">
        <v>38</v>
      </c>
      <c r="I3296" t="s">
        <v>136</v>
      </c>
      <c r="J3296" t="s">
        <v>39</v>
      </c>
      <c r="K3296" s="2">
        <v>4.5</v>
      </c>
      <c r="L3296" t="s">
        <v>152</v>
      </c>
      <c r="M3296" t="s">
        <v>46</v>
      </c>
      <c r="N3296" t="s">
        <v>76</v>
      </c>
      <c r="O3296" t="s">
        <v>152</v>
      </c>
      <c r="P3296" t="s">
        <v>152</v>
      </c>
      <c r="Q3296" s="3">
        <v>15</v>
      </c>
      <c r="R3296" t="s">
        <v>34</v>
      </c>
      <c r="S3296" t="s">
        <v>77</v>
      </c>
    </row>
    <row r="3297" spans="1:19" x14ac:dyDescent="0.25">
      <c r="A3297">
        <v>3296</v>
      </c>
      <c r="B3297">
        <v>70</v>
      </c>
      <c r="C3297" t="s">
        <v>153</v>
      </c>
      <c r="D3297" t="s">
        <v>20</v>
      </c>
      <c r="E3297" t="s">
        <v>21</v>
      </c>
      <c r="F3297" s="1">
        <v>34</v>
      </c>
      <c r="G3297" t="s">
        <v>66</v>
      </c>
      <c r="H3297" t="s">
        <v>38</v>
      </c>
      <c r="I3297" t="s">
        <v>93</v>
      </c>
      <c r="J3297" t="s">
        <v>54</v>
      </c>
      <c r="K3297" s="2">
        <v>2.8</v>
      </c>
      <c r="L3297" t="s">
        <v>152</v>
      </c>
      <c r="M3297" t="s">
        <v>46</v>
      </c>
      <c r="N3297" t="s">
        <v>47</v>
      </c>
      <c r="O3297" t="s">
        <v>152</v>
      </c>
      <c r="P3297" t="s">
        <v>152</v>
      </c>
      <c r="Q3297" s="3">
        <v>15</v>
      </c>
      <c r="R3297" t="s">
        <v>35</v>
      </c>
      <c r="S3297" t="s">
        <v>41</v>
      </c>
    </row>
    <row r="3298" spans="1:19" x14ac:dyDescent="0.25">
      <c r="A3298">
        <v>3297</v>
      </c>
      <c r="B3298">
        <v>20</v>
      </c>
      <c r="C3298" t="s">
        <v>153</v>
      </c>
      <c r="D3298" t="s">
        <v>20</v>
      </c>
      <c r="E3298" t="s">
        <v>21</v>
      </c>
      <c r="F3298" s="1">
        <v>23</v>
      </c>
      <c r="G3298" t="s">
        <v>120</v>
      </c>
      <c r="H3298" t="s">
        <v>45</v>
      </c>
      <c r="I3298" t="s">
        <v>96</v>
      </c>
      <c r="J3298" t="s">
        <v>39</v>
      </c>
      <c r="K3298" s="2">
        <v>4.2</v>
      </c>
      <c r="L3298" t="s">
        <v>152</v>
      </c>
      <c r="M3298" t="s">
        <v>46</v>
      </c>
      <c r="N3298" t="s">
        <v>47</v>
      </c>
      <c r="O3298" t="s">
        <v>152</v>
      </c>
      <c r="P3298" t="s">
        <v>152</v>
      </c>
      <c r="Q3298" s="3">
        <v>47</v>
      </c>
      <c r="R3298" t="s">
        <v>29</v>
      </c>
      <c r="S3298" t="s">
        <v>60</v>
      </c>
    </row>
    <row r="3299" spans="1:19" x14ac:dyDescent="0.25">
      <c r="A3299">
        <v>3298</v>
      </c>
      <c r="B3299">
        <v>67</v>
      </c>
      <c r="C3299" t="s">
        <v>153</v>
      </c>
      <c r="D3299" t="s">
        <v>133</v>
      </c>
      <c r="E3299" t="s">
        <v>69</v>
      </c>
      <c r="F3299" s="1">
        <v>82</v>
      </c>
      <c r="G3299" t="s">
        <v>66</v>
      </c>
      <c r="H3299" t="s">
        <v>45</v>
      </c>
      <c r="I3299" t="s">
        <v>84</v>
      </c>
      <c r="J3299" t="s">
        <v>58</v>
      </c>
      <c r="K3299" s="2">
        <v>4.0999999999999996</v>
      </c>
      <c r="L3299" t="s">
        <v>152</v>
      </c>
      <c r="M3299" t="s">
        <v>27</v>
      </c>
      <c r="N3299" t="s">
        <v>40</v>
      </c>
      <c r="O3299" t="s">
        <v>152</v>
      </c>
      <c r="P3299" t="s">
        <v>152</v>
      </c>
      <c r="Q3299" s="3">
        <v>47</v>
      </c>
      <c r="R3299" t="s">
        <v>46</v>
      </c>
      <c r="S3299" t="s">
        <v>88</v>
      </c>
    </row>
    <row r="3300" spans="1:19" x14ac:dyDescent="0.25">
      <c r="A3300">
        <v>3299</v>
      </c>
      <c r="B3300">
        <v>65</v>
      </c>
      <c r="C3300" t="s">
        <v>153</v>
      </c>
      <c r="D3300" t="s">
        <v>102</v>
      </c>
      <c r="E3300" t="s">
        <v>65</v>
      </c>
      <c r="F3300" s="1">
        <v>73</v>
      </c>
      <c r="G3300" t="s">
        <v>130</v>
      </c>
      <c r="H3300" t="s">
        <v>45</v>
      </c>
      <c r="I3300" t="s">
        <v>110</v>
      </c>
      <c r="J3300" t="s">
        <v>58</v>
      </c>
      <c r="K3300" s="2">
        <v>3.5</v>
      </c>
      <c r="L3300" t="s">
        <v>152</v>
      </c>
      <c r="M3300" t="s">
        <v>46</v>
      </c>
      <c r="N3300" t="s">
        <v>28</v>
      </c>
      <c r="O3300" t="s">
        <v>152</v>
      </c>
      <c r="P3300" t="s">
        <v>152</v>
      </c>
      <c r="Q3300" s="3">
        <v>6</v>
      </c>
      <c r="R3300" t="s">
        <v>34</v>
      </c>
      <c r="S3300" t="s">
        <v>97</v>
      </c>
    </row>
    <row r="3301" spans="1:19" x14ac:dyDescent="0.25">
      <c r="A3301">
        <v>3300</v>
      </c>
      <c r="B3301">
        <v>45</v>
      </c>
      <c r="C3301" t="s">
        <v>153</v>
      </c>
      <c r="D3301" t="s">
        <v>61</v>
      </c>
      <c r="E3301" t="s">
        <v>21</v>
      </c>
      <c r="F3301" s="1">
        <v>32</v>
      </c>
      <c r="G3301" t="s">
        <v>147</v>
      </c>
      <c r="H3301" t="s">
        <v>23</v>
      </c>
      <c r="I3301" t="s">
        <v>86</v>
      </c>
      <c r="J3301" t="s">
        <v>39</v>
      </c>
      <c r="K3301" s="2">
        <v>4</v>
      </c>
      <c r="L3301" t="s">
        <v>152</v>
      </c>
      <c r="M3301" t="s">
        <v>34</v>
      </c>
      <c r="N3301" t="s">
        <v>72</v>
      </c>
      <c r="O3301" t="s">
        <v>152</v>
      </c>
      <c r="P3301" t="s">
        <v>152</v>
      </c>
      <c r="Q3301" s="3">
        <v>18</v>
      </c>
      <c r="R3301" t="s">
        <v>29</v>
      </c>
      <c r="S3301" t="s">
        <v>88</v>
      </c>
    </row>
    <row r="3302" spans="1:19" x14ac:dyDescent="0.25">
      <c r="A3302">
        <v>3301</v>
      </c>
      <c r="B3302">
        <v>26</v>
      </c>
      <c r="C3302" t="s">
        <v>153</v>
      </c>
      <c r="D3302" t="s">
        <v>124</v>
      </c>
      <c r="E3302" t="s">
        <v>69</v>
      </c>
      <c r="F3302" s="1">
        <v>80</v>
      </c>
      <c r="G3302" t="s">
        <v>101</v>
      </c>
      <c r="H3302" t="s">
        <v>45</v>
      </c>
      <c r="I3302" t="s">
        <v>63</v>
      </c>
      <c r="J3302" t="s">
        <v>39</v>
      </c>
      <c r="K3302" s="2">
        <v>4</v>
      </c>
      <c r="L3302" t="s">
        <v>152</v>
      </c>
      <c r="M3302" t="s">
        <v>59</v>
      </c>
      <c r="N3302" t="s">
        <v>28</v>
      </c>
      <c r="O3302" t="s">
        <v>152</v>
      </c>
      <c r="P3302" t="s">
        <v>152</v>
      </c>
      <c r="Q3302" s="3">
        <v>40</v>
      </c>
      <c r="R3302" t="s">
        <v>34</v>
      </c>
      <c r="S3302" t="s">
        <v>77</v>
      </c>
    </row>
    <row r="3303" spans="1:19" x14ac:dyDescent="0.25">
      <c r="A3303">
        <v>3302</v>
      </c>
      <c r="B3303">
        <v>36</v>
      </c>
      <c r="C3303" t="s">
        <v>153</v>
      </c>
      <c r="D3303" t="s">
        <v>95</v>
      </c>
      <c r="E3303" t="s">
        <v>21</v>
      </c>
      <c r="F3303" s="1">
        <v>58</v>
      </c>
      <c r="G3303" t="s">
        <v>101</v>
      </c>
      <c r="H3303" t="s">
        <v>92</v>
      </c>
      <c r="I3303" t="s">
        <v>63</v>
      </c>
      <c r="J3303" t="s">
        <v>54</v>
      </c>
      <c r="K3303" s="2">
        <v>2.5</v>
      </c>
      <c r="L3303" t="s">
        <v>152</v>
      </c>
      <c r="M3303" t="s">
        <v>46</v>
      </c>
      <c r="N3303" t="s">
        <v>40</v>
      </c>
      <c r="O3303" t="s">
        <v>152</v>
      </c>
      <c r="P3303" t="s">
        <v>152</v>
      </c>
      <c r="Q3303" s="3">
        <v>31</v>
      </c>
      <c r="R3303" t="s">
        <v>27</v>
      </c>
      <c r="S3303" t="s">
        <v>30</v>
      </c>
    </row>
    <row r="3304" spans="1:19" x14ac:dyDescent="0.25">
      <c r="A3304">
        <v>3303</v>
      </c>
      <c r="B3304">
        <v>36</v>
      </c>
      <c r="C3304" t="s">
        <v>153</v>
      </c>
      <c r="D3304" t="s">
        <v>20</v>
      </c>
      <c r="E3304" t="s">
        <v>21</v>
      </c>
      <c r="F3304" s="1">
        <v>82</v>
      </c>
      <c r="G3304" t="s">
        <v>90</v>
      </c>
      <c r="H3304" t="s">
        <v>92</v>
      </c>
      <c r="I3304" t="s">
        <v>118</v>
      </c>
      <c r="J3304" t="s">
        <v>25</v>
      </c>
      <c r="K3304" s="2">
        <v>4.2</v>
      </c>
      <c r="L3304" t="s">
        <v>152</v>
      </c>
      <c r="M3304" t="s">
        <v>29</v>
      </c>
      <c r="N3304" t="s">
        <v>55</v>
      </c>
      <c r="O3304" t="s">
        <v>152</v>
      </c>
      <c r="P3304" t="s">
        <v>152</v>
      </c>
      <c r="Q3304" s="3">
        <v>31</v>
      </c>
      <c r="R3304" t="s">
        <v>29</v>
      </c>
      <c r="S3304" t="s">
        <v>77</v>
      </c>
    </row>
    <row r="3305" spans="1:19" x14ac:dyDescent="0.25">
      <c r="A3305">
        <v>3304</v>
      </c>
      <c r="B3305">
        <v>20</v>
      </c>
      <c r="C3305" t="s">
        <v>153</v>
      </c>
      <c r="D3305" t="s">
        <v>133</v>
      </c>
      <c r="E3305" t="s">
        <v>69</v>
      </c>
      <c r="F3305" s="1">
        <v>60</v>
      </c>
      <c r="G3305" t="s">
        <v>91</v>
      </c>
      <c r="H3305" t="s">
        <v>38</v>
      </c>
      <c r="I3305" t="s">
        <v>49</v>
      </c>
      <c r="J3305" t="s">
        <v>54</v>
      </c>
      <c r="K3305" s="2">
        <v>3.4</v>
      </c>
      <c r="L3305" t="s">
        <v>152</v>
      </c>
      <c r="M3305" t="s">
        <v>46</v>
      </c>
      <c r="N3305" t="s">
        <v>47</v>
      </c>
      <c r="O3305" t="s">
        <v>152</v>
      </c>
      <c r="P3305" t="s">
        <v>152</v>
      </c>
      <c r="Q3305" s="3">
        <v>4</v>
      </c>
      <c r="R3305" t="s">
        <v>27</v>
      </c>
      <c r="S3305" t="s">
        <v>30</v>
      </c>
    </row>
    <row r="3306" spans="1:19" x14ac:dyDescent="0.25">
      <c r="A3306">
        <v>3305</v>
      </c>
      <c r="B3306">
        <v>30</v>
      </c>
      <c r="C3306" t="s">
        <v>153</v>
      </c>
      <c r="D3306" t="s">
        <v>68</v>
      </c>
      <c r="E3306" t="s">
        <v>69</v>
      </c>
      <c r="F3306" s="1">
        <v>79</v>
      </c>
      <c r="G3306" t="s">
        <v>91</v>
      </c>
      <c r="H3306" t="s">
        <v>92</v>
      </c>
      <c r="I3306" t="s">
        <v>121</v>
      </c>
      <c r="J3306" t="s">
        <v>58</v>
      </c>
      <c r="K3306" s="2">
        <v>4.8</v>
      </c>
      <c r="L3306" t="s">
        <v>152</v>
      </c>
      <c r="M3306" t="s">
        <v>59</v>
      </c>
      <c r="N3306" t="s">
        <v>47</v>
      </c>
      <c r="O3306" t="s">
        <v>152</v>
      </c>
      <c r="P3306" t="s">
        <v>152</v>
      </c>
      <c r="Q3306" s="3">
        <v>36</v>
      </c>
      <c r="R3306" t="s">
        <v>34</v>
      </c>
      <c r="S3306" t="s">
        <v>97</v>
      </c>
    </row>
    <row r="3307" spans="1:19" x14ac:dyDescent="0.25">
      <c r="A3307">
        <v>3306</v>
      </c>
      <c r="B3307">
        <v>34</v>
      </c>
      <c r="C3307" t="s">
        <v>153</v>
      </c>
      <c r="D3307" t="s">
        <v>104</v>
      </c>
      <c r="E3307" t="s">
        <v>21</v>
      </c>
      <c r="F3307" s="1">
        <v>41</v>
      </c>
      <c r="G3307" t="s">
        <v>145</v>
      </c>
      <c r="H3307" t="s">
        <v>23</v>
      </c>
      <c r="I3307" t="s">
        <v>109</v>
      </c>
      <c r="J3307" t="s">
        <v>54</v>
      </c>
      <c r="K3307" s="2">
        <v>4.9000000000000004</v>
      </c>
      <c r="L3307" t="s">
        <v>152</v>
      </c>
      <c r="M3307" t="s">
        <v>34</v>
      </c>
      <c r="N3307" t="s">
        <v>55</v>
      </c>
      <c r="O3307" t="s">
        <v>152</v>
      </c>
      <c r="P3307" t="s">
        <v>152</v>
      </c>
      <c r="Q3307" s="3">
        <v>31</v>
      </c>
      <c r="R3307" t="s">
        <v>46</v>
      </c>
      <c r="S3307" t="s">
        <v>77</v>
      </c>
    </row>
    <row r="3308" spans="1:19" x14ac:dyDescent="0.25">
      <c r="A3308">
        <v>3307</v>
      </c>
      <c r="B3308">
        <v>63</v>
      </c>
      <c r="C3308" t="s">
        <v>153</v>
      </c>
      <c r="D3308" t="s">
        <v>102</v>
      </c>
      <c r="E3308" t="s">
        <v>65</v>
      </c>
      <c r="F3308" s="1">
        <v>39</v>
      </c>
      <c r="G3308" t="s">
        <v>112</v>
      </c>
      <c r="H3308" t="s">
        <v>23</v>
      </c>
      <c r="I3308" t="s">
        <v>121</v>
      </c>
      <c r="J3308" t="s">
        <v>54</v>
      </c>
      <c r="K3308" s="2">
        <v>3.6</v>
      </c>
      <c r="L3308" t="s">
        <v>152</v>
      </c>
      <c r="M3308" t="s">
        <v>35</v>
      </c>
      <c r="N3308" t="s">
        <v>76</v>
      </c>
      <c r="O3308" t="s">
        <v>152</v>
      </c>
      <c r="P3308" t="s">
        <v>152</v>
      </c>
      <c r="Q3308" s="3">
        <v>6</v>
      </c>
      <c r="R3308" t="s">
        <v>29</v>
      </c>
      <c r="S3308" t="s">
        <v>30</v>
      </c>
    </row>
    <row r="3309" spans="1:19" x14ac:dyDescent="0.25">
      <c r="A3309">
        <v>3308</v>
      </c>
      <c r="B3309">
        <v>18</v>
      </c>
      <c r="C3309" t="s">
        <v>153</v>
      </c>
      <c r="D3309" t="s">
        <v>119</v>
      </c>
      <c r="E3309" t="s">
        <v>69</v>
      </c>
      <c r="F3309" s="1">
        <v>36</v>
      </c>
      <c r="G3309" t="s">
        <v>138</v>
      </c>
      <c r="H3309" t="s">
        <v>38</v>
      </c>
      <c r="I3309" t="s">
        <v>96</v>
      </c>
      <c r="J3309" t="s">
        <v>25</v>
      </c>
      <c r="K3309" s="2">
        <v>4</v>
      </c>
      <c r="L3309" t="s">
        <v>152</v>
      </c>
      <c r="M3309" t="s">
        <v>27</v>
      </c>
      <c r="N3309" t="s">
        <v>76</v>
      </c>
      <c r="O3309" t="s">
        <v>152</v>
      </c>
      <c r="P3309" t="s">
        <v>152</v>
      </c>
      <c r="Q3309" s="3">
        <v>1</v>
      </c>
      <c r="R3309" t="s">
        <v>35</v>
      </c>
      <c r="S3309" t="s">
        <v>88</v>
      </c>
    </row>
    <row r="3310" spans="1:19" x14ac:dyDescent="0.25">
      <c r="A3310">
        <v>3309</v>
      </c>
      <c r="B3310">
        <v>55</v>
      </c>
      <c r="C3310" t="s">
        <v>153</v>
      </c>
      <c r="D3310" t="s">
        <v>36</v>
      </c>
      <c r="E3310" t="s">
        <v>21</v>
      </c>
      <c r="F3310" s="1">
        <v>70</v>
      </c>
      <c r="G3310" t="s">
        <v>140</v>
      </c>
      <c r="H3310" t="s">
        <v>45</v>
      </c>
      <c r="I3310" t="s">
        <v>71</v>
      </c>
      <c r="J3310" t="s">
        <v>58</v>
      </c>
      <c r="K3310" s="2">
        <v>2.6</v>
      </c>
      <c r="L3310" t="s">
        <v>152</v>
      </c>
      <c r="M3310" t="s">
        <v>29</v>
      </c>
      <c r="N3310" t="s">
        <v>28</v>
      </c>
      <c r="O3310" t="s">
        <v>152</v>
      </c>
      <c r="P3310" t="s">
        <v>152</v>
      </c>
      <c r="Q3310" s="3">
        <v>29</v>
      </c>
      <c r="R3310" t="s">
        <v>35</v>
      </c>
      <c r="S3310" t="s">
        <v>88</v>
      </c>
    </row>
    <row r="3311" spans="1:19" x14ac:dyDescent="0.25">
      <c r="A3311">
        <v>3310</v>
      </c>
      <c r="B3311">
        <v>48</v>
      </c>
      <c r="C3311" t="s">
        <v>153</v>
      </c>
      <c r="D3311" t="s">
        <v>68</v>
      </c>
      <c r="E3311" t="s">
        <v>69</v>
      </c>
      <c r="F3311" s="1">
        <v>47</v>
      </c>
      <c r="G3311" t="s">
        <v>37</v>
      </c>
      <c r="H3311" t="s">
        <v>45</v>
      </c>
      <c r="I3311" t="s">
        <v>144</v>
      </c>
      <c r="J3311" t="s">
        <v>54</v>
      </c>
      <c r="K3311" s="2">
        <v>3.1</v>
      </c>
      <c r="L3311" t="s">
        <v>152</v>
      </c>
      <c r="M3311" t="s">
        <v>27</v>
      </c>
      <c r="N3311" t="s">
        <v>76</v>
      </c>
      <c r="O3311" t="s">
        <v>152</v>
      </c>
      <c r="P3311" t="s">
        <v>152</v>
      </c>
      <c r="Q3311" s="3">
        <v>19</v>
      </c>
      <c r="R3311" t="s">
        <v>46</v>
      </c>
      <c r="S3311" t="s">
        <v>88</v>
      </c>
    </row>
    <row r="3312" spans="1:19" x14ac:dyDescent="0.25">
      <c r="A3312">
        <v>3311</v>
      </c>
      <c r="B3312">
        <v>45</v>
      </c>
      <c r="C3312" t="s">
        <v>153</v>
      </c>
      <c r="D3312" t="s">
        <v>102</v>
      </c>
      <c r="E3312" t="s">
        <v>65</v>
      </c>
      <c r="F3312" s="1">
        <v>27</v>
      </c>
      <c r="G3312" t="s">
        <v>146</v>
      </c>
      <c r="H3312" t="s">
        <v>45</v>
      </c>
      <c r="I3312" t="s">
        <v>71</v>
      </c>
      <c r="J3312" t="s">
        <v>25</v>
      </c>
      <c r="K3312" s="2">
        <v>3.6</v>
      </c>
      <c r="L3312" t="s">
        <v>152</v>
      </c>
      <c r="M3312" t="s">
        <v>59</v>
      </c>
      <c r="N3312" t="s">
        <v>40</v>
      </c>
      <c r="O3312" t="s">
        <v>152</v>
      </c>
      <c r="P3312" t="s">
        <v>152</v>
      </c>
      <c r="Q3312" s="3">
        <v>12</v>
      </c>
      <c r="R3312" t="s">
        <v>46</v>
      </c>
      <c r="S3312" t="s">
        <v>30</v>
      </c>
    </row>
    <row r="3313" spans="1:19" x14ac:dyDescent="0.25">
      <c r="A3313">
        <v>3312</v>
      </c>
      <c r="B3313">
        <v>29</v>
      </c>
      <c r="C3313" t="s">
        <v>153</v>
      </c>
      <c r="D3313" t="s">
        <v>124</v>
      </c>
      <c r="E3313" t="s">
        <v>69</v>
      </c>
      <c r="F3313" s="1">
        <v>52</v>
      </c>
      <c r="G3313" t="s">
        <v>103</v>
      </c>
      <c r="H3313" t="s">
        <v>23</v>
      </c>
      <c r="I3313" t="s">
        <v>144</v>
      </c>
      <c r="J3313" t="s">
        <v>54</v>
      </c>
      <c r="K3313" s="2">
        <v>4</v>
      </c>
      <c r="L3313" t="s">
        <v>152</v>
      </c>
      <c r="M3313" t="s">
        <v>46</v>
      </c>
      <c r="N3313" t="s">
        <v>28</v>
      </c>
      <c r="O3313" t="s">
        <v>152</v>
      </c>
      <c r="P3313" t="s">
        <v>152</v>
      </c>
      <c r="Q3313" s="3">
        <v>18</v>
      </c>
      <c r="R3313" t="s">
        <v>34</v>
      </c>
      <c r="S3313" t="s">
        <v>50</v>
      </c>
    </row>
    <row r="3314" spans="1:19" x14ac:dyDescent="0.25">
      <c r="A3314">
        <v>3313</v>
      </c>
      <c r="B3314">
        <v>55</v>
      </c>
      <c r="C3314" t="s">
        <v>153</v>
      </c>
      <c r="D3314" t="s">
        <v>51</v>
      </c>
      <c r="E3314" t="s">
        <v>43</v>
      </c>
      <c r="F3314" s="1">
        <v>75</v>
      </c>
      <c r="G3314" t="s">
        <v>62</v>
      </c>
      <c r="H3314" t="s">
        <v>23</v>
      </c>
      <c r="I3314" t="s">
        <v>94</v>
      </c>
      <c r="J3314" t="s">
        <v>54</v>
      </c>
      <c r="K3314" s="2">
        <v>3.9</v>
      </c>
      <c r="L3314" t="s">
        <v>152</v>
      </c>
      <c r="M3314" t="s">
        <v>29</v>
      </c>
      <c r="N3314" t="s">
        <v>47</v>
      </c>
      <c r="O3314" t="s">
        <v>152</v>
      </c>
      <c r="P3314" t="s">
        <v>152</v>
      </c>
      <c r="Q3314" s="3">
        <v>45</v>
      </c>
      <c r="R3314" t="s">
        <v>35</v>
      </c>
      <c r="S3314" t="s">
        <v>60</v>
      </c>
    </row>
    <row r="3315" spans="1:19" x14ac:dyDescent="0.25">
      <c r="A3315">
        <v>3314</v>
      </c>
      <c r="B3315">
        <v>55</v>
      </c>
      <c r="C3315" t="s">
        <v>153</v>
      </c>
      <c r="D3315" t="s">
        <v>124</v>
      </c>
      <c r="E3315" t="s">
        <v>69</v>
      </c>
      <c r="F3315" s="1">
        <v>30</v>
      </c>
      <c r="G3315" t="s">
        <v>111</v>
      </c>
      <c r="H3315" t="s">
        <v>92</v>
      </c>
      <c r="I3315" t="s">
        <v>94</v>
      </c>
      <c r="J3315" t="s">
        <v>58</v>
      </c>
      <c r="K3315" s="2">
        <v>3.9</v>
      </c>
      <c r="L3315" t="s">
        <v>152</v>
      </c>
      <c r="M3315" t="s">
        <v>35</v>
      </c>
      <c r="N3315" t="s">
        <v>28</v>
      </c>
      <c r="O3315" t="s">
        <v>152</v>
      </c>
      <c r="P3315" t="s">
        <v>152</v>
      </c>
      <c r="Q3315" s="3">
        <v>45</v>
      </c>
      <c r="R3315" t="s">
        <v>27</v>
      </c>
      <c r="S3315" t="s">
        <v>88</v>
      </c>
    </row>
    <row r="3316" spans="1:19" x14ac:dyDescent="0.25">
      <c r="A3316">
        <v>3315</v>
      </c>
      <c r="B3316">
        <v>55</v>
      </c>
      <c r="C3316" t="s">
        <v>153</v>
      </c>
      <c r="D3316" t="s">
        <v>125</v>
      </c>
      <c r="E3316" t="s">
        <v>21</v>
      </c>
      <c r="F3316" s="1">
        <v>94</v>
      </c>
      <c r="G3316" t="s">
        <v>111</v>
      </c>
      <c r="H3316" t="s">
        <v>45</v>
      </c>
      <c r="I3316" t="s">
        <v>84</v>
      </c>
      <c r="J3316" t="s">
        <v>39</v>
      </c>
      <c r="K3316" s="2">
        <v>3.3</v>
      </c>
      <c r="L3316" t="s">
        <v>152</v>
      </c>
      <c r="M3316" t="s">
        <v>46</v>
      </c>
      <c r="N3316" t="s">
        <v>55</v>
      </c>
      <c r="O3316" t="s">
        <v>152</v>
      </c>
      <c r="P3316" t="s">
        <v>152</v>
      </c>
      <c r="Q3316" s="3">
        <v>8</v>
      </c>
      <c r="R3316" t="s">
        <v>27</v>
      </c>
      <c r="S3316" t="s">
        <v>60</v>
      </c>
    </row>
    <row r="3317" spans="1:19" x14ac:dyDescent="0.25">
      <c r="A3317">
        <v>3316</v>
      </c>
      <c r="B3317">
        <v>48</v>
      </c>
      <c r="C3317" t="s">
        <v>153</v>
      </c>
      <c r="D3317" t="s">
        <v>119</v>
      </c>
      <c r="E3317" t="s">
        <v>69</v>
      </c>
      <c r="F3317" s="1">
        <v>68</v>
      </c>
      <c r="G3317" t="s">
        <v>22</v>
      </c>
      <c r="H3317" t="s">
        <v>38</v>
      </c>
      <c r="I3317" t="s">
        <v>81</v>
      </c>
      <c r="J3317" t="s">
        <v>54</v>
      </c>
      <c r="K3317" s="2">
        <v>2.9</v>
      </c>
      <c r="L3317" t="s">
        <v>152</v>
      </c>
      <c r="M3317" t="s">
        <v>27</v>
      </c>
      <c r="N3317" t="s">
        <v>55</v>
      </c>
      <c r="O3317" t="s">
        <v>152</v>
      </c>
      <c r="P3317" t="s">
        <v>152</v>
      </c>
      <c r="Q3317" s="3">
        <v>4</v>
      </c>
      <c r="R3317" t="s">
        <v>46</v>
      </c>
      <c r="S3317" t="s">
        <v>97</v>
      </c>
    </row>
    <row r="3318" spans="1:19" x14ac:dyDescent="0.25">
      <c r="A3318">
        <v>3317</v>
      </c>
      <c r="B3318">
        <v>42</v>
      </c>
      <c r="C3318" t="s">
        <v>153</v>
      </c>
      <c r="D3318" t="s">
        <v>125</v>
      </c>
      <c r="E3318" t="s">
        <v>21</v>
      </c>
      <c r="F3318" s="1">
        <v>45</v>
      </c>
      <c r="G3318" t="s">
        <v>130</v>
      </c>
      <c r="H3318" t="s">
        <v>45</v>
      </c>
      <c r="I3318" t="s">
        <v>79</v>
      </c>
      <c r="J3318" t="s">
        <v>54</v>
      </c>
      <c r="K3318" s="2">
        <v>3.1</v>
      </c>
      <c r="L3318" t="s">
        <v>152</v>
      </c>
      <c r="M3318" t="s">
        <v>35</v>
      </c>
      <c r="N3318" t="s">
        <v>40</v>
      </c>
      <c r="O3318" t="s">
        <v>152</v>
      </c>
      <c r="P3318" t="s">
        <v>152</v>
      </c>
      <c r="Q3318" s="3">
        <v>5</v>
      </c>
      <c r="R3318" t="s">
        <v>59</v>
      </c>
      <c r="S3318" t="s">
        <v>30</v>
      </c>
    </row>
    <row r="3319" spans="1:19" x14ac:dyDescent="0.25">
      <c r="A3319">
        <v>3318</v>
      </c>
      <c r="B3319">
        <v>21</v>
      </c>
      <c r="C3319" t="s">
        <v>153</v>
      </c>
      <c r="D3319" t="s">
        <v>124</v>
      </c>
      <c r="E3319" t="s">
        <v>69</v>
      </c>
      <c r="F3319" s="1">
        <v>67</v>
      </c>
      <c r="G3319" t="s">
        <v>98</v>
      </c>
      <c r="H3319" t="s">
        <v>92</v>
      </c>
      <c r="I3319" t="s">
        <v>71</v>
      </c>
      <c r="J3319" t="s">
        <v>54</v>
      </c>
      <c r="K3319" s="2">
        <v>4.7</v>
      </c>
      <c r="L3319" t="s">
        <v>152</v>
      </c>
      <c r="M3319" t="s">
        <v>59</v>
      </c>
      <c r="N3319" t="s">
        <v>55</v>
      </c>
      <c r="O3319" t="s">
        <v>152</v>
      </c>
      <c r="P3319" t="s">
        <v>152</v>
      </c>
      <c r="Q3319" s="3">
        <v>30</v>
      </c>
      <c r="R3319" t="s">
        <v>35</v>
      </c>
      <c r="S3319" t="s">
        <v>60</v>
      </c>
    </row>
    <row r="3320" spans="1:19" x14ac:dyDescent="0.25">
      <c r="A3320">
        <v>3319</v>
      </c>
      <c r="B3320">
        <v>45</v>
      </c>
      <c r="C3320" t="s">
        <v>153</v>
      </c>
      <c r="D3320" t="s">
        <v>102</v>
      </c>
      <c r="E3320" t="s">
        <v>65</v>
      </c>
      <c r="F3320" s="1">
        <v>46</v>
      </c>
      <c r="G3320" t="s">
        <v>114</v>
      </c>
      <c r="H3320" t="s">
        <v>45</v>
      </c>
      <c r="I3320" t="s">
        <v>79</v>
      </c>
      <c r="J3320" t="s">
        <v>54</v>
      </c>
      <c r="K3320" s="2">
        <v>3.9</v>
      </c>
      <c r="L3320" t="s">
        <v>152</v>
      </c>
      <c r="M3320" t="s">
        <v>29</v>
      </c>
      <c r="N3320" t="s">
        <v>40</v>
      </c>
      <c r="O3320" t="s">
        <v>152</v>
      </c>
      <c r="P3320" t="s">
        <v>152</v>
      </c>
      <c r="Q3320" s="3">
        <v>15</v>
      </c>
      <c r="R3320" t="s">
        <v>46</v>
      </c>
      <c r="S3320" t="s">
        <v>88</v>
      </c>
    </row>
    <row r="3321" spans="1:19" x14ac:dyDescent="0.25">
      <c r="A3321">
        <v>3320</v>
      </c>
      <c r="B3321">
        <v>23</v>
      </c>
      <c r="C3321" t="s">
        <v>153</v>
      </c>
      <c r="D3321" t="s">
        <v>61</v>
      </c>
      <c r="E3321" t="s">
        <v>21</v>
      </c>
      <c r="F3321" s="1">
        <v>31</v>
      </c>
      <c r="G3321" t="s">
        <v>114</v>
      </c>
      <c r="H3321" t="s">
        <v>45</v>
      </c>
      <c r="I3321" t="s">
        <v>126</v>
      </c>
      <c r="J3321" t="s">
        <v>54</v>
      </c>
      <c r="K3321" s="2">
        <v>4.3</v>
      </c>
      <c r="L3321" t="s">
        <v>152</v>
      </c>
      <c r="M3321" t="s">
        <v>35</v>
      </c>
      <c r="N3321" t="s">
        <v>47</v>
      </c>
      <c r="O3321" t="s">
        <v>152</v>
      </c>
      <c r="P3321" t="s">
        <v>152</v>
      </c>
      <c r="Q3321" s="3">
        <v>17</v>
      </c>
      <c r="R3321" t="s">
        <v>27</v>
      </c>
      <c r="S3321" t="s">
        <v>97</v>
      </c>
    </row>
    <row r="3322" spans="1:19" x14ac:dyDescent="0.25">
      <c r="A3322">
        <v>3321</v>
      </c>
      <c r="B3322">
        <v>66</v>
      </c>
      <c r="C3322" t="s">
        <v>153</v>
      </c>
      <c r="D3322" t="s">
        <v>20</v>
      </c>
      <c r="E3322" t="s">
        <v>21</v>
      </c>
      <c r="F3322" s="1">
        <v>44</v>
      </c>
      <c r="G3322" t="s">
        <v>115</v>
      </c>
      <c r="H3322" t="s">
        <v>92</v>
      </c>
      <c r="I3322" t="s">
        <v>67</v>
      </c>
      <c r="J3322" t="s">
        <v>58</v>
      </c>
      <c r="K3322" s="2">
        <v>4.2</v>
      </c>
      <c r="L3322" t="s">
        <v>152</v>
      </c>
      <c r="M3322" t="s">
        <v>35</v>
      </c>
      <c r="N3322" t="s">
        <v>72</v>
      </c>
      <c r="O3322" t="s">
        <v>152</v>
      </c>
      <c r="P3322" t="s">
        <v>152</v>
      </c>
      <c r="Q3322" s="3">
        <v>45</v>
      </c>
      <c r="R3322" t="s">
        <v>35</v>
      </c>
      <c r="S3322" t="s">
        <v>97</v>
      </c>
    </row>
    <row r="3323" spans="1:19" x14ac:dyDescent="0.25">
      <c r="A3323">
        <v>3322</v>
      </c>
      <c r="B3323">
        <v>32</v>
      </c>
      <c r="C3323" t="s">
        <v>153</v>
      </c>
      <c r="D3323" t="s">
        <v>64</v>
      </c>
      <c r="E3323" t="s">
        <v>65</v>
      </c>
      <c r="F3323" s="1">
        <v>100</v>
      </c>
      <c r="G3323" t="s">
        <v>32</v>
      </c>
      <c r="H3323" t="s">
        <v>38</v>
      </c>
      <c r="I3323" t="s">
        <v>63</v>
      </c>
      <c r="J3323" t="s">
        <v>25</v>
      </c>
      <c r="K3323" s="2">
        <v>4.3</v>
      </c>
      <c r="L3323" t="s">
        <v>152</v>
      </c>
      <c r="M3323" t="s">
        <v>34</v>
      </c>
      <c r="N3323" t="s">
        <v>47</v>
      </c>
      <c r="O3323" t="s">
        <v>152</v>
      </c>
      <c r="P3323" t="s">
        <v>152</v>
      </c>
      <c r="Q3323" s="3">
        <v>3</v>
      </c>
      <c r="R3323" t="s">
        <v>29</v>
      </c>
      <c r="S3323" t="s">
        <v>50</v>
      </c>
    </row>
    <row r="3324" spans="1:19" x14ac:dyDescent="0.25">
      <c r="A3324">
        <v>3323</v>
      </c>
      <c r="B3324">
        <v>52</v>
      </c>
      <c r="C3324" t="s">
        <v>153</v>
      </c>
      <c r="D3324" t="s">
        <v>31</v>
      </c>
      <c r="E3324" t="s">
        <v>21</v>
      </c>
      <c r="F3324" s="1">
        <v>92</v>
      </c>
      <c r="G3324" t="s">
        <v>116</v>
      </c>
      <c r="H3324" t="s">
        <v>92</v>
      </c>
      <c r="I3324" t="s">
        <v>121</v>
      </c>
      <c r="J3324" t="s">
        <v>25</v>
      </c>
      <c r="K3324" s="2">
        <v>4.5999999999999996</v>
      </c>
      <c r="L3324" t="s">
        <v>152</v>
      </c>
      <c r="M3324" t="s">
        <v>27</v>
      </c>
      <c r="N3324" t="s">
        <v>47</v>
      </c>
      <c r="O3324" t="s">
        <v>152</v>
      </c>
      <c r="P3324" t="s">
        <v>152</v>
      </c>
      <c r="Q3324" s="3">
        <v>43</v>
      </c>
      <c r="R3324" t="s">
        <v>46</v>
      </c>
      <c r="S3324" t="s">
        <v>41</v>
      </c>
    </row>
    <row r="3325" spans="1:19" x14ac:dyDescent="0.25">
      <c r="A3325">
        <v>3324</v>
      </c>
      <c r="B3325">
        <v>54</v>
      </c>
      <c r="C3325" t="s">
        <v>153</v>
      </c>
      <c r="D3325" t="s">
        <v>68</v>
      </c>
      <c r="E3325" t="s">
        <v>69</v>
      </c>
      <c r="F3325" s="1">
        <v>78</v>
      </c>
      <c r="G3325" t="s">
        <v>114</v>
      </c>
      <c r="H3325" t="s">
        <v>45</v>
      </c>
      <c r="I3325" t="s">
        <v>134</v>
      </c>
      <c r="J3325" t="s">
        <v>25</v>
      </c>
      <c r="K3325" s="2">
        <v>3.8</v>
      </c>
      <c r="L3325" t="s">
        <v>152</v>
      </c>
      <c r="M3325" t="s">
        <v>29</v>
      </c>
      <c r="N3325" t="s">
        <v>40</v>
      </c>
      <c r="O3325" t="s">
        <v>152</v>
      </c>
      <c r="P3325" t="s">
        <v>152</v>
      </c>
      <c r="Q3325" s="3">
        <v>4</v>
      </c>
      <c r="R3325" t="s">
        <v>27</v>
      </c>
      <c r="S3325" t="s">
        <v>88</v>
      </c>
    </row>
    <row r="3326" spans="1:19" x14ac:dyDescent="0.25">
      <c r="A3326">
        <v>3325</v>
      </c>
      <c r="B3326">
        <v>37</v>
      </c>
      <c r="C3326" t="s">
        <v>153</v>
      </c>
      <c r="D3326" t="s">
        <v>113</v>
      </c>
      <c r="E3326" t="s">
        <v>21</v>
      </c>
      <c r="F3326" s="1">
        <v>32</v>
      </c>
      <c r="G3326" t="s">
        <v>70</v>
      </c>
      <c r="H3326" t="s">
        <v>38</v>
      </c>
      <c r="I3326" t="s">
        <v>108</v>
      </c>
      <c r="J3326" t="s">
        <v>58</v>
      </c>
      <c r="K3326" s="2">
        <v>3.3</v>
      </c>
      <c r="L3326" t="s">
        <v>152</v>
      </c>
      <c r="M3326" t="s">
        <v>29</v>
      </c>
      <c r="N3326" t="s">
        <v>55</v>
      </c>
      <c r="O3326" t="s">
        <v>152</v>
      </c>
      <c r="P3326" t="s">
        <v>152</v>
      </c>
      <c r="Q3326" s="3">
        <v>41</v>
      </c>
      <c r="R3326" t="s">
        <v>29</v>
      </c>
      <c r="S3326" t="s">
        <v>41</v>
      </c>
    </row>
    <row r="3327" spans="1:19" x14ac:dyDescent="0.25">
      <c r="A3327">
        <v>3326</v>
      </c>
      <c r="B3327">
        <v>29</v>
      </c>
      <c r="C3327" t="s">
        <v>153</v>
      </c>
      <c r="D3327" t="s">
        <v>42</v>
      </c>
      <c r="E3327" t="s">
        <v>43</v>
      </c>
      <c r="F3327" s="1">
        <v>97</v>
      </c>
      <c r="G3327" t="s">
        <v>120</v>
      </c>
      <c r="H3327" t="s">
        <v>45</v>
      </c>
      <c r="I3327" t="s">
        <v>33</v>
      </c>
      <c r="J3327" t="s">
        <v>58</v>
      </c>
      <c r="K3327" s="2">
        <v>3.7</v>
      </c>
      <c r="L3327" t="s">
        <v>152</v>
      </c>
      <c r="M3327" t="s">
        <v>59</v>
      </c>
      <c r="N3327" t="s">
        <v>72</v>
      </c>
      <c r="O3327" t="s">
        <v>152</v>
      </c>
      <c r="P3327" t="s">
        <v>152</v>
      </c>
      <c r="Q3327" s="3">
        <v>16</v>
      </c>
      <c r="R3327" t="s">
        <v>29</v>
      </c>
      <c r="S3327" t="s">
        <v>88</v>
      </c>
    </row>
    <row r="3328" spans="1:19" x14ac:dyDescent="0.25">
      <c r="A3328">
        <v>3327</v>
      </c>
      <c r="B3328">
        <v>47</v>
      </c>
      <c r="C3328" t="s">
        <v>153</v>
      </c>
      <c r="D3328" t="s">
        <v>143</v>
      </c>
      <c r="E3328" t="s">
        <v>69</v>
      </c>
      <c r="F3328" s="1">
        <v>95</v>
      </c>
      <c r="G3328" t="s">
        <v>114</v>
      </c>
      <c r="H3328" t="s">
        <v>45</v>
      </c>
      <c r="I3328" t="s">
        <v>136</v>
      </c>
      <c r="J3328" t="s">
        <v>54</v>
      </c>
      <c r="K3328" s="2">
        <v>4.3</v>
      </c>
      <c r="L3328" t="s">
        <v>152</v>
      </c>
      <c r="M3328" t="s">
        <v>35</v>
      </c>
      <c r="N3328" t="s">
        <v>55</v>
      </c>
      <c r="O3328" t="s">
        <v>152</v>
      </c>
      <c r="P3328" t="s">
        <v>152</v>
      </c>
      <c r="Q3328" s="3">
        <v>10</v>
      </c>
      <c r="R3328" t="s">
        <v>59</v>
      </c>
      <c r="S3328" t="s">
        <v>50</v>
      </c>
    </row>
    <row r="3329" spans="1:19" x14ac:dyDescent="0.25">
      <c r="A3329">
        <v>3328</v>
      </c>
      <c r="B3329">
        <v>47</v>
      </c>
      <c r="C3329" t="s">
        <v>153</v>
      </c>
      <c r="D3329" t="s">
        <v>61</v>
      </c>
      <c r="E3329" t="s">
        <v>21</v>
      </c>
      <c r="F3329" s="1">
        <v>64</v>
      </c>
      <c r="G3329" t="s">
        <v>139</v>
      </c>
      <c r="H3329" t="s">
        <v>45</v>
      </c>
      <c r="I3329" t="s">
        <v>94</v>
      </c>
      <c r="J3329" t="s">
        <v>39</v>
      </c>
      <c r="K3329" s="2">
        <v>4.0999999999999996</v>
      </c>
      <c r="L3329" t="s">
        <v>152</v>
      </c>
      <c r="M3329" t="s">
        <v>34</v>
      </c>
      <c r="N3329" t="s">
        <v>28</v>
      </c>
      <c r="O3329" t="s">
        <v>152</v>
      </c>
      <c r="P3329" t="s">
        <v>152</v>
      </c>
      <c r="Q3329" s="3">
        <v>2</v>
      </c>
      <c r="R3329" t="s">
        <v>59</v>
      </c>
      <c r="S3329" t="s">
        <v>60</v>
      </c>
    </row>
    <row r="3330" spans="1:19" x14ac:dyDescent="0.25">
      <c r="A3330">
        <v>3329</v>
      </c>
      <c r="B3330">
        <v>42</v>
      </c>
      <c r="C3330" t="s">
        <v>153</v>
      </c>
      <c r="D3330" t="s">
        <v>42</v>
      </c>
      <c r="E3330" t="s">
        <v>43</v>
      </c>
      <c r="F3330" s="1">
        <v>35</v>
      </c>
      <c r="G3330" t="s">
        <v>150</v>
      </c>
      <c r="H3330" t="s">
        <v>45</v>
      </c>
      <c r="I3330" t="s">
        <v>84</v>
      </c>
      <c r="J3330" t="s">
        <v>39</v>
      </c>
      <c r="K3330" s="2">
        <v>3.2</v>
      </c>
      <c r="L3330" t="s">
        <v>152</v>
      </c>
      <c r="M3330" t="s">
        <v>29</v>
      </c>
      <c r="N3330" t="s">
        <v>40</v>
      </c>
      <c r="O3330" t="s">
        <v>152</v>
      </c>
      <c r="P3330" t="s">
        <v>152</v>
      </c>
      <c r="Q3330" s="3">
        <v>11</v>
      </c>
      <c r="R3330" t="s">
        <v>35</v>
      </c>
      <c r="S3330" t="s">
        <v>77</v>
      </c>
    </row>
    <row r="3331" spans="1:19" x14ac:dyDescent="0.25">
      <c r="A3331">
        <v>3330</v>
      </c>
      <c r="B3331">
        <v>34</v>
      </c>
      <c r="C3331" t="s">
        <v>153</v>
      </c>
      <c r="D3331" t="s">
        <v>132</v>
      </c>
      <c r="E3331" t="s">
        <v>69</v>
      </c>
      <c r="F3331" s="1">
        <v>54</v>
      </c>
      <c r="G3331" t="s">
        <v>127</v>
      </c>
      <c r="H3331" t="s">
        <v>45</v>
      </c>
      <c r="I3331" t="s">
        <v>24</v>
      </c>
      <c r="J3331" t="s">
        <v>25</v>
      </c>
      <c r="K3331" s="2">
        <v>3.8</v>
      </c>
      <c r="L3331" t="s">
        <v>152</v>
      </c>
      <c r="M3331" t="s">
        <v>59</v>
      </c>
      <c r="N3331" t="s">
        <v>28</v>
      </c>
      <c r="O3331" t="s">
        <v>152</v>
      </c>
      <c r="P3331" t="s">
        <v>152</v>
      </c>
      <c r="Q3331" s="3">
        <v>1</v>
      </c>
      <c r="R3331" t="s">
        <v>59</v>
      </c>
      <c r="S3331" t="s">
        <v>77</v>
      </c>
    </row>
    <row r="3332" spans="1:19" x14ac:dyDescent="0.25">
      <c r="A3332">
        <v>3331</v>
      </c>
      <c r="B3332">
        <v>38</v>
      </c>
      <c r="C3332" t="s">
        <v>153</v>
      </c>
      <c r="D3332" t="s">
        <v>51</v>
      </c>
      <c r="E3332" t="s">
        <v>43</v>
      </c>
      <c r="F3332" s="1">
        <v>96</v>
      </c>
      <c r="G3332" t="s">
        <v>70</v>
      </c>
      <c r="H3332" t="s">
        <v>45</v>
      </c>
      <c r="I3332" t="s">
        <v>94</v>
      </c>
      <c r="J3332" t="s">
        <v>39</v>
      </c>
      <c r="K3332" s="2">
        <v>3.2</v>
      </c>
      <c r="L3332" t="s">
        <v>152</v>
      </c>
      <c r="M3332" t="s">
        <v>46</v>
      </c>
      <c r="N3332" t="s">
        <v>72</v>
      </c>
      <c r="O3332" t="s">
        <v>152</v>
      </c>
      <c r="P3332" t="s">
        <v>152</v>
      </c>
      <c r="Q3332" s="3">
        <v>41</v>
      </c>
      <c r="R3332" t="s">
        <v>34</v>
      </c>
      <c r="S3332" t="s">
        <v>60</v>
      </c>
    </row>
    <row r="3333" spans="1:19" x14ac:dyDescent="0.25">
      <c r="A3333">
        <v>3332</v>
      </c>
      <c r="B3333">
        <v>55</v>
      </c>
      <c r="C3333" t="s">
        <v>153</v>
      </c>
      <c r="D3333" t="s">
        <v>89</v>
      </c>
      <c r="E3333" t="s">
        <v>69</v>
      </c>
      <c r="F3333" s="1">
        <v>58</v>
      </c>
      <c r="G3333" t="s">
        <v>99</v>
      </c>
      <c r="H3333" t="s">
        <v>45</v>
      </c>
      <c r="I3333" t="s">
        <v>71</v>
      </c>
      <c r="J3333" t="s">
        <v>54</v>
      </c>
      <c r="K3333" s="2">
        <v>3.5</v>
      </c>
      <c r="L3333" t="s">
        <v>152</v>
      </c>
      <c r="M3333" t="s">
        <v>59</v>
      </c>
      <c r="N3333" t="s">
        <v>40</v>
      </c>
      <c r="O3333" t="s">
        <v>152</v>
      </c>
      <c r="P3333" t="s">
        <v>152</v>
      </c>
      <c r="Q3333" s="3">
        <v>39</v>
      </c>
      <c r="R3333" t="s">
        <v>46</v>
      </c>
      <c r="S3333" t="s">
        <v>60</v>
      </c>
    </row>
    <row r="3334" spans="1:19" x14ac:dyDescent="0.25">
      <c r="A3334">
        <v>3333</v>
      </c>
      <c r="B3334">
        <v>27</v>
      </c>
      <c r="C3334" t="s">
        <v>153</v>
      </c>
      <c r="D3334" t="s">
        <v>113</v>
      </c>
      <c r="E3334" t="s">
        <v>21</v>
      </c>
      <c r="F3334" s="1">
        <v>23</v>
      </c>
      <c r="G3334" t="s">
        <v>149</v>
      </c>
      <c r="H3334" t="s">
        <v>45</v>
      </c>
      <c r="I3334" t="s">
        <v>67</v>
      </c>
      <c r="J3334" t="s">
        <v>54</v>
      </c>
      <c r="K3334" s="2">
        <v>3.1</v>
      </c>
      <c r="L3334" t="s">
        <v>152</v>
      </c>
      <c r="M3334" t="s">
        <v>46</v>
      </c>
      <c r="N3334" t="s">
        <v>72</v>
      </c>
      <c r="O3334" t="s">
        <v>152</v>
      </c>
      <c r="P3334" t="s">
        <v>152</v>
      </c>
      <c r="Q3334" s="3">
        <v>1</v>
      </c>
      <c r="R3334" t="s">
        <v>46</v>
      </c>
      <c r="S3334" t="s">
        <v>77</v>
      </c>
    </row>
    <row r="3335" spans="1:19" x14ac:dyDescent="0.25">
      <c r="A3335">
        <v>3334</v>
      </c>
      <c r="B3335">
        <v>55</v>
      </c>
      <c r="C3335" t="s">
        <v>153</v>
      </c>
      <c r="D3335" t="s">
        <v>36</v>
      </c>
      <c r="E3335" t="s">
        <v>21</v>
      </c>
      <c r="F3335" s="1">
        <v>35</v>
      </c>
      <c r="G3335" t="s">
        <v>148</v>
      </c>
      <c r="H3335" t="s">
        <v>45</v>
      </c>
      <c r="I3335" t="s">
        <v>84</v>
      </c>
      <c r="J3335" t="s">
        <v>39</v>
      </c>
      <c r="K3335" s="2">
        <v>4.2</v>
      </c>
      <c r="L3335" t="s">
        <v>152</v>
      </c>
      <c r="M3335" t="s">
        <v>59</v>
      </c>
      <c r="N3335" t="s">
        <v>28</v>
      </c>
      <c r="O3335" t="s">
        <v>152</v>
      </c>
      <c r="P3335" t="s">
        <v>152</v>
      </c>
      <c r="Q3335" s="3">
        <v>3</v>
      </c>
      <c r="R3335" t="s">
        <v>46</v>
      </c>
      <c r="S3335" t="s">
        <v>88</v>
      </c>
    </row>
    <row r="3336" spans="1:19" x14ac:dyDescent="0.25">
      <c r="A3336">
        <v>3335</v>
      </c>
      <c r="B3336">
        <v>66</v>
      </c>
      <c r="C3336" t="s">
        <v>153</v>
      </c>
      <c r="D3336" t="s">
        <v>56</v>
      </c>
      <c r="E3336" t="s">
        <v>21</v>
      </c>
      <c r="F3336" s="1">
        <v>23</v>
      </c>
      <c r="G3336" t="s">
        <v>99</v>
      </c>
      <c r="H3336" t="s">
        <v>45</v>
      </c>
      <c r="I3336" t="s">
        <v>118</v>
      </c>
      <c r="J3336" t="s">
        <v>54</v>
      </c>
      <c r="K3336" s="2">
        <v>3.4</v>
      </c>
      <c r="L3336" t="s">
        <v>152</v>
      </c>
      <c r="M3336" t="s">
        <v>34</v>
      </c>
      <c r="N3336" t="s">
        <v>40</v>
      </c>
      <c r="O3336" t="s">
        <v>152</v>
      </c>
      <c r="P3336" t="s">
        <v>152</v>
      </c>
      <c r="Q3336" s="3">
        <v>21</v>
      </c>
      <c r="R3336" t="s">
        <v>27</v>
      </c>
      <c r="S3336" t="s">
        <v>50</v>
      </c>
    </row>
    <row r="3337" spans="1:19" x14ac:dyDescent="0.25">
      <c r="A3337">
        <v>3336</v>
      </c>
      <c r="B3337">
        <v>44</v>
      </c>
      <c r="C3337" t="s">
        <v>153</v>
      </c>
      <c r="D3337" t="s">
        <v>124</v>
      </c>
      <c r="E3337" t="s">
        <v>69</v>
      </c>
      <c r="F3337" s="1">
        <v>94</v>
      </c>
      <c r="G3337" t="s">
        <v>105</v>
      </c>
      <c r="H3337" t="s">
        <v>92</v>
      </c>
      <c r="I3337" t="s">
        <v>109</v>
      </c>
      <c r="J3337" t="s">
        <v>25</v>
      </c>
      <c r="K3337" s="2">
        <v>3.5</v>
      </c>
      <c r="L3337" t="s">
        <v>152</v>
      </c>
      <c r="M3337" t="s">
        <v>27</v>
      </c>
      <c r="N3337" t="s">
        <v>28</v>
      </c>
      <c r="O3337" t="s">
        <v>152</v>
      </c>
      <c r="P3337" t="s">
        <v>152</v>
      </c>
      <c r="Q3337" s="3">
        <v>48</v>
      </c>
      <c r="R3337" t="s">
        <v>34</v>
      </c>
      <c r="S3337" t="s">
        <v>60</v>
      </c>
    </row>
    <row r="3338" spans="1:19" x14ac:dyDescent="0.25">
      <c r="A3338">
        <v>3337</v>
      </c>
      <c r="B3338">
        <v>39</v>
      </c>
      <c r="C3338" t="s">
        <v>153</v>
      </c>
      <c r="D3338" t="s">
        <v>20</v>
      </c>
      <c r="E3338" t="s">
        <v>21</v>
      </c>
      <c r="F3338" s="1">
        <v>45</v>
      </c>
      <c r="G3338" t="s">
        <v>57</v>
      </c>
      <c r="H3338" t="s">
        <v>45</v>
      </c>
      <c r="I3338" t="s">
        <v>110</v>
      </c>
      <c r="J3338" t="s">
        <v>58</v>
      </c>
      <c r="K3338" s="2">
        <v>4</v>
      </c>
      <c r="L3338" t="s">
        <v>152</v>
      </c>
      <c r="M3338" t="s">
        <v>29</v>
      </c>
      <c r="N3338" t="s">
        <v>40</v>
      </c>
      <c r="O3338" t="s">
        <v>152</v>
      </c>
      <c r="P3338" t="s">
        <v>152</v>
      </c>
      <c r="Q3338" s="3">
        <v>24</v>
      </c>
      <c r="R3338" t="s">
        <v>59</v>
      </c>
      <c r="S3338" t="s">
        <v>50</v>
      </c>
    </row>
    <row r="3339" spans="1:19" x14ac:dyDescent="0.25">
      <c r="A3339">
        <v>3338</v>
      </c>
      <c r="B3339">
        <v>23</v>
      </c>
      <c r="C3339" t="s">
        <v>153</v>
      </c>
      <c r="D3339" t="s">
        <v>102</v>
      </c>
      <c r="E3339" t="s">
        <v>65</v>
      </c>
      <c r="F3339" s="1">
        <v>23</v>
      </c>
      <c r="G3339" t="s">
        <v>117</v>
      </c>
      <c r="H3339" t="s">
        <v>23</v>
      </c>
      <c r="I3339" t="s">
        <v>144</v>
      </c>
      <c r="J3339" t="s">
        <v>25</v>
      </c>
      <c r="K3339" s="2">
        <v>4.4000000000000004</v>
      </c>
      <c r="L3339" t="s">
        <v>152</v>
      </c>
      <c r="M3339" t="s">
        <v>34</v>
      </c>
      <c r="N3339" t="s">
        <v>72</v>
      </c>
      <c r="O3339" t="s">
        <v>152</v>
      </c>
      <c r="P3339" t="s">
        <v>152</v>
      </c>
      <c r="Q3339" s="3">
        <v>45</v>
      </c>
      <c r="R3339" t="s">
        <v>34</v>
      </c>
      <c r="S3339" t="s">
        <v>77</v>
      </c>
    </row>
    <row r="3340" spans="1:19" x14ac:dyDescent="0.25">
      <c r="A3340">
        <v>3339</v>
      </c>
      <c r="B3340">
        <v>29</v>
      </c>
      <c r="C3340" t="s">
        <v>153</v>
      </c>
      <c r="D3340" t="s">
        <v>87</v>
      </c>
      <c r="E3340" t="s">
        <v>21</v>
      </c>
      <c r="F3340" s="1">
        <v>94</v>
      </c>
      <c r="G3340" t="s">
        <v>148</v>
      </c>
      <c r="H3340" t="s">
        <v>23</v>
      </c>
      <c r="I3340" t="s">
        <v>53</v>
      </c>
      <c r="J3340" t="s">
        <v>25</v>
      </c>
      <c r="K3340" s="2">
        <v>2.9</v>
      </c>
      <c r="L3340" t="s">
        <v>152</v>
      </c>
      <c r="M3340" t="s">
        <v>29</v>
      </c>
      <c r="N3340" t="s">
        <v>72</v>
      </c>
      <c r="O3340" t="s">
        <v>152</v>
      </c>
      <c r="P3340" t="s">
        <v>152</v>
      </c>
      <c r="Q3340" s="3">
        <v>46</v>
      </c>
      <c r="R3340" t="s">
        <v>27</v>
      </c>
      <c r="S3340" t="s">
        <v>88</v>
      </c>
    </row>
    <row r="3341" spans="1:19" x14ac:dyDescent="0.25">
      <c r="A3341">
        <v>3340</v>
      </c>
      <c r="B3341">
        <v>20</v>
      </c>
      <c r="C3341" t="s">
        <v>153</v>
      </c>
      <c r="D3341" t="s">
        <v>143</v>
      </c>
      <c r="E3341" t="s">
        <v>69</v>
      </c>
      <c r="F3341" s="1">
        <v>99</v>
      </c>
      <c r="G3341" t="s">
        <v>145</v>
      </c>
      <c r="H3341" t="s">
        <v>45</v>
      </c>
      <c r="I3341" t="s">
        <v>109</v>
      </c>
      <c r="J3341" t="s">
        <v>58</v>
      </c>
      <c r="K3341" s="2">
        <v>3.6</v>
      </c>
      <c r="L3341" t="s">
        <v>152</v>
      </c>
      <c r="M3341" t="s">
        <v>59</v>
      </c>
      <c r="N3341" t="s">
        <v>76</v>
      </c>
      <c r="O3341" t="s">
        <v>152</v>
      </c>
      <c r="P3341" t="s">
        <v>152</v>
      </c>
      <c r="Q3341" s="3">
        <v>35</v>
      </c>
      <c r="R3341" t="s">
        <v>35</v>
      </c>
      <c r="S3341" t="s">
        <v>30</v>
      </c>
    </row>
    <row r="3342" spans="1:19" x14ac:dyDescent="0.25">
      <c r="A3342">
        <v>3341</v>
      </c>
      <c r="B3342">
        <v>42</v>
      </c>
      <c r="C3342" t="s">
        <v>153</v>
      </c>
      <c r="D3342" t="s">
        <v>113</v>
      </c>
      <c r="E3342" t="s">
        <v>21</v>
      </c>
      <c r="F3342" s="1">
        <v>36</v>
      </c>
      <c r="G3342" t="s">
        <v>141</v>
      </c>
      <c r="H3342" t="s">
        <v>92</v>
      </c>
      <c r="I3342" t="s">
        <v>33</v>
      </c>
      <c r="J3342" t="s">
        <v>58</v>
      </c>
      <c r="K3342" s="2">
        <v>4.4000000000000004</v>
      </c>
      <c r="L3342" t="s">
        <v>152</v>
      </c>
      <c r="M3342" t="s">
        <v>27</v>
      </c>
      <c r="N3342" t="s">
        <v>40</v>
      </c>
      <c r="O3342" t="s">
        <v>152</v>
      </c>
      <c r="P3342" t="s">
        <v>152</v>
      </c>
      <c r="Q3342" s="3">
        <v>47</v>
      </c>
      <c r="R3342" t="s">
        <v>27</v>
      </c>
      <c r="S3342" t="s">
        <v>30</v>
      </c>
    </row>
    <row r="3343" spans="1:19" x14ac:dyDescent="0.25">
      <c r="A3343">
        <v>3342</v>
      </c>
      <c r="B3343">
        <v>55</v>
      </c>
      <c r="C3343" t="s">
        <v>153</v>
      </c>
      <c r="D3343" t="s">
        <v>102</v>
      </c>
      <c r="E3343" t="s">
        <v>65</v>
      </c>
      <c r="F3343" s="1">
        <v>50</v>
      </c>
      <c r="G3343" t="s">
        <v>139</v>
      </c>
      <c r="H3343" t="s">
        <v>92</v>
      </c>
      <c r="I3343" t="s">
        <v>79</v>
      </c>
      <c r="J3343" t="s">
        <v>54</v>
      </c>
      <c r="K3343" s="2">
        <v>4.5</v>
      </c>
      <c r="L3343" t="s">
        <v>152</v>
      </c>
      <c r="M3343" t="s">
        <v>29</v>
      </c>
      <c r="N3343" t="s">
        <v>55</v>
      </c>
      <c r="O3343" t="s">
        <v>152</v>
      </c>
      <c r="P3343" t="s">
        <v>152</v>
      </c>
      <c r="Q3343" s="3">
        <v>35</v>
      </c>
      <c r="R3343" t="s">
        <v>27</v>
      </c>
      <c r="S3343" t="s">
        <v>88</v>
      </c>
    </row>
    <row r="3344" spans="1:19" x14ac:dyDescent="0.25">
      <c r="A3344">
        <v>3343</v>
      </c>
      <c r="B3344">
        <v>66</v>
      </c>
      <c r="C3344" t="s">
        <v>153</v>
      </c>
      <c r="D3344" t="s">
        <v>102</v>
      </c>
      <c r="E3344" t="s">
        <v>65</v>
      </c>
      <c r="F3344" s="1">
        <v>81</v>
      </c>
      <c r="G3344" t="s">
        <v>127</v>
      </c>
      <c r="H3344" t="s">
        <v>45</v>
      </c>
      <c r="I3344" t="s">
        <v>84</v>
      </c>
      <c r="J3344" t="s">
        <v>39</v>
      </c>
      <c r="K3344" s="2">
        <v>3.8</v>
      </c>
      <c r="L3344" t="s">
        <v>152</v>
      </c>
      <c r="M3344" t="s">
        <v>27</v>
      </c>
      <c r="N3344" t="s">
        <v>40</v>
      </c>
      <c r="O3344" t="s">
        <v>152</v>
      </c>
      <c r="P3344" t="s">
        <v>152</v>
      </c>
      <c r="Q3344" s="3">
        <v>45</v>
      </c>
      <c r="R3344" t="s">
        <v>27</v>
      </c>
      <c r="S3344" t="s">
        <v>41</v>
      </c>
    </row>
    <row r="3345" spans="1:19" x14ac:dyDescent="0.25">
      <c r="A3345">
        <v>3344</v>
      </c>
      <c r="B3345">
        <v>24</v>
      </c>
      <c r="C3345" t="s">
        <v>153</v>
      </c>
      <c r="D3345" t="s">
        <v>61</v>
      </c>
      <c r="E3345" t="s">
        <v>21</v>
      </c>
      <c r="F3345" s="1">
        <v>31</v>
      </c>
      <c r="G3345" t="s">
        <v>22</v>
      </c>
      <c r="H3345" t="s">
        <v>92</v>
      </c>
      <c r="I3345" t="s">
        <v>96</v>
      </c>
      <c r="J3345" t="s">
        <v>25</v>
      </c>
      <c r="K3345" s="2">
        <v>3.6</v>
      </c>
      <c r="L3345" t="s">
        <v>152</v>
      </c>
      <c r="M3345" t="s">
        <v>34</v>
      </c>
      <c r="N3345" t="s">
        <v>72</v>
      </c>
      <c r="O3345" t="s">
        <v>152</v>
      </c>
      <c r="P3345" t="s">
        <v>152</v>
      </c>
      <c r="Q3345" s="3">
        <v>6</v>
      </c>
      <c r="R3345" t="s">
        <v>35</v>
      </c>
      <c r="S3345" t="s">
        <v>77</v>
      </c>
    </row>
    <row r="3346" spans="1:19" x14ac:dyDescent="0.25">
      <c r="A3346">
        <v>3345</v>
      </c>
      <c r="B3346">
        <v>62</v>
      </c>
      <c r="C3346" t="s">
        <v>153</v>
      </c>
      <c r="D3346" t="s">
        <v>124</v>
      </c>
      <c r="E3346" t="s">
        <v>69</v>
      </c>
      <c r="F3346" s="1">
        <v>48</v>
      </c>
      <c r="G3346" t="s">
        <v>149</v>
      </c>
      <c r="H3346" t="s">
        <v>92</v>
      </c>
      <c r="I3346" t="s">
        <v>136</v>
      </c>
      <c r="J3346" t="s">
        <v>58</v>
      </c>
      <c r="K3346" s="2">
        <v>4.3</v>
      </c>
      <c r="L3346" t="s">
        <v>152</v>
      </c>
      <c r="M3346" t="s">
        <v>59</v>
      </c>
      <c r="N3346" t="s">
        <v>40</v>
      </c>
      <c r="O3346" t="s">
        <v>152</v>
      </c>
      <c r="P3346" t="s">
        <v>152</v>
      </c>
      <c r="Q3346" s="3">
        <v>20</v>
      </c>
      <c r="R3346" t="s">
        <v>35</v>
      </c>
      <c r="S3346" t="s">
        <v>50</v>
      </c>
    </row>
    <row r="3347" spans="1:19" x14ac:dyDescent="0.25">
      <c r="A3347">
        <v>3346</v>
      </c>
      <c r="B3347">
        <v>28</v>
      </c>
      <c r="C3347" t="s">
        <v>153</v>
      </c>
      <c r="D3347" t="s">
        <v>68</v>
      </c>
      <c r="E3347" t="s">
        <v>69</v>
      </c>
      <c r="F3347" s="1">
        <v>91</v>
      </c>
      <c r="G3347" t="s">
        <v>103</v>
      </c>
      <c r="H3347" t="s">
        <v>45</v>
      </c>
      <c r="I3347" t="s">
        <v>49</v>
      </c>
      <c r="J3347" t="s">
        <v>54</v>
      </c>
      <c r="K3347" s="2">
        <v>4</v>
      </c>
      <c r="L3347" t="s">
        <v>152</v>
      </c>
      <c r="M3347" t="s">
        <v>35</v>
      </c>
      <c r="N3347" t="s">
        <v>72</v>
      </c>
      <c r="O3347" t="s">
        <v>152</v>
      </c>
      <c r="P3347" t="s">
        <v>152</v>
      </c>
      <c r="Q3347" s="3">
        <v>3</v>
      </c>
      <c r="R3347" t="s">
        <v>29</v>
      </c>
      <c r="S3347" t="s">
        <v>77</v>
      </c>
    </row>
    <row r="3348" spans="1:19" x14ac:dyDescent="0.25">
      <c r="A3348">
        <v>3347</v>
      </c>
      <c r="B3348">
        <v>30</v>
      </c>
      <c r="C3348" t="s">
        <v>153</v>
      </c>
      <c r="D3348" t="s">
        <v>36</v>
      </c>
      <c r="E3348" t="s">
        <v>21</v>
      </c>
      <c r="F3348" s="1">
        <v>99</v>
      </c>
      <c r="G3348" t="s">
        <v>101</v>
      </c>
      <c r="H3348" t="s">
        <v>45</v>
      </c>
      <c r="I3348" t="s">
        <v>94</v>
      </c>
      <c r="J3348" t="s">
        <v>54</v>
      </c>
      <c r="K3348" s="2">
        <v>3.4</v>
      </c>
      <c r="L3348" t="s">
        <v>152</v>
      </c>
      <c r="M3348" t="s">
        <v>46</v>
      </c>
      <c r="N3348" t="s">
        <v>28</v>
      </c>
      <c r="O3348" t="s">
        <v>152</v>
      </c>
      <c r="P3348" t="s">
        <v>152</v>
      </c>
      <c r="Q3348" s="3">
        <v>30</v>
      </c>
      <c r="R3348" t="s">
        <v>29</v>
      </c>
      <c r="S3348" t="s">
        <v>60</v>
      </c>
    </row>
    <row r="3349" spans="1:19" x14ac:dyDescent="0.25">
      <c r="A3349">
        <v>3348</v>
      </c>
      <c r="B3349">
        <v>22</v>
      </c>
      <c r="C3349" t="s">
        <v>153</v>
      </c>
      <c r="D3349" t="s">
        <v>73</v>
      </c>
      <c r="E3349" t="s">
        <v>43</v>
      </c>
      <c r="F3349" s="1">
        <v>70</v>
      </c>
      <c r="G3349" t="s">
        <v>146</v>
      </c>
      <c r="H3349" t="s">
        <v>92</v>
      </c>
      <c r="I3349" t="s">
        <v>109</v>
      </c>
      <c r="J3349" t="s">
        <v>54</v>
      </c>
      <c r="K3349" s="2">
        <v>4.4000000000000004</v>
      </c>
      <c r="L3349" t="s">
        <v>152</v>
      </c>
      <c r="M3349" t="s">
        <v>27</v>
      </c>
      <c r="N3349" t="s">
        <v>55</v>
      </c>
      <c r="O3349" t="s">
        <v>152</v>
      </c>
      <c r="P3349" t="s">
        <v>152</v>
      </c>
      <c r="Q3349" s="3">
        <v>28</v>
      </c>
      <c r="R3349" t="s">
        <v>46</v>
      </c>
      <c r="S3349" t="s">
        <v>77</v>
      </c>
    </row>
    <row r="3350" spans="1:19" x14ac:dyDescent="0.25">
      <c r="A3350">
        <v>3349</v>
      </c>
      <c r="B3350">
        <v>28</v>
      </c>
      <c r="C3350" t="s">
        <v>153</v>
      </c>
      <c r="D3350" t="s">
        <v>113</v>
      </c>
      <c r="E3350" t="s">
        <v>21</v>
      </c>
      <c r="F3350" s="1">
        <v>74</v>
      </c>
      <c r="G3350" t="s">
        <v>83</v>
      </c>
      <c r="H3350" t="s">
        <v>23</v>
      </c>
      <c r="I3350" t="s">
        <v>24</v>
      </c>
      <c r="J3350" t="s">
        <v>25</v>
      </c>
      <c r="K3350" s="2">
        <v>2.8</v>
      </c>
      <c r="L3350" t="s">
        <v>152</v>
      </c>
      <c r="M3350" t="s">
        <v>46</v>
      </c>
      <c r="N3350" t="s">
        <v>55</v>
      </c>
      <c r="O3350" t="s">
        <v>152</v>
      </c>
      <c r="P3350" t="s">
        <v>152</v>
      </c>
      <c r="Q3350" s="3">
        <v>15</v>
      </c>
      <c r="R3350" t="s">
        <v>35</v>
      </c>
      <c r="S3350" t="s">
        <v>97</v>
      </c>
    </row>
    <row r="3351" spans="1:19" x14ac:dyDescent="0.25">
      <c r="A3351">
        <v>3350</v>
      </c>
      <c r="B3351">
        <v>35</v>
      </c>
      <c r="C3351" t="s">
        <v>153</v>
      </c>
      <c r="D3351" t="s">
        <v>106</v>
      </c>
      <c r="E3351" t="s">
        <v>69</v>
      </c>
      <c r="F3351" s="1">
        <v>79</v>
      </c>
      <c r="G3351" t="s">
        <v>142</v>
      </c>
      <c r="H3351" t="s">
        <v>45</v>
      </c>
      <c r="I3351" t="s">
        <v>108</v>
      </c>
      <c r="J3351" t="s">
        <v>58</v>
      </c>
      <c r="K3351" s="2">
        <v>2.8</v>
      </c>
      <c r="L3351" t="s">
        <v>152</v>
      </c>
      <c r="M3351" t="s">
        <v>35</v>
      </c>
      <c r="N3351" t="s">
        <v>76</v>
      </c>
      <c r="O3351" t="s">
        <v>152</v>
      </c>
      <c r="P3351" t="s">
        <v>152</v>
      </c>
      <c r="Q3351" s="3">
        <v>29</v>
      </c>
      <c r="R3351" t="s">
        <v>46</v>
      </c>
      <c r="S3351" t="s">
        <v>60</v>
      </c>
    </row>
    <row r="3352" spans="1:19" x14ac:dyDescent="0.25">
      <c r="A3352">
        <v>3351</v>
      </c>
      <c r="B3352">
        <v>45</v>
      </c>
      <c r="C3352" t="s">
        <v>153</v>
      </c>
      <c r="D3352" t="s">
        <v>68</v>
      </c>
      <c r="E3352" t="s">
        <v>69</v>
      </c>
      <c r="F3352" s="1">
        <v>33</v>
      </c>
      <c r="G3352" t="s">
        <v>91</v>
      </c>
      <c r="H3352" t="s">
        <v>38</v>
      </c>
      <c r="I3352" t="s">
        <v>79</v>
      </c>
      <c r="J3352" t="s">
        <v>58</v>
      </c>
      <c r="K3352" s="2">
        <v>4.9000000000000004</v>
      </c>
      <c r="L3352" t="s">
        <v>152</v>
      </c>
      <c r="M3352" t="s">
        <v>46</v>
      </c>
      <c r="N3352" t="s">
        <v>72</v>
      </c>
      <c r="O3352" t="s">
        <v>152</v>
      </c>
      <c r="P3352" t="s">
        <v>152</v>
      </c>
      <c r="Q3352" s="3">
        <v>15</v>
      </c>
      <c r="R3352" t="s">
        <v>35</v>
      </c>
      <c r="S3352" t="s">
        <v>77</v>
      </c>
    </row>
    <row r="3353" spans="1:19" x14ac:dyDescent="0.25">
      <c r="A3353">
        <v>3352</v>
      </c>
      <c r="B3353">
        <v>43</v>
      </c>
      <c r="C3353" t="s">
        <v>153</v>
      </c>
      <c r="D3353" t="s">
        <v>56</v>
      </c>
      <c r="E3353" t="s">
        <v>21</v>
      </c>
      <c r="F3353" s="1">
        <v>49</v>
      </c>
      <c r="G3353" t="s">
        <v>83</v>
      </c>
      <c r="H3353" t="s">
        <v>23</v>
      </c>
      <c r="I3353" t="s">
        <v>109</v>
      </c>
      <c r="J3353" t="s">
        <v>39</v>
      </c>
      <c r="K3353" s="2">
        <v>4.2</v>
      </c>
      <c r="L3353" t="s">
        <v>152</v>
      </c>
      <c r="M3353" t="s">
        <v>35</v>
      </c>
      <c r="N3353" t="s">
        <v>72</v>
      </c>
      <c r="O3353" t="s">
        <v>152</v>
      </c>
      <c r="P3353" t="s">
        <v>152</v>
      </c>
      <c r="Q3353" s="3">
        <v>18</v>
      </c>
      <c r="R3353" t="s">
        <v>34</v>
      </c>
      <c r="S3353" t="s">
        <v>30</v>
      </c>
    </row>
    <row r="3354" spans="1:19" x14ac:dyDescent="0.25">
      <c r="A3354">
        <v>3353</v>
      </c>
      <c r="B3354">
        <v>55</v>
      </c>
      <c r="C3354" t="s">
        <v>153</v>
      </c>
      <c r="D3354" t="s">
        <v>133</v>
      </c>
      <c r="E3354" t="s">
        <v>69</v>
      </c>
      <c r="F3354" s="1">
        <v>96</v>
      </c>
      <c r="G3354" t="s">
        <v>149</v>
      </c>
      <c r="H3354" t="s">
        <v>45</v>
      </c>
      <c r="I3354" t="s">
        <v>86</v>
      </c>
      <c r="J3354" t="s">
        <v>54</v>
      </c>
      <c r="K3354" s="2">
        <v>2.9</v>
      </c>
      <c r="L3354" t="s">
        <v>152</v>
      </c>
      <c r="M3354" t="s">
        <v>27</v>
      </c>
      <c r="N3354" t="s">
        <v>47</v>
      </c>
      <c r="O3354" t="s">
        <v>152</v>
      </c>
      <c r="P3354" t="s">
        <v>152</v>
      </c>
      <c r="Q3354" s="3">
        <v>7</v>
      </c>
      <c r="R3354" t="s">
        <v>34</v>
      </c>
      <c r="S3354" t="s">
        <v>77</v>
      </c>
    </row>
    <row r="3355" spans="1:19" x14ac:dyDescent="0.25">
      <c r="A3355">
        <v>3354</v>
      </c>
      <c r="B3355">
        <v>31</v>
      </c>
      <c r="C3355" t="s">
        <v>153</v>
      </c>
      <c r="D3355" t="s">
        <v>82</v>
      </c>
      <c r="E3355" t="s">
        <v>21</v>
      </c>
      <c r="F3355" s="1">
        <v>66</v>
      </c>
      <c r="G3355" t="s">
        <v>123</v>
      </c>
      <c r="H3355" t="s">
        <v>23</v>
      </c>
      <c r="I3355" t="s">
        <v>86</v>
      </c>
      <c r="J3355" t="s">
        <v>58</v>
      </c>
      <c r="K3355" s="2">
        <v>4.5999999999999996</v>
      </c>
      <c r="L3355" t="s">
        <v>152</v>
      </c>
      <c r="M3355" t="s">
        <v>59</v>
      </c>
      <c r="N3355" t="s">
        <v>40</v>
      </c>
      <c r="O3355" t="s">
        <v>152</v>
      </c>
      <c r="P3355" t="s">
        <v>152</v>
      </c>
      <c r="Q3355" s="3">
        <v>19</v>
      </c>
      <c r="R3355" t="s">
        <v>27</v>
      </c>
      <c r="S3355" t="s">
        <v>97</v>
      </c>
    </row>
    <row r="3356" spans="1:19" x14ac:dyDescent="0.25">
      <c r="A3356">
        <v>3355</v>
      </c>
      <c r="B3356">
        <v>42</v>
      </c>
      <c r="C3356" t="s">
        <v>153</v>
      </c>
      <c r="D3356" t="s">
        <v>87</v>
      </c>
      <c r="E3356" t="s">
        <v>21</v>
      </c>
      <c r="F3356" s="1">
        <v>45</v>
      </c>
      <c r="G3356" t="s">
        <v>128</v>
      </c>
      <c r="H3356" t="s">
        <v>45</v>
      </c>
      <c r="I3356" t="s">
        <v>121</v>
      </c>
      <c r="J3356" t="s">
        <v>58</v>
      </c>
      <c r="K3356" s="2">
        <v>2.8</v>
      </c>
      <c r="L3356" t="s">
        <v>152</v>
      </c>
      <c r="M3356" t="s">
        <v>35</v>
      </c>
      <c r="N3356" t="s">
        <v>47</v>
      </c>
      <c r="O3356" t="s">
        <v>152</v>
      </c>
      <c r="P3356" t="s">
        <v>152</v>
      </c>
      <c r="Q3356" s="3">
        <v>15</v>
      </c>
      <c r="R3356" t="s">
        <v>46</v>
      </c>
      <c r="S3356" t="s">
        <v>41</v>
      </c>
    </row>
    <row r="3357" spans="1:19" x14ac:dyDescent="0.25">
      <c r="A3357">
        <v>3356</v>
      </c>
      <c r="B3357">
        <v>40</v>
      </c>
      <c r="C3357" t="s">
        <v>153</v>
      </c>
      <c r="D3357" t="s">
        <v>20</v>
      </c>
      <c r="E3357" t="s">
        <v>21</v>
      </c>
      <c r="F3357" s="1">
        <v>28</v>
      </c>
      <c r="G3357" t="s">
        <v>80</v>
      </c>
      <c r="H3357" t="s">
        <v>45</v>
      </c>
      <c r="I3357" t="s">
        <v>100</v>
      </c>
      <c r="J3357" t="s">
        <v>39</v>
      </c>
      <c r="K3357" s="2">
        <v>2.6</v>
      </c>
      <c r="L3357" t="s">
        <v>152</v>
      </c>
      <c r="M3357" t="s">
        <v>59</v>
      </c>
      <c r="N3357" t="s">
        <v>76</v>
      </c>
      <c r="O3357" t="s">
        <v>152</v>
      </c>
      <c r="P3357" t="s">
        <v>152</v>
      </c>
      <c r="Q3357" s="3">
        <v>3</v>
      </c>
      <c r="R3357" t="s">
        <v>34</v>
      </c>
      <c r="S3357" t="s">
        <v>77</v>
      </c>
    </row>
    <row r="3358" spans="1:19" x14ac:dyDescent="0.25">
      <c r="A3358">
        <v>3357</v>
      </c>
      <c r="B3358">
        <v>39</v>
      </c>
      <c r="C3358" t="s">
        <v>153</v>
      </c>
      <c r="D3358" t="s">
        <v>36</v>
      </c>
      <c r="E3358" t="s">
        <v>21</v>
      </c>
      <c r="F3358" s="1">
        <v>48</v>
      </c>
      <c r="G3358" t="s">
        <v>122</v>
      </c>
      <c r="H3358" t="s">
        <v>45</v>
      </c>
      <c r="I3358" t="s">
        <v>67</v>
      </c>
      <c r="J3358" t="s">
        <v>54</v>
      </c>
      <c r="K3358" s="2">
        <v>3.5</v>
      </c>
      <c r="L3358" t="s">
        <v>152</v>
      </c>
      <c r="M3358" t="s">
        <v>27</v>
      </c>
      <c r="N3358" t="s">
        <v>76</v>
      </c>
      <c r="O3358" t="s">
        <v>152</v>
      </c>
      <c r="P3358" t="s">
        <v>152</v>
      </c>
      <c r="Q3358" s="3">
        <v>13</v>
      </c>
      <c r="R3358" t="s">
        <v>46</v>
      </c>
      <c r="S3358" t="s">
        <v>77</v>
      </c>
    </row>
    <row r="3359" spans="1:19" x14ac:dyDescent="0.25">
      <c r="A3359">
        <v>3358</v>
      </c>
      <c r="B3359">
        <v>41</v>
      </c>
      <c r="C3359" t="s">
        <v>153</v>
      </c>
      <c r="D3359" t="s">
        <v>104</v>
      </c>
      <c r="E3359" t="s">
        <v>21</v>
      </c>
      <c r="F3359" s="1">
        <v>67</v>
      </c>
      <c r="G3359" t="s">
        <v>74</v>
      </c>
      <c r="H3359" t="s">
        <v>45</v>
      </c>
      <c r="I3359" t="s">
        <v>71</v>
      </c>
      <c r="J3359" t="s">
        <v>25</v>
      </c>
      <c r="K3359" s="2">
        <v>3.5</v>
      </c>
      <c r="L3359" t="s">
        <v>152</v>
      </c>
      <c r="M3359" t="s">
        <v>29</v>
      </c>
      <c r="N3359" t="s">
        <v>40</v>
      </c>
      <c r="O3359" t="s">
        <v>152</v>
      </c>
      <c r="P3359" t="s">
        <v>152</v>
      </c>
      <c r="Q3359" s="3">
        <v>37</v>
      </c>
      <c r="R3359" t="s">
        <v>27</v>
      </c>
      <c r="S3359" t="s">
        <v>88</v>
      </c>
    </row>
    <row r="3360" spans="1:19" x14ac:dyDescent="0.25">
      <c r="A3360">
        <v>3359</v>
      </c>
      <c r="B3360">
        <v>56</v>
      </c>
      <c r="C3360" t="s">
        <v>153</v>
      </c>
      <c r="D3360" t="s">
        <v>113</v>
      </c>
      <c r="E3360" t="s">
        <v>21</v>
      </c>
      <c r="F3360" s="1">
        <v>59</v>
      </c>
      <c r="G3360" t="s">
        <v>122</v>
      </c>
      <c r="H3360" t="s">
        <v>45</v>
      </c>
      <c r="I3360" t="s">
        <v>136</v>
      </c>
      <c r="J3360" t="s">
        <v>58</v>
      </c>
      <c r="K3360" s="2">
        <v>3.4</v>
      </c>
      <c r="L3360" t="s">
        <v>152</v>
      </c>
      <c r="M3360" t="s">
        <v>59</v>
      </c>
      <c r="N3360" t="s">
        <v>72</v>
      </c>
      <c r="O3360" t="s">
        <v>152</v>
      </c>
      <c r="P3360" t="s">
        <v>152</v>
      </c>
      <c r="Q3360" s="3">
        <v>26</v>
      </c>
      <c r="R3360" t="s">
        <v>35</v>
      </c>
      <c r="S3360" t="s">
        <v>50</v>
      </c>
    </row>
    <row r="3361" spans="1:19" x14ac:dyDescent="0.25">
      <c r="A3361">
        <v>3360</v>
      </c>
      <c r="B3361">
        <v>43</v>
      </c>
      <c r="C3361" t="s">
        <v>153</v>
      </c>
      <c r="D3361" t="s">
        <v>89</v>
      </c>
      <c r="E3361" t="s">
        <v>69</v>
      </c>
      <c r="F3361" s="1">
        <v>74</v>
      </c>
      <c r="G3361" t="s">
        <v>83</v>
      </c>
      <c r="H3361" t="s">
        <v>23</v>
      </c>
      <c r="I3361" t="s">
        <v>108</v>
      </c>
      <c r="J3361" t="s">
        <v>58</v>
      </c>
      <c r="K3361" s="2">
        <v>3.9</v>
      </c>
      <c r="L3361" t="s">
        <v>152</v>
      </c>
      <c r="M3361" t="s">
        <v>27</v>
      </c>
      <c r="N3361" t="s">
        <v>47</v>
      </c>
      <c r="O3361" t="s">
        <v>152</v>
      </c>
      <c r="P3361" t="s">
        <v>152</v>
      </c>
      <c r="Q3361" s="3">
        <v>29</v>
      </c>
      <c r="R3361" t="s">
        <v>59</v>
      </c>
      <c r="S3361" t="s">
        <v>88</v>
      </c>
    </row>
    <row r="3362" spans="1:19" x14ac:dyDescent="0.25">
      <c r="A3362">
        <v>3361</v>
      </c>
      <c r="B3362">
        <v>22</v>
      </c>
      <c r="C3362" t="s">
        <v>153</v>
      </c>
      <c r="D3362" t="s">
        <v>102</v>
      </c>
      <c r="E3362" t="s">
        <v>65</v>
      </c>
      <c r="F3362" s="1">
        <v>81</v>
      </c>
      <c r="G3362" t="s">
        <v>148</v>
      </c>
      <c r="H3362" t="s">
        <v>45</v>
      </c>
      <c r="I3362" t="s">
        <v>33</v>
      </c>
      <c r="J3362" t="s">
        <v>39</v>
      </c>
      <c r="K3362" s="2">
        <v>3.3</v>
      </c>
      <c r="L3362" t="s">
        <v>152</v>
      </c>
      <c r="M3362" t="s">
        <v>29</v>
      </c>
      <c r="N3362" t="s">
        <v>72</v>
      </c>
      <c r="O3362" t="s">
        <v>152</v>
      </c>
      <c r="P3362" t="s">
        <v>152</v>
      </c>
      <c r="Q3362" s="3">
        <v>47</v>
      </c>
      <c r="R3362" t="s">
        <v>35</v>
      </c>
      <c r="S3362" t="s">
        <v>97</v>
      </c>
    </row>
    <row r="3363" spans="1:19" x14ac:dyDescent="0.25">
      <c r="A3363">
        <v>3362</v>
      </c>
      <c r="B3363">
        <v>47</v>
      </c>
      <c r="C3363" t="s">
        <v>153</v>
      </c>
      <c r="D3363" t="s">
        <v>73</v>
      </c>
      <c r="E3363" t="s">
        <v>43</v>
      </c>
      <c r="F3363" s="1">
        <v>26</v>
      </c>
      <c r="G3363" t="s">
        <v>103</v>
      </c>
      <c r="H3363" t="s">
        <v>45</v>
      </c>
      <c r="I3363" t="s">
        <v>67</v>
      </c>
      <c r="J3363" t="s">
        <v>39</v>
      </c>
      <c r="K3363" s="2">
        <v>4.0999999999999996</v>
      </c>
      <c r="L3363" t="s">
        <v>152</v>
      </c>
      <c r="M3363" t="s">
        <v>27</v>
      </c>
      <c r="N3363" t="s">
        <v>40</v>
      </c>
      <c r="O3363" t="s">
        <v>152</v>
      </c>
      <c r="P3363" t="s">
        <v>152</v>
      </c>
      <c r="Q3363" s="3">
        <v>47</v>
      </c>
      <c r="R3363" t="s">
        <v>27</v>
      </c>
      <c r="S3363" t="s">
        <v>77</v>
      </c>
    </row>
    <row r="3364" spans="1:19" x14ac:dyDescent="0.25">
      <c r="A3364">
        <v>3363</v>
      </c>
      <c r="B3364">
        <v>50</v>
      </c>
      <c r="C3364" t="s">
        <v>153</v>
      </c>
      <c r="D3364" t="s">
        <v>68</v>
      </c>
      <c r="E3364" t="s">
        <v>69</v>
      </c>
      <c r="F3364" s="1">
        <v>61</v>
      </c>
      <c r="G3364" t="s">
        <v>122</v>
      </c>
      <c r="H3364" t="s">
        <v>45</v>
      </c>
      <c r="I3364" t="s">
        <v>24</v>
      </c>
      <c r="J3364" t="s">
        <v>54</v>
      </c>
      <c r="K3364" s="2">
        <v>3</v>
      </c>
      <c r="L3364" t="s">
        <v>152</v>
      </c>
      <c r="M3364" t="s">
        <v>27</v>
      </c>
      <c r="N3364" t="s">
        <v>47</v>
      </c>
      <c r="O3364" t="s">
        <v>152</v>
      </c>
      <c r="P3364" t="s">
        <v>152</v>
      </c>
      <c r="Q3364" s="3">
        <v>48</v>
      </c>
      <c r="R3364" t="s">
        <v>29</v>
      </c>
      <c r="S3364" t="s">
        <v>30</v>
      </c>
    </row>
    <row r="3365" spans="1:19" x14ac:dyDescent="0.25">
      <c r="A3365">
        <v>3364</v>
      </c>
      <c r="B3365">
        <v>58</v>
      </c>
      <c r="C3365" t="s">
        <v>153</v>
      </c>
      <c r="D3365" t="s">
        <v>31</v>
      </c>
      <c r="E3365" t="s">
        <v>21</v>
      </c>
      <c r="F3365" s="1">
        <v>23</v>
      </c>
      <c r="G3365" t="s">
        <v>99</v>
      </c>
      <c r="H3365" t="s">
        <v>45</v>
      </c>
      <c r="I3365" t="s">
        <v>49</v>
      </c>
      <c r="J3365" t="s">
        <v>25</v>
      </c>
      <c r="K3365" s="2">
        <v>3</v>
      </c>
      <c r="L3365" t="s">
        <v>152</v>
      </c>
      <c r="M3365" t="s">
        <v>46</v>
      </c>
      <c r="N3365" t="s">
        <v>47</v>
      </c>
      <c r="O3365" t="s">
        <v>152</v>
      </c>
      <c r="P3365" t="s">
        <v>152</v>
      </c>
      <c r="Q3365" s="3">
        <v>46</v>
      </c>
      <c r="R3365" t="s">
        <v>34</v>
      </c>
      <c r="S3365" t="s">
        <v>77</v>
      </c>
    </row>
    <row r="3366" spans="1:19" x14ac:dyDescent="0.25">
      <c r="A3366">
        <v>3365</v>
      </c>
      <c r="B3366">
        <v>50</v>
      </c>
      <c r="C3366" t="s">
        <v>153</v>
      </c>
      <c r="D3366" t="s">
        <v>119</v>
      </c>
      <c r="E3366" t="s">
        <v>69</v>
      </c>
      <c r="F3366" s="1">
        <v>33</v>
      </c>
      <c r="G3366" t="s">
        <v>48</v>
      </c>
      <c r="H3366" t="s">
        <v>45</v>
      </c>
      <c r="I3366" t="s">
        <v>100</v>
      </c>
      <c r="J3366" t="s">
        <v>58</v>
      </c>
      <c r="K3366" s="2">
        <v>3.2</v>
      </c>
      <c r="L3366" t="s">
        <v>152</v>
      </c>
      <c r="M3366" t="s">
        <v>35</v>
      </c>
      <c r="N3366" t="s">
        <v>55</v>
      </c>
      <c r="O3366" t="s">
        <v>152</v>
      </c>
      <c r="P3366" t="s">
        <v>152</v>
      </c>
      <c r="Q3366" s="3">
        <v>7</v>
      </c>
      <c r="R3366" t="s">
        <v>27</v>
      </c>
      <c r="S3366" t="s">
        <v>88</v>
      </c>
    </row>
    <row r="3367" spans="1:19" x14ac:dyDescent="0.25">
      <c r="A3367">
        <v>3366</v>
      </c>
      <c r="B3367">
        <v>43</v>
      </c>
      <c r="C3367" t="s">
        <v>153</v>
      </c>
      <c r="D3367" t="s">
        <v>87</v>
      </c>
      <c r="E3367" t="s">
        <v>21</v>
      </c>
      <c r="F3367" s="1">
        <v>58</v>
      </c>
      <c r="G3367" t="s">
        <v>122</v>
      </c>
      <c r="H3367" t="s">
        <v>23</v>
      </c>
      <c r="I3367" t="s">
        <v>86</v>
      </c>
      <c r="J3367" t="s">
        <v>58</v>
      </c>
      <c r="K3367" s="2">
        <v>3.9</v>
      </c>
      <c r="L3367" t="s">
        <v>152</v>
      </c>
      <c r="M3367" t="s">
        <v>34</v>
      </c>
      <c r="N3367" t="s">
        <v>28</v>
      </c>
      <c r="O3367" t="s">
        <v>152</v>
      </c>
      <c r="P3367" t="s">
        <v>152</v>
      </c>
      <c r="Q3367" s="3">
        <v>45</v>
      </c>
      <c r="R3367" t="s">
        <v>27</v>
      </c>
      <c r="S3367" t="s">
        <v>97</v>
      </c>
    </row>
    <row r="3368" spans="1:19" x14ac:dyDescent="0.25">
      <c r="A3368">
        <v>3367</v>
      </c>
      <c r="B3368">
        <v>38</v>
      </c>
      <c r="C3368" t="s">
        <v>153</v>
      </c>
      <c r="D3368" t="s">
        <v>143</v>
      </c>
      <c r="E3368" t="s">
        <v>69</v>
      </c>
      <c r="F3368" s="1">
        <v>65</v>
      </c>
      <c r="G3368" t="s">
        <v>98</v>
      </c>
      <c r="H3368" t="s">
        <v>45</v>
      </c>
      <c r="I3368" t="s">
        <v>108</v>
      </c>
      <c r="J3368" t="s">
        <v>39</v>
      </c>
      <c r="K3368" s="2">
        <v>3.6</v>
      </c>
      <c r="L3368" t="s">
        <v>152</v>
      </c>
      <c r="M3368" t="s">
        <v>29</v>
      </c>
      <c r="N3368" t="s">
        <v>72</v>
      </c>
      <c r="O3368" t="s">
        <v>152</v>
      </c>
      <c r="P3368" t="s">
        <v>152</v>
      </c>
      <c r="Q3368" s="3">
        <v>47</v>
      </c>
      <c r="R3368" t="s">
        <v>59</v>
      </c>
      <c r="S3368" t="s">
        <v>60</v>
      </c>
    </row>
    <row r="3369" spans="1:19" x14ac:dyDescent="0.25">
      <c r="A3369">
        <v>3368</v>
      </c>
      <c r="B3369">
        <v>44</v>
      </c>
      <c r="C3369" t="s">
        <v>153</v>
      </c>
      <c r="D3369" t="s">
        <v>113</v>
      </c>
      <c r="E3369" t="s">
        <v>21</v>
      </c>
      <c r="F3369" s="1">
        <v>48</v>
      </c>
      <c r="G3369" t="s">
        <v>122</v>
      </c>
      <c r="H3369" t="s">
        <v>45</v>
      </c>
      <c r="I3369" t="s">
        <v>144</v>
      </c>
      <c r="J3369" t="s">
        <v>54</v>
      </c>
      <c r="K3369" s="2">
        <v>3.1</v>
      </c>
      <c r="L3369" t="s">
        <v>152</v>
      </c>
      <c r="M3369" t="s">
        <v>27</v>
      </c>
      <c r="N3369" t="s">
        <v>76</v>
      </c>
      <c r="O3369" t="s">
        <v>152</v>
      </c>
      <c r="P3369" t="s">
        <v>152</v>
      </c>
      <c r="Q3369" s="3">
        <v>6</v>
      </c>
      <c r="R3369" t="s">
        <v>29</v>
      </c>
      <c r="S3369" t="s">
        <v>30</v>
      </c>
    </row>
    <row r="3370" spans="1:19" x14ac:dyDescent="0.25">
      <c r="A3370">
        <v>3369</v>
      </c>
      <c r="B3370">
        <v>30</v>
      </c>
      <c r="C3370" t="s">
        <v>153</v>
      </c>
      <c r="D3370" t="s">
        <v>42</v>
      </c>
      <c r="E3370" t="s">
        <v>43</v>
      </c>
      <c r="F3370" s="1">
        <v>25</v>
      </c>
      <c r="G3370" t="s">
        <v>145</v>
      </c>
      <c r="H3370" t="s">
        <v>45</v>
      </c>
      <c r="I3370" t="s">
        <v>144</v>
      </c>
      <c r="J3370" t="s">
        <v>39</v>
      </c>
      <c r="K3370" s="2">
        <v>4.8</v>
      </c>
      <c r="L3370" t="s">
        <v>152</v>
      </c>
      <c r="M3370" t="s">
        <v>35</v>
      </c>
      <c r="N3370" t="s">
        <v>28</v>
      </c>
      <c r="O3370" t="s">
        <v>152</v>
      </c>
      <c r="P3370" t="s">
        <v>152</v>
      </c>
      <c r="Q3370" s="3">
        <v>29</v>
      </c>
      <c r="R3370" t="s">
        <v>34</v>
      </c>
      <c r="S3370" t="s">
        <v>97</v>
      </c>
    </row>
    <row r="3371" spans="1:19" x14ac:dyDescent="0.25">
      <c r="A3371">
        <v>3370</v>
      </c>
      <c r="B3371">
        <v>47</v>
      </c>
      <c r="C3371" t="s">
        <v>153</v>
      </c>
      <c r="D3371" t="s">
        <v>31</v>
      </c>
      <c r="E3371" t="s">
        <v>21</v>
      </c>
      <c r="F3371" s="1">
        <v>51</v>
      </c>
      <c r="G3371" t="s">
        <v>32</v>
      </c>
      <c r="H3371" t="s">
        <v>45</v>
      </c>
      <c r="I3371" t="s">
        <v>126</v>
      </c>
      <c r="J3371" t="s">
        <v>25</v>
      </c>
      <c r="K3371" s="2">
        <v>3.8</v>
      </c>
      <c r="L3371" t="s">
        <v>152</v>
      </c>
      <c r="M3371" t="s">
        <v>59</v>
      </c>
      <c r="N3371" t="s">
        <v>72</v>
      </c>
      <c r="O3371" t="s">
        <v>152</v>
      </c>
      <c r="P3371" t="s">
        <v>152</v>
      </c>
      <c r="Q3371" s="3">
        <v>42</v>
      </c>
      <c r="R3371" t="s">
        <v>35</v>
      </c>
      <c r="S3371" t="s">
        <v>88</v>
      </c>
    </row>
    <row r="3372" spans="1:19" x14ac:dyDescent="0.25">
      <c r="A3372">
        <v>3371</v>
      </c>
      <c r="B3372">
        <v>30</v>
      </c>
      <c r="C3372" t="s">
        <v>153</v>
      </c>
      <c r="D3372" t="s">
        <v>133</v>
      </c>
      <c r="E3372" t="s">
        <v>69</v>
      </c>
      <c r="F3372" s="1">
        <v>31</v>
      </c>
      <c r="G3372" t="s">
        <v>115</v>
      </c>
      <c r="H3372" t="s">
        <v>45</v>
      </c>
      <c r="I3372" t="s">
        <v>63</v>
      </c>
      <c r="J3372" t="s">
        <v>54</v>
      </c>
      <c r="K3372" s="2">
        <v>2.8</v>
      </c>
      <c r="L3372" t="s">
        <v>152</v>
      </c>
      <c r="M3372" t="s">
        <v>29</v>
      </c>
      <c r="N3372" t="s">
        <v>76</v>
      </c>
      <c r="O3372" t="s">
        <v>152</v>
      </c>
      <c r="P3372" t="s">
        <v>152</v>
      </c>
      <c r="Q3372" s="3">
        <v>46</v>
      </c>
      <c r="R3372" t="s">
        <v>35</v>
      </c>
      <c r="S3372" t="s">
        <v>30</v>
      </c>
    </row>
    <row r="3373" spans="1:19" x14ac:dyDescent="0.25">
      <c r="A3373">
        <v>3372</v>
      </c>
      <c r="B3373">
        <v>49</v>
      </c>
      <c r="C3373" t="s">
        <v>153</v>
      </c>
      <c r="D3373" t="s">
        <v>104</v>
      </c>
      <c r="E3373" t="s">
        <v>21</v>
      </c>
      <c r="F3373" s="1">
        <v>99</v>
      </c>
      <c r="G3373" t="s">
        <v>112</v>
      </c>
      <c r="H3373" t="s">
        <v>38</v>
      </c>
      <c r="I3373" t="s">
        <v>49</v>
      </c>
      <c r="J3373" t="s">
        <v>25</v>
      </c>
      <c r="K3373" s="2">
        <v>4</v>
      </c>
      <c r="L3373" t="s">
        <v>152</v>
      </c>
      <c r="M3373" t="s">
        <v>46</v>
      </c>
      <c r="N3373" t="s">
        <v>47</v>
      </c>
      <c r="O3373" t="s">
        <v>152</v>
      </c>
      <c r="P3373" t="s">
        <v>152</v>
      </c>
      <c r="Q3373" s="3">
        <v>28</v>
      </c>
      <c r="R3373" t="s">
        <v>46</v>
      </c>
      <c r="S3373" t="s">
        <v>50</v>
      </c>
    </row>
    <row r="3374" spans="1:19" x14ac:dyDescent="0.25">
      <c r="A3374">
        <v>3373</v>
      </c>
      <c r="B3374">
        <v>56</v>
      </c>
      <c r="C3374" t="s">
        <v>153</v>
      </c>
      <c r="D3374" t="s">
        <v>125</v>
      </c>
      <c r="E3374" t="s">
        <v>21</v>
      </c>
      <c r="F3374" s="1">
        <v>25</v>
      </c>
      <c r="G3374" t="s">
        <v>138</v>
      </c>
      <c r="H3374" t="s">
        <v>45</v>
      </c>
      <c r="I3374" t="s">
        <v>33</v>
      </c>
      <c r="J3374" t="s">
        <v>25</v>
      </c>
      <c r="K3374" s="2">
        <v>4.5999999999999996</v>
      </c>
      <c r="L3374" t="s">
        <v>152</v>
      </c>
      <c r="M3374" t="s">
        <v>27</v>
      </c>
      <c r="N3374" t="s">
        <v>40</v>
      </c>
      <c r="O3374" t="s">
        <v>152</v>
      </c>
      <c r="P3374" t="s">
        <v>152</v>
      </c>
      <c r="Q3374" s="3">
        <v>14</v>
      </c>
      <c r="R3374" t="s">
        <v>27</v>
      </c>
      <c r="S3374" t="s">
        <v>97</v>
      </c>
    </row>
    <row r="3375" spans="1:19" x14ac:dyDescent="0.25">
      <c r="A3375">
        <v>3374</v>
      </c>
      <c r="B3375">
        <v>70</v>
      </c>
      <c r="C3375" t="s">
        <v>153</v>
      </c>
      <c r="D3375" t="s">
        <v>42</v>
      </c>
      <c r="E3375" t="s">
        <v>43</v>
      </c>
      <c r="F3375" s="1">
        <v>52</v>
      </c>
      <c r="G3375" t="s">
        <v>148</v>
      </c>
      <c r="H3375" t="s">
        <v>45</v>
      </c>
      <c r="I3375" t="s">
        <v>75</v>
      </c>
      <c r="J3375" t="s">
        <v>39</v>
      </c>
      <c r="K3375" s="2">
        <v>3.5</v>
      </c>
      <c r="L3375" t="s">
        <v>152</v>
      </c>
      <c r="M3375" t="s">
        <v>59</v>
      </c>
      <c r="N3375" t="s">
        <v>76</v>
      </c>
      <c r="O3375" t="s">
        <v>152</v>
      </c>
      <c r="P3375" t="s">
        <v>152</v>
      </c>
      <c r="Q3375" s="3">
        <v>12</v>
      </c>
      <c r="R3375" t="s">
        <v>59</v>
      </c>
      <c r="S3375" t="s">
        <v>97</v>
      </c>
    </row>
    <row r="3376" spans="1:19" x14ac:dyDescent="0.25">
      <c r="A3376">
        <v>3375</v>
      </c>
      <c r="B3376">
        <v>22</v>
      </c>
      <c r="C3376" t="s">
        <v>153</v>
      </c>
      <c r="D3376" t="s">
        <v>20</v>
      </c>
      <c r="E3376" t="s">
        <v>21</v>
      </c>
      <c r="F3376" s="1">
        <v>47</v>
      </c>
      <c r="G3376" t="s">
        <v>107</v>
      </c>
      <c r="H3376" t="s">
        <v>38</v>
      </c>
      <c r="I3376" t="s">
        <v>93</v>
      </c>
      <c r="J3376" t="s">
        <v>39</v>
      </c>
      <c r="K3376" s="2">
        <v>3.7</v>
      </c>
      <c r="L3376" t="s">
        <v>152</v>
      </c>
      <c r="M3376" t="s">
        <v>59</v>
      </c>
      <c r="N3376" t="s">
        <v>72</v>
      </c>
      <c r="O3376" t="s">
        <v>152</v>
      </c>
      <c r="P3376" t="s">
        <v>152</v>
      </c>
      <c r="Q3376" s="3">
        <v>41</v>
      </c>
      <c r="R3376" t="s">
        <v>59</v>
      </c>
      <c r="S3376" t="s">
        <v>50</v>
      </c>
    </row>
    <row r="3377" spans="1:19" x14ac:dyDescent="0.25">
      <c r="A3377">
        <v>3376</v>
      </c>
      <c r="B3377">
        <v>51</v>
      </c>
      <c r="C3377" t="s">
        <v>153</v>
      </c>
      <c r="D3377" t="s">
        <v>137</v>
      </c>
      <c r="E3377" t="s">
        <v>43</v>
      </c>
      <c r="F3377" s="1">
        <v>98</v>
      </c>
      <c r="G3377" t="s">
        <v>139</v>
      </c>
      <c r="H3377" t="s">
        <v>92</v>
      </c>
      <c r="I3377" t="s">
        <v>134</v>
      </c>
      <c r="J3377" t="s">
        <v>58</v>
      </c>
      <c r="K3377" s="2">
        <v>4.9000000000000004</v>
      </c>
      <c r="L3377" t="s">
        <v>152</v>
      </c>
      <c r="M3377" t="s">
        <v>59</v>
      </c>
      <c r="N3377" t="s">
        <v>28</v>
      </c>
      <c r="O3377" t="s">
        <v>152</v>
      </c>
      <c r="P3377" t="s">
        <v>152</v>
      </c>
      <c r="Q3377" s="3">
        <v>8</v>
      </c>
      <c r="R3377" t="s">
        <v>27</v>
      </c>
      <c r="S3377" t="s">
        <v>50</v>
      </c>
    </row>
    <row r="3378" spans="1:19" x14ac:dyDescent="0.25">
      <c r="A3378">
        <v>3377</v>
      </c>
      <c r="B3378">
        <v>22</v>
      </c>
      <c r="C3378" t="s">
        <v>153</v>
      </c>
      <c r="D3378" t="s">
        <v>124</v>
      </c>
      <c r="E3378" t="s">
        <v>69</v>
      </c>
      <c r="F3378" s="1">
        <v>46</v>
      </c>
      <c r="G3378" t="s">
        <v>123</v>
      </c>
      <c r="H3378" t="s">
        <v>45</v>
      </c>
      <c r="I3378" t="s">
        <v>96</v>
      </c>
      <c r="J3378" t="s">
        <v>25</v>
      </c>
      <c r="K3378" s="2">
        <v>4.0999999999999996</v>
      </c>
      <c r="L3378" t="s">
        <v>152</v>
      </c>
      <c r="M3378" t="s">
        <v>27</v>
      </c>
      <c r="N3378" t="s">
        <v>76</v>
      </c>
      <c r="O3378" t="s">
        <v>152</v>
      </c>
      <c r="P3378" t="s">
        <v>152</v>
      </c>
      <c r="Q3378" s="3">
        <v>24</v>
      </c>
      <c r="R3378" t="s">
        <v>35</v>
      </c>
      <c r="S3378" t="s">
        <v>60</v>
      </c>
    </row>
    <row r="3379" spans="1:19" x14ac:dyDescent="0.25">
      <c r="A3379">
        <v>3378</v>
      </c>
      <c r="B3379">
        <v>37</v>
      </c>
      <c r="C3379" t="s">
        <v>153</v>
      </c>
      <c r="D3379" t="s">
        <v>56</v>
      </c>
      <c r="E3379" t="s">
        <v>21</v>
      </c>
      <c r="F3379" s="1">
        <v>32</v>
      </c>
      <c r="G3379" t="s">
        <v>22</v>
      </c>
      <c r="H3379" t="s">
        <v>45</v>
      </c>
      <c r="I3379" t="s">
        <v>134</v>
      </c>
      <c r="J3379" t="s">
        <v>25</v>
      </c>
      <c r="K3379" s="2">
        <v>4.5999999999999996</v>
      </c>
      <c r="L3379" t="s">
        <v>152</v>
      </c>
      <c r="M3379" t="s">
        <v>34</v>
      </c>
      <c r="N3379" t="s">
        <v>47</v>
      </c>
      <c r="O3379" t="s">
        <v>152</v>
      </c>
      <c r="P3379" t="s">
        <v>152</v>
      </c>
      <c r="Q3379" s="3">
        <v>18</v>
      </c>
      <c r="R3379" t="s">
        <v>46</v>
      </c>
      <c r="S3379" t="s">
        <v>30</v>
      </c>
    </row>
    <row r="3380" spans="1:19" x14ac:dyDescent="0.25">
      <c r="A3380">
        <v>3379</v>
      </c>
      <c r="B3380">
        <v>49</v>
      </c>
      <c r="C3380" t="s">
        <v>153</v>
      </c>
      <c r="D3380" t="s">
        <v>61</v>
      </c>
      <c r="E3380" t="s">
        <v>21</v>
      </c>
      <c r="F3380" s="1">
        <v>75</v>
      </c>
      <c r="G3380" t="s">
        <v>148</v>
      </c>
      <c r="H3380" t="s">
        <v>23</v>
      </c>
      <c r="I3380" t="s">
        <v>81</v>
      </c>
      <c r="J3380" t="s">
        <v>58</v>
      </c>
      <c r="K3380" s="2">
        <v>4.5</v>
      </c>
      <c r="L3380" t="s">
        <v>152</v>
      </c>
      <c r="M3380" t="s">
        <v>46</v>
      </c>
      <c r="N3380" t="s">
        <v>47</v>
      </c>
      <c r="O3380" t="s">
        <v>152</v>
      </c>
      <c r="P3380" t="s">
        <v>152</v>
      </c>
      <c r="Q3380" s="3">
        <v>6</v>
      </c>
      <c r="R3380" t="s">
        <v>35</v>
      </c>
      <c r="S3380" t="s">
        <v>60</v>
      </c>
    </row>
    <row r="3381" spans="1:19" x14ac:dyDescent="0.25">
      <c r="A3381">
        <v>3380</v>
      </c>
      <c r="B3381">
        <v>61</v>
      </c>
      <c r="C3381" t="s">
        <v>153</v>
      </c>
      <c r="D3381" t="s">
        <v>68</v>
      </c>
      <c r="E3381" t="s">
        <v>69</v>
      </c>
      <c r="F3381" s="1">
        <v>51</v>
      </c>
      <c r="G3381" t="s">
        <v>122</v>
      </c>
      <c r="H3381" t="s">
        <v>23</v>
      </c>
      <c r="I3381" t="s">
        <v>49</v>
      </c>
      <c r="J3381" t="s">
        <v>54</v>
      </c>
      <c r="K3381" s="2">
        <v>5</v>
      </c>
      <c r="L3381" t="s">
        <v>152</v>
      </c>
      <c r="M3381" t="s">
        <v>59</v>
      </c>
      <c r="N3381" t="s">
        <v>76</v>
      </c>
      <c r="O3381" t="s">
        <v>152</v>
      </c>
      <c r="P3381" t="s">
        <v>152</v>
      </c>
      <c r="Q3381" s="3">
        <v>40</v>
      </c>
      <c r="R3381" t="s">
        <v>35</v>
      </c>
      <c r="S3381" t="s">
        <v>41</v>
      </c>
    </row>
    <row r="3382" spans="1:19" x14ac:dyDescent="0.25">
      <c r="A3382">
        <v>3381</v>
      </c>
      <c r="B3382">
        <v>41</v>
      </c>
      <c r="C3382" t="s">
        <v>153</v>
      </c>
      <c r="D3382" t="s">
        <v>82</v>
      </c>
      <c r="E3382" t="s">
        <v>21</v>
      </c>
      <c r="F3382" s="1">
        <v>52</v>
      </c>
      <c r="G3382" t="s">
        <v>114</v>
      </c>
      <c r="H3382" t="s">
        <v>23</v>
      </c>
      <c r="I3382" t="s">
        <v>144</v>
      </c>
      <c r="J3382" t="s">
        <v>54</v>
      </c>
      <c r="K3382" s="2">
        <v>3.8</v>
      </c>
      <c r="L3382" t="s">
        <v>152</v>
      </c>
      <c r="M3382" t="s">
        <v>46</v>
      </c>
      <c r="N3382" t="s">
        <v>55</v>
      </c>
      <c r="O3382" t="s">
        <v>152</v>
      </c>
      <c r="P3382" t="s">
        <v>152</v>
      </c>
      <c r="Q3382" s="3">
        <v>6</v>
      </c>
      <c r="R3382" t="s">
        <v>46</v>
      </c>
      <c r="S3382" t="s">
        <v>97</v>
      </c>
    </row>
    <row r="3383" spans="1:19" x14ac:dyDescent="0.25">
      <c r="A3383">
        <v>3382</v>
      </c>
      <c r="B3383">
        <v>57</v>
      </c>
      <c r="C3383" t="s">
        <v>153</v>
      </c>
      <c r="D3383" t="s">
        <v>124</v>
      </c>
      <c r="E3383" t="s">
        <v>69</v>
      </c>
      <c r="F3383" s="1">
        <v>66</v>
      </c>
      <c r="G3383" t="s">
        <v>148</v>
      </c>
      <c r="H3383" t="s">
        <v>23</v>
      </c>
      <c r="I3383" t="s">
        <v>49</v>
      </c>
      <c r="J3383" t="s">
        <v>25</v>
      </c>
      <c r="K3383" s="2">
        <v>4.7</v>
      </c>
      <c r="L3383" t="s">
        <v>152</v>
      </c>
      <c r="M3383" t="s">
        <v>34</v>
      </c>
      <c r="N3383" t="s">
        <v>55</v>
      </c>
      <c r="O3383" t="s">
        <v>152</v>
      </c>
      <c r="P3383" t="s">
        <v>152</v>
      </c>
      <c r="Q3383" s="3">
        <v>27</v>
      </c>
      <c r="R3383" t="s">
        <v>27</v>
      </c>
      <c r="S3383" t="s">
        <v>60</v>
      </c>
    </row>
    <row r="3384" spans="1:19" x14ac:dyDescent="0.25">
      <c r="A3384">
        <v>3383</v>
      </c>
      <c r="B3384">
        <v>34</v>
      </c>
      <c r="C3384" t="s">
        <v>153</v>
      </c>
      <c r="D3384" t="s">
        <v>31</v>
      </c>
      <c r="E3384" t="s">
        <v>21</v>
      </c>
      <c r="F3384" s="1">
        <v>35</v>
      </c>
      <c r="G3384" t="s">
        <v>145</v>
      </c>
      <c r="H3384" t="s">
        <v>45</v>
      </c>
      <c r="I3384" t="s">
        <v>33</v>
      </c>
      <c r="J3384" t="s">
        <v>39</v>
      </c>
      <c r="K3384" s="2">
        <v>2.8</v>
      </c>
      <c r="L3384" t="s">
        <v>152</v>
      </c>
      <c r="M3384" t="s">
        <v>34</v>
      </c>
      <c r="N3384" t="s">
        <v>28</v>
      </c>
      <c r="O3384" t="s">
        <v>152</v>
      </c>
      <c r="P3384" t="s">
        <v>152</v>
      </c>
      <c r="Q3384" s="3">
        <v>2</v>
      </c>
      <c r="R3384" t="s">
        <v>34</v>
      </c>
      <c r="S3384" t="s">
        <v>41</v>
      </c>
    </row>
    <row r="3385" spans="1:19" x14ac:dyDescent="0.25">
      <c r="A3385">
        <v>3384</v>
      </c>
      <c r="B3385">
        <v>27</v>
      </c>
      <c r="C3385" t="s">
        <v>153</v>
      </c>
      <c r="D3385" t="s">
        <v>64</v>
      </c>
      <c r="E3385" t="s">
        <v>65</v>
      </c>
      <c r="F3385" s="1">
        <v>43</v>
      </c>
      <c r="G3385" t="s">
        <v>80</v>
      </c>
      <c r="H3385" t="s">
        <v>45</v>
      </c>
      <c r="I3385" t="s">
        <v>71</v>
      </c>
      <c r="J3385" t="s">
        <v>58</v>
      </c>
      <c r="K3385" s="2">
        <v>2.6</v>
      </c>
      <c r="L3385" t="s">
        <v>152</v>
      </c>
      <c r="M3385" t="s">
        <v>27</v>
      </c>
      <c r="N3385" t="s">
        <v>47</v>
      </c>
      <c r="O3385" t="s">
        <v>152</v>
      </c>
      <c r="P3385" t="s">
        <v>152</v>
      </c>
      <c r="Q3385" s="3">
        <v>39</v>
      </c>
      <c r="R3385" t="s">
        <v>29</v>
      </c>
      <c r="S3385" t="s">
        <v>77</v>
      </c>
    </row>
    <row r="3386" spans="1:19" x14ac:dyDescent="0.25">
      <c r="A3386">
        <v>3385</v>
      </c>
      <c r="B3386">
        <v>39</v>
      </c>
      <c r="C3386" t="s">
        <v>153</v>
      </c>
      <c r="D3386" t="s">
        <v>104</v>
      </c>
      <c r="E3386" t="s">
        <v>21</v>
      </c>
      <c r="F3386" s="1">
        <v>24</v>
      </c>
      <c r="G3386" t="s">
        <v>148</v>
      </c>
      <c r="H3386" t="s">
        <v>23</v>
      </c>
      <c r="I3386" t="s">
        <v>33</v>
      </c>
      <c r="J3386" t="s">
        <v>54</v>
      </c>
      <c r="K3386" s="2">
        <v>3.8</v>
      </c>
      <c r="L3386" t="s">
        <v>152</v>
      </c>
      <c r="M3386" t="s">
        <v>27</v>
      </c>
      <c r="N3386" t="s">
        <v>40</v>
      </c>
      <c r="O3386" t="s">
        <v>152</v>
      </c>
      <c r="P3386" t="s">
        <v>152</v>
      </c>
      <c r="Q3386" s="3">
        <v>9</v>
      </c>
      <c r="R3386" t="s">
        <v>29</v>
      </c>
      <c r="S3386" t="s">
        <v>60</v>
      </c>
    </row>
    <row r="3387" spans="1:19" x14ac:dyDescent="0.25">
      <c r="A3387">
        <v>3386</v>
      </c>
      <c r="B3387">
        <v>62</v>
      </c>
      <c r="C3387" t="s">
        <v>153</v>
      </c>
      <c r="D3387" t="s">
        <v>106</v>
      </c>
      <c r="E3387" t="s">
        <v>69</v>
      </c>
      <c r="F3387" s="1">
        <v>83</v>
      </c>
      <c r="G3387" t="s">
        <v>44</v>
      </c>
      <c r="H3387" t="s">
        <v>45</v>
      </c>
      <c r="I3387" t="s">
        <v>79</v>
      </c>
      <c r="J3387" t="s">
        <v>25</v>
      </c>
      <c r="K3387" s="2">
        <v>2.8</v>
      </c>
      <c r="L3387" t="s">
        <v>152</v>
      </c>
      <c r="M3387" t="s">
        <v>46</v>
      </c>
      <c r="N3387" t="s">
        <v>55</v>
      </c>
      <c r="O3387" t="s">
        <v>152</v>
      </c>
      <c r="P3387" t="s">
        <v>152</v>
      </c>
      <c r="Q3387" s="3">
        <v>16</v>
      </c>
      <c r="R3387" t="s">
        <v>27</v>
      </c>
      <c r="S3387" t="s">
        <v>97</v>
      </c>
    </row>
    <row r="3388" spans="1:19" x14ac:dyDescent="0.25">
      <c r="A3388">
        <v>3387</v>
      </c>
      <c r="B3388">
        <v>34</v>
      </c>
      <c r="C3388" t="s">
        <v>153</v>
      </c>
      <c r="D3388" t="s">
        <v>113</v>
      </c>
      <c r="E3388" t="s">
        <v>21</v>
      </c>
      <c r="F3388" s="1">
        <v>62</v>
      </c>
      <c r="G3388" t="s">
        <v>151</v>
      </c>
      <c r="H3388" t="s">
        <v>45</v>
      </c>
      <c r="I3388" t="s">
        <v>93</v>
      </c>
      <c r="J3388" t="s">
        <v>58</v>
      </c>
      <c r="K3388" s="2">
        <v>2.6</v>
      </c>
      <c r="L3388" t="s">
        <v>152</v>
      </c>
      <c r="M3388" t="s">
        <v>59</v>
      </c>
      <c r="N3388" t="s">
        <v>72</v>
      </c>
      <c r="O3388" t="s">
        <v>152</v>
      </c>
      <c r="P3388" t="s">
        <v>152</v>
      </c>
      <c r="Q3388" s="3">
        <v>36</v>
      </c>
      <c r="R3388" t="s">
        <v>35</v>
      </c>
      <c r="S3388" t="s">
        <v>60</v>
      </c>
    </row>
    <row r="3389" spans="1:19" x14ac:dyDescent="0.25">
      <c r="A3389">
        <v>3388</v>
      </c>
      <c r="B3389">
        <v>53</v>
      </c>
      <c r="C3389" t="s">
        <v>153</v>
      </c>
      <c r="D3389" t="s">
        <v>95</v>
      </c>
      <c r="E3389" t="s">
        <v>21</v>
      </c>
      <c r="F3389" s="1">
        <v>78</v>
      </c>
      <c r="G3389" t="s">
        <v>127</v>
      </c>
      <c r="H3389" t="s">
        <v>38</v>
      </c>
      <c r="I3389" t="s">
        <v>71</v>
      </c>
      <c r="J3389" t="s">
        <v>39</v>
      </c>
      <c r="K3389" s="2">
        <v>3.4</v>
      </c>
      <c r="L3389" t="s">
        <v>152</v>
      </c>
      <c r="M3389" t="s">
        <v>29</v>
      </c>
      <c r="N3389" t="s">
        <v>72</v>
      </c>
      <c r="O3389" t="s">
        <v>152</v>
      </c>
      <c r="P3389" t="s">
        <v>152</v>
      </c>
      <c r="Q3389" s="3">
        <v>2</v>
      </c>
      <c r="R3389" t="s">
        <v>27</v>
      </c>
      <c r="S3389" t="s">
        <v>77</v>
      </c>
    </row>
    <row r="3390" spans="1:19" x14ac:dyDescent="0.25">
      <c r="A3390">
        <v>3389</v>
      </c>
      <c r="B3390">
        <v>35</v>
      </c>
      <c r="C3390" t="s">
        <v>153</v>
      </c>
      <c r="D3390" t="s">
        <v>31</v>
      </c>
      <c r="E3390" t="s">
        <v>21</v>
      </c>
      <c r="F3390" s="1">
        <v>61</v>
      </c>
      <c r="G3390" t="s">
        <v>147</v>
      </c>
      <c r="H3390" t="s">
        <v>45</v>
      </c>
      <c r="I3390" t="s">
        <v>109</v>
      </c>
      <c r="J3390" t="s">
        <v>39</v>
      </c>
      <c r="K3390" s="2">
        <v>4.5</v>
      </c>
      <c r="L3390" t="s">
        <v>152</v>
      </c>
      <c r="M3390" t="s">
        <v>29</v>
      </c>
      <c r="N3390" t="s">
        <v>76</v>
      </c>
      <c r="O3390" t="s">
        <v>152</v>
      </c>
      <c r="P3390" t="s">
        <v>152</v>
      </c>
      <c r="Q3390" s="3">
        <v>21</v>
      </c>
      <c r="R3390" t="s">
        <v>27</v>
      </c>
      <c r="S3390" t="s">
        <v>41</v>
      </c>
    </row>
    <row r="3391" spans="1:19" x14ac:dyDescent="0.25">
      <c r="A3391">
        <v>3390</v>
      </c>
      <c r="B3391">
        <v>38</v>
      </c>
      <c r="C3391" t="s">
        <v>153</v>
      </c>
      <c r="D3391" t="s">
        <v>95</v>
      </c>
      <c r="E3391" t="s">
        <v>21</v>
      </c>
      <c r="F3391" s="1">
        <v>57</v>
      </c>
      <c r="G3391" t="s">
        <v>98</v>
      </c>
      <c r="H3391" t="s">
        <v>23</v>
      </c>
      <c r="I3391" t="s">
        <v>33</v>
      </c>
      <c r="J3391" t="s">
        <v>58</v>
      </c>
      <c r="K3391" s="2">
        <v>3.8</v>
      </c>
      <c r="L3391" t="s">
        <v>152</v>
      </c>
      <c r="M3391" t="s">
        <v>27</v>
      </c>
      <c r="N3391" t="s">
        <v>40</v>
      </c>
      <c r="O3391" t="s">
        <v>152</v>
      </c>
      <c r="P3391" t="s">
        <v>152</v>
      </c>
      <c r="Q3391" s="3">
        <v>39</v>
      </c>
      <c r="R3391" t="s">
        <v>29</v>
      </c>
      <c r="S3391" t="s">
        <v>50</v>
      </c>
    </row>
    <row r="3392" spans="1:19" x14ac:dyDescent="0.25">
      <c r="A3392">
        <v>3391</v>
      </c>
      <c r="B3392">
        <v>32</v>
      </c>
      <c r="C3392" t="s">
        <v>153</v>
      </c>
      <c r="D3392" t="s">
        <v>125</v>
      </c>
      <c r="E3392" t="s">
        <v>21</v>
      </c>
      <c r="F3392" s="1">
        <v>70</v>
      </c>
      <c r="G3392" t="s">
        <v>48</v>
      </c>
      <c r="H3392" t="s">
        <v>38</v>
      </c>
      <c r="I3392" t="s">
        <v>108</v>
      </c>
      <c r="J3392" t="s">
        <v>54</v>
      </c>
      <c r="K3392" s="2">
        <v>3</v>
      </c>
      <c r="L3392" t="s">
        <v>152</v>
      </c>
      <c r="M3392" t="s">
        <v>27</v>
      </c>
      <c r="N3392" t="s">
        <v>47</v>
      </c>
      <c r="O3392" t="s">
        <v>152</v>
      </c>
      <c r="P3392" t="s">
        <v>152</v>
      </c>
      <c r="Q3392" s="3">
        <v>38</v>
      </c>
      <c r="R3392" t="s">
        <v>46</v>
      </c>
      <c r="S3392" t="s">
        <v>50</v>
      </c>
    </row>
    <row r="3393" spans="1:19" x14ac:dyDescent="0.25">
      <c r="A3393">
        <v>3392</v>
      </c>
      <c r="B3393">
        <v>47</v>
      </c>
      <c r="C3393" t="s">
        <v>153</v>
      </c>
      <c r="D3393" t="s">
        <v>104</v>
      </c>
      <c r="E3393" t="s">
        <v>21</v>
      </c>
      <c r="F3393" s="1">
        <v>57</v>
      </c>
      <c r="G3393" t="s">
        <v>57</v>
      </c>
      <c r="H3393" t="s">
        <v>45</v>
      </c>
      <c r="I3393" t="s">
        <v>67</v>
      </c>
      <c r="J3393" t="s">
        <v>58</v>
      </c>
      <c r="K3393" s="2">
        <v>3.7</v>
      </c>
      <c r="L3393" t="s">
        <v>152</v>
      </c>
      <c r="M3393" t="s">
        <v>35</v>
      </c>
      <c r="N3393" t="s">
        <v>72</v>
      </c>
      <c r="O3393" t="s">
        <v>152</v>
      </c>
      <c r="P3393" t="s">
        <v>152</v>
      </c>
      <c r="Q3393" s="3">
        <v>6</v>
      </c>
      <c r="R3393" t="s">
        <v>59</v>
      </c>
      <c r="S3393" t="s">
        <v>97</v>
      </c>
    </row>
    <row r="3394" spans="1:19" x14ac:dyDescent="0.25">
      <c r="A3394">
        <v>3393</v>
      </c>
      <c r="B3394">
        <v>53</v>
      </c>
      <c r="C3394" t="s">
        <v>153</v>
      </c>
      <c r="D3394" t="s">
        <v>119</v>
      </c>
      <c r="E3394" t="s">
        <v>69</v>
      </c>
      <c r="F3394" s="1">
        <v>74</v>
      </c>
      <c r="G3394" t="s">
        <v>127</v>
      </c>
      <c r="H3394" t="s">
        <v>92</v>
      </c>
      <c r="I3394" t="s">
        <v>144</v>
      </c>
      <c r="J3394" t="s">
        <v>25</v>
      </c>
      <c r="K3394" s="2">
        <v>4.4000000000000004</v>
      </c>
      <c r="L3394" t="s">
        <v>152</v>
      </c>
      <c r="M3394" t="s">
        <v>27</v>
      </c>
      <c r="N3394" t="s">
        <v>40</v>
      </c>
      <c r="O3394" t="s">
        <v>152</v>
      </c>
      <c r="P3394" t="s">
        <v>152</v>
      </c>
      <c r="Q3394" s="3">
        <v>6</v>
      </c>
      <c r="R3394" t="s">
        <v>29</v>
      </c>
      <c r="S3394" t="s">
        <v>77</v>
      </c>
    </row>
    <row r="3395" spans="1:19" x14ac:dyDescent="0.25">
      <c r="A3395">
        <v>3394</v>
      </c>
      <c r="B3395">
        <v>60</v>
      </c>
      <c r="C3395" t="s">
        <v>153</v>
      </c>
      <c r="D3395" t="s">
        <v>82</v>
      </c>
      <c r="E3395" t="s">
        <v>21</v>
      </c>
      <c r="F3395" s="1">
        <v>90</v>
      </c>
      <c r="G3395" t="s">
        <v>117</v>
      </c>
      <c r="H3395" t="s">
        <v>45</v>
      </c>
      <c r="I3395" t="s">
        <v>81</v>
      </c>
      <c r="J3395" t="s">
        <v>58</v>
      </c>
      <c r="K3395" s="2">
        <v>3.1</v>
      </c>
      <c r="L3395" t="s">
        <v>152</v>
      </c>
      <c r="M3395" t="s">
        <v>46</v>
      </c>
      <c r="N3395" t="s">
        <v>47</v>
      </c>
      <c r="O3395" t="s">
        <v>152</v>
      </c>
      <c r="P3395" t="s">
        <v>152</v>
      </c>
      <c r="Q3395" s="3">
        <v>50</v>
      </c>
      <c r="R3395" t="s">
        <v>59</v>
      </c>
      <c r="S3395" t="s">
        <v>88</v>
      </c>
    </row>
    <row r="3396" spans="1:19" x14ac:dyDescent="0.25">
      <c r="A3396">
        <v>3395</v>
      </c>
      <c r="B3396">
        <v>31</v>
      </c>
      <c r="C3396" t="s">
        <v>153</v>
      </c>
      <c r="D3396" t="s">
        <v>42</v>
      </c>
      <c r="E3396" t="s">
        <v>43</v>
      </c>
      <c r="F3396" s="1">
        <v>98</v>
      </c>
      <c r="G3396" t="s">
        <v>129</v>
      </c>
      <c r="H3396" t="s">
        <v>38</v>
      </c>
      <c r="I3396" t="s">
        <v>134</v>
      </c>
      <c r="J3396" t="s">
        <v>39</v>
      </c>
      <c r="K3396" s="2">
        <v>4.2</v>
      </c>
      <c r="L3396" t="s">
        <v>152</v>
      </c>
      <c r="M3396" t="s">
        <v>35</v>
      </c>
      <c r="N3396" t="s">
        <v>76</v>
      </c>
      <c r="O3396" t="s">
        <v>152</v>
      </c>
      <c r="P3396" t="s">
        <v>152</v>
      </c>
      <c r="Q3396" s="3">
        <v>9</v>
      </c>
      <c r="R3396" t="s">
        <v>46</v>
      </c>
      <c r="S3396" t="s">
        <v>50</v>
      </c>
    </row>
    <row r="3397" spans="1:19" x14ac:dyDescent="0.25">
      <c r="A3397">
        <v>3396</v>
      </c>
      <c r="B3397">
        <v>44</v>
      </c>
      <c r="C3397" t="s">
        <v>153</v>
      </c>
      <c r="D3397" t="s">
        <v>82</v>
      </c>
      <c r="E3397" t="s">
        <v>21</v>
      </c>
      <c r="F3397" s="1">
        <v>43</v>
      </c>
      <c r="G3397" t="s">
        <v>112</v>
      </c>
      <c r="H3397" t="s">
        <v>45</v>
      </c>
      <c r="I3397" t="s">
        <v>67</v>
      </c>
      <c r="J3397" t="s">
        <v>25</v>
      </c>
      <c r="K3397" s="2">
        <v>3.1</v>
      </c>
      <c r="L3397" t="s">
        <v>152</v>
      </c>
      <c r="M3397" t="s">
        <v>59</v>
      </c>
      <c r="N3397" t="s">
        <v>40</v>
      </c>
      <c r="O3397" t="s">
        <v>152</v>
      </c>
      <c r="P3397" t="s">
        <v>152</v>
      </c>
      <c r="Q3397" s="3">
        <v>15</v>
      </c>
      <c r="R3397" t="s">
        <v>59</v>
      </c>
      <c r="S3397" t="s">
        <v>97</v>
      </c>
    </row>
    <row r="3398" spans="1:19" x14ac:dyDescent="0.25">
      <c r="A3398">
        <v>3397</v>
      </c>
      <c r="B3398">
        <v>29</v>
      </c>
      <c r="C3398" t="s">
        <v>153</v>
      </c>
      <c r="D3398" t="s">
        <v>95</v>
      </c>
      <c r="E3398" t="s">
        <v>21</v>
      </c>
      <c r="F3398" s="1">
        <v>37</v>
      </c>
      <c r="G3398" t="s">
        <v>122</v>
      </c>
      <c r="H3398" t="s">
        <v>92</v>
      </c>
      <c r="I3398" t="s">
        <v>94</v>
      </c>
      <c r="J3398" t="s">
        <v>25</v>
      </c>
      <c r="K3398" s="2">
        <v>5</v>
      </c>
      <c r="L3398" t="s">
        <v>152</v>
      </c>
      <c r="M3398" t="s">
        <v>46</v>
      </c>
      <c r="N3398" t="s">
        <v>47</v>
      </c>
      <c r="O3398" t="s">
        <v>152</v>
      </c>
      <c r="P3398" t="s">
        <v>152</v>
      </c>
      <c r="Q3398" s="3">
        <v>5</v>
      </c>
      <c r="R3398" t="s">
        <v>46</v>
      </c>
      <c r="S3398" t="s">
        <v>60</v>
      </c>
    </row>
    <row r="3399" spans="1:19" x14ac:dyDescent="0.25">
      <c r="A3399">
        <v>3398</v>
      </c>
      <c r="B3399">
        <v>19</v>
      </c>
      <c r="C3399" t="s">
        <v>153</v>
      </c>
      <c r="D3399" t="s">
        <v>20</v>
      </c>
      <c r="E3399" t="s">
        <v>21</v>
      </c>
      <c r="F3399" s="1">
        <v>38</v>
      </c>
      <c r="G3399" t="s">
        <v>127</v>
      </c>
      <c r="H3399" t="s">
        <v>23</v>
      </c>
      <c r="I3399" t="s">
        <v>134</v>
      </c>
      <c r="J3399" t="s">
        <v>54</v>
      </c>
      <c r="K3399" s="2">
        <v>2.7</v>
      </c>
      <c r="L3399" t="s">
        <v>152</v>
      </c>
      <c r="M3399" t="s">
        <v>34</v>
      </c>
      <c r="N3399" t="s">
        <v>55</v>
      </c>
      <c r="O3399" t="s">
        <v>152</v>
      </c>
      <c r="P3399" t="s">
        <v>152</v>
      </c>
      <c r="Q3399" s="3">
        <v>13</v>
      </c>
      <c r="R3399" t="s">
        <v>34</v>
      </c>
      <c r="S3399" t="s">
        <v>77</v>
      </c>
    </row>
    <row r="3400" spans="1:19" x14ac:dyDescent="0.25">
      <c r="A3400">
        <v>3399</v>
      </c>
      <c r="B3400">
        <v>54</v>
      </c>
      <c r="C3400" t="s">
        <v>153</v>
      </c>
      <c r="D3400" t="s">
        <v>36</v>
      </c>
      <c r="E3400" t="s">
        <v>21</v>
      </c>
      <c r="F3400" s="1">
        <v>60</v>
      </c>
      <c r="G3400" t="s">
        <v>57</v>
      </c>
      <c r="H3400" t="s">
        <v>23</v>
      </c>
      <c r="I3400" t="s">
        <v>71</v>
      </c>
      <c r="J3400" t="s">
        <v>25</v>
      </c>
      <c r="K3400" s="2">
        <v>3.8</v>
      </c>
      <c r="L3400" t="s">
        <v>152</v>
      </c>
      <c r="M3400" t="s">
        <v>35</v>
      </c>
      <c r="N3400" t="s">
        <v>55</v>
      </c>
      <c r="O3400" t="s">
        <v>152</v>
      </c>
      <c r="P3400" t="s">
        <v>152</v>
      </c>
      <c r="Q3400" s="3">
        <v>44</v>
      </c>
      <c r="R3400" t="s">
        <v>35</v>
      </c>
      <c r="S3400" t="s">
        <v>30</v>
      </c>
    </row>
    <row r="3401" spans="1:19" x14ac:dyDescent="0.25">
      <c r="A3401">
        <v>3400</v>
      </c>
      <c r="B3401">
        <v>40</v>
      </c>
      <c r="C3401" t="s">
        <v>153</v>
      </c>
      <c r="D3401" t="s">
        <v>95</v>
      </c>
      <c r="E3401" t="s">
        <v>21</v>
      </c>
      <c r="F3401" s="1">
        <v>55</v>
      </c>
      <c r="G3401" t="s">
        <v>57</v>
      </c>
      <c r="H3401" t="s">
        <v>92</v>
      </c>
      <c r="I3401" t="s">
        <v>134</v>
      </c>
      <c r="J3401" t="s">
        <v>25</v>
      </c>
      <c r="K3401" s="2">
        <v>3.3</v>
      </c>
      <c r="L3401" t="s">
        <v>152</v>
      </c>
      <c r="M3401" t="s">
        <v>59</v>
      </c>
      <c r="N3401" t="s">
        <v>55</v>
      </c>
      <c r="O3401" t="s">
        <v>152</v>
      </c>
      <c r="P3401" t="s">
        <v>152</v>
      </c>
      <c r="Q3401" s="3">
        <v>36</v>
      </c>
      <c r="R3401" t="s">
        <v>59</v>
      </c>
      <c r="S3401" t="s">
        <v>50</v>
      </c>
    </row>
    <row r="3402" spans="1:19" x14ac:dyDescent="0.25">
      <c r="A3402">
        <v>3401</v>
      </c>
      <c r="B3402">
        <v>39</v>
      </c>
      <c r="C3402" t="s">
        <v>153</v>
      </c>
      <c r="D3402" t="s">
        <v>89</v>
      </c>
      <c r="E3402" t="s">
        <v>69</v>
      </c>
      <c r="F3402" s="1">
        <v>51</v>
      </c>
      <c r="G3402" t="s">
        <v>107</v>
      </c>
      <c r="H3402" t="s">
        <v>45</v>
      </c>
      <c r="I3402" t="s">
        <v>93</v>
      </c>
      <c r="J3402" t="s">
        <v>58</v>
      </c>
      <c r="K3402" s="2">
        <v>4.8</v>
      </c>
      <c r="L3402" t="s">
        <v>152</v>
      </c>
      <c r="M3402" t="s">
        <v>59</v>
      </c>
      <c r="N3402" t="s">
        <v>40</v>
      </c>
      <c r="O3402" t="s">
        <v>152</v>
      </c>
      <c r="P3402" t="s">
        <v>152</v>
      </c>
      <c r="Q3402" s="3">
        <v>18</v>
      </c>
      <c r="R3402" t="s">
        <v>29</v>
      </c>
      <c r="S3402" t="s">
        <v>30</v>
      </c>
    </row>
    <row r="3403" spans="1:19" x14ac:dyDescent="0.25">
      <c r="A3403">
        <v>3402</v>
      </c>
      <c r="B3403">
        <v>44</v>
      </c>
      <c r="C3403" t="s">
        <v>153</v>
      </c>
      <c r="D3403" t="s">
        <v>132</v>
      </c>
      <c r="E3403" t="s">
        <v>69</v>
      </c>
      <c r="F3403" s="1">
        <v>71</v>
      </c>
      <c r="G3403" t="s">
        <v>107</v>
      </c>
      <c r="H3403" t="s">
        <v>23</v>
      </c>
      <c r="I3403" t="s">
        <v>100</v>
      </c>
      <c r="J3403" t="s">
        <v>25</v>
      </c>
      <c r="K3403" s="2">
        <v>3.4</v>
      </c>
      <c r="L3403" t="s">
        <v>152</v>
      </c>
      <c r="M3403" t="s">
        <v>29</v>
      </c>
      <c r="N3403" t="s">
        <v>55</v>
      </c>
      <c r="O3403" t="s">
        <v>152</v>
      </c>
      <c r="P3403" t="s">
        <v>152</v>
      </c>
      <c r="Q3403" s="3">
        <v>39</v>
      </c>
      <c r="R3403" t="s">
        <v>27</v>
      </c>
      <c r="S3403" t="s">
        <v>41</v>
      </c>
    </row>
    <row r="3404" spans="1:19" x14ac:dyDescent="0.25">
      <c r="A3404">
        <v>3403</v>
      </c>
      <c r="B3404">
        <v>22</v>
      </c>
      <c r="C3404" t="s">
        <v>153</v>
      </c>
      <c r="D3404" t="s">
        <v>104</v>
      </c>
      <c r="E3404" t="s">
        <v>21</v>
      </c>
      <c r="F3404" s="1">
        <v>61</v>
      </c>
      <c r="G3404" t="s">
        <v>62</v>
      </c>
      <c r="H3404" t="s">
        <v>45</v>
      </c>
      <c r="I3404" t="s">
        <v>94</v>
      </c>
      <c r="J3404" t="s">
        <v>39</v>
      </c>
      <c r="K3404" s="2">
        <v>4.4000000000000004</v>
      </c>
      <c r="L3404" t="s">
        <v>152</v>
      </c>
      <c r="M3404" t="s">
        <v>29</v>
      </c>
      <c r="N3404" t="s">
        <v>72</v>
      </c>
      <c r="O3404" t="s">
        <v>152</v>
      </c>
      <c r="P3404" t="s">
        <v>152</v>
      </c>
      <c r="Q3404" s="3">
        <v>11</v>
      </c>
      <c r="R3404" t="s">
        <v>46</v>
      </c>
      <c r="S3404" t="s">
        <v>97</v>
      </c>
    </row>
    <row r="3405" spans="1:19" x14ac:dyDescent="0.25">
      <c r="A3405">
        <v>3404</v>
      </c>
      <c r="B3405">
        <v>30</v>
      </c>
      <c r="C3405" t="s">
        <v>153</v>
      </c>
      <c r="D3405" t="s">
        <v>137</v>
      </c>
      <c r="E3405" t="s">
        <v>43</v>
      </c>
      <c r="F3405" s="1">
        <v>65</v>
      </c>
      <c r="G3405" t="s">
        <v>115</v>
      </c>
      <c r="H3405" t="s">
        <v>45</v>
      </c>
      <c r="I3405" t="s">
        <v>79</v>
      </c>
      <c r="J3405" t="s">
        <v>54</v>
      </c>
      <c r="K3405" s="2">
        <v>3.9</v>
      </c>
      <c r="L3405" t="s">
        <v>152</v>
      </c>
      <c r="M3405" t="s">
        <v>27</v>
      </c>
      <c r="N3405" t="s">
        <v>55</v>
      </c>
      <c r="O3405" t="s">
        <v>152</v>
      </c>
      <c r="P3405" t="s">
        <v>152</v>
      </c>
      <c r="Q3405" s="3">
        <v>1</v>
      </c>
      <c r="R3405" t="s">
        <v>35</v>
      </c>
      <c r="S3405" t="s">
        <v>77</v>
      </c>
    </row>
    <row r="3406" spans="1:19" x14ac:dyDescent="0.25">
      <c r="A3406">
        <v>3405</v>
      </c>
      <c r="B3406">
        <v>69</v>
      </c>
      <c r="C3406" t="s">
        <v>153</v>
      </c>
      <c r="D3406" t="s">
        <v>143</v>
      </c>
      <c r="E3406" t="s">
        <v>69</v>
      </c>
      <c r="F3406" s="1">
        <v>34</v>
      </c>
      <c r="G3406" t="s">
        <v>131</v>
      </c>
      <c r="H3406" t="s">
        <v>23</v>
      </c>
      <c r="I3406" t="s">
        <v>79</v>
      </c>
      <c r="J3406" t="s">
        <v>58</v>
      </c>
      <c r="K3406" s="2">
        <v>3.9</v>
      </c>
      <c r="L3406" t="s">
        <v>152</v>
      </c>
      <c r="M3406" t="s">
        <v>35</v>
      </c>
      <c r="N3406" t="s">
        <v>72</v>
      </c>
      <c r="O3406" t="s">
        <v>152</v>
      </c>
      <c r="P3406" t="s">
        <v>152</v>
      </c>
      <c r="Q3406" s="3">
        <v>34</v>
      </c>
      <c r="R3406" t="s">
        <v>27</v>
      </c>
      <c r="S3406" t="s">
        <v>50</v>
      </c>
    </row>
    <row r="3407" spans="1:19" x14ac:dyDescent="0.25">
      <c r="A3407">
        <v>3406</v>
      </c>
      <c r="B3407">
        <v>28</v>
      </c>
      <c r="C3407" t="s">
        <v>153</v>
      </c>
      <c r="D3407" t="s">
        <v>20</v>
      </c>
      <c r="E3407" t="s">
        <v>21</v>
      </c>
      <c r="F3407" s="1">
        <v>87</v>
      </c>
      <c r="G3407" t="s">
        <v>149</v>
      </c>
      <c r="H3407" t="s">
        <v>45</v>
      </c>
      <c r="I3407" t="s">
        <v>53</v>
      </c>
      <c r="J3407" t="s">
        <v>54</v>
      </c>
      <c r="K3407" s="2">
        <v>4.2</v>
      </c>
      <c r="L3407" t="s">
        <v>152</v>
      </c>
      <c r="M3407" t="s">
        <v>29</v>
      </c>
      <c r="N3407" t="s">
        <v>76</v>
      </c>
      <c r="O3407" t="s">
        <v>152</v>
      </c>
      <c r="P3407" t="s">
        <v>152</v>
      </c>
      <c r="Q3407" s="3">
        <v>47</v>
      </c>
      <c r="R3407" t="s">
        <v>34</v>
      </c>
      <c r="S3407" t="s">
        <v>77</v>
      </c>
    </row>
    <row r="3408" spans="1:19" x14ac:dyDescent="0.25">
      <c r="A3408">
        <v>3407</v>
      </c>
      <c r="B3408">
        <v>57</v>
      </c>
      <c r="C3408" t="s">
        <v>153</v>
      </c>
      <c r="D3408" t="s">
        <v>31</v>
      </c>
      <c r="E3408" t="s">
        <v>21</v>
      </c>
      <c r="F3408" s="1">
        <v>79</v>
      </c>
      <c r="G3408" t="s">
        <v>145</v>
      </c>
      <c r="H3408" t="s">
        <v>45</v>
      </c>
      <c r="I3408" t="s">
        <v>108</v>
      </c>
      <c r="J3408" t="s">
        <v>39</v>
      </c>
      <c r="K3408" s="2">
        <v>4</v>
      </c>
      <c r="L3408" t="s">
        <v>152</v>
      </c>
      <c r="M3408" t="s">
        <v>29</v>
      </c>
      <c r="N3408" t="s">
        <v>76</v>
      </c>
      <c r="O3408" t="s">
        <v>152</v>
      </c>
      <c r="P3408" t="s">
        <v>152</v>
      </c>
      <c r="Q3408" s="3">
        <v>24</v>
      </c>
      <c r="R3408" t="s">
        <v>29</v>
      </c>
      <c r="S3408" t="s">
        <v>60</v>
      </c>
    </row>
    <row r="3409" spans="1:19" x14ac:dyDescent="0.25">
      <c r="A3409">
        <v>3408</v>
      </c>
      <c r="B3409">
        <v>46</v>
      </c>
      <c r="C3409" t="s">
        <v>153</v>
      </c>
      <c r="D3409" t="s">
        <v>82</v>
      </c>
      <c r="E3409" t="s">
        <v>21</v>
      </c>
      <c r="F3409" s="1">
        <v>46</v>
      </c>
      <c r="G3409" t="s">
        <v>90</v>
      </c>
      <c r="H3409" t="s">
        <v>38</v>
      </c>
      <c r="I3409" t="s">
        <v>75</v>
      </c>
      <c r="J3409" t="s">
        <v>39</v>
      </c>
      <c r="K3409" s="2">
        <v>2.6</v>
      </c>
      <c r="L3409" t="s">
        <v>152</v>
      </c>
      <c r="M3409" t="s">
        <v>34</v>
      </c>
      <c r="N3409" t="s">
        <v>76</v>
      </c>
      <c r="O3409" t="s">
        <v>152</v>
      </c>
      <c r="P3409" t="s">
        <v>152</v>
      </c>
      <c r="Q3409" s="3">
        <v>20</v>
      </c>
      <c r="R3409" t="s">
        <v>35</v>
      </c>
      <c r="S3409" t="s">
        <v>60</v>
      </c>
    </row>
    <row r="3410" spans="1:19" x14ac:dyDescent="0.25">
      <c r="A3410">
        <v>3409</v>
      </c>
      <c r="B3410">
        <v>48</v>
      </c>
      <c r="C3410" t="s">
        <v>153</v>
      </c>
      <c r="D3410" t="s">
        <v>125</v>
      </c>
      <c r="E3410" t="s">
        <v>21</v>
      </c>
      <c r="F3410" s="1">
        <v>72</v>
      </c>
      <c r="G3410" t="s">
        <v>57</v>
      </c>
      <c r="H3410" t="s">
        <v>23</v>
      </c>
      <c r="I3410" t="s">
        <v>75</v>
      </c>
      <c r="J3410" t="s">
        <v>54</v>
      </c>
      <c r="K3410" s="2">
        <v>4.4000000000000004</v>
      </c>
      <c r="L3410" t="s">
        <v>152</v>
      </c>
      <c r="M3410" t="s">
        <v>46</v>
      </c>
      <c r="N3410" t="s">
        <v>55</v>
      </c>
      <c r="O3410" t="s">
        <v>152</v>
      </c>
      <c r="P3410" t="s">
        <v>152</v>
      </c>
      <c r="Q3410" s="3">
        <v>11</v>
      </c>
      <c r="R3410" t="s">
        <v>34</v>
      </c>
      <c r="S3410" t="s">
        <v>50</v>
      </c>
    </row>
    <row r="3411" spans="1:19" x14ac:dyDescent="0.25">
      <c r="A3411">
        <v>3410</v>
      </c>
      <c r="B3411">
        <v>24</v>
      </c>
      <c r="C3411" t="s">
        <v>153</v>
      </c>
      <c r="D3411" t="s">
        <v>56</v>
      </c>
      <c r="E3411" t="s">
        <v>21</v>
      </c>
      <c r="F3411" s="1">
        <v>93</v>
      </c>
      <c r="G3411" t="s">
        <v>148</v>
      </c>
      <c r="H3411" t="s">
        <v>45</v>
      </c>
      <c r="I3411" t="s">
        <v>86</v>
      </c>
      <c r="J3411" t="s">
        <v>54</v>
      </c>
      <c r="K3411" s="2">
        <v>3.2</v>
      </c>
      <c r="L3411" t="s">
        <v>152</v>
      </c>
      <c r="M3411" t="s">
        <v>46</v>
      </c>
      <c r="N3411" t="s">
        <v>47</v>
      </c>
      <c r="O3411" t="s">
        <v>152</v>
      </c>
      <c r="P3411" t="s">
        <v>152</v>
      </c>
      <c r="Q3411" s="3">
        <v>3</v>
      </c>
      <c r="R3411" t="s">
        <v>27</v>
      </c>
      <c r="S3411" t="s">
        <v>97</v>
      </c>
    </row>
    <row r="3412" spans="1:19" x14ac:dyDescent="0.25">
      <c r="A3412">
        <v>3411</v>
      </c>
      <c r="B3412">
        <v>50</v>
      </c>
      <c r="C3412" t="s">
        <v>153</v>
      </c>
      <c r="D3412" t="s">
        <v>42</v>
      </c>
      <c r="E3412" t="s">
        <v>43</v>
      </c>
      <c r="F3412" s="1">
        <v>76</v>
      </c>
      <c r="G3412" t="s">
        <v>123</v>
      </c>
      <c r="H3412" t="s">
        <v>23</v>
      </c>
      <c r="I3412" t="s">
        <v>86</v>
      </c>
      <c r="J3412" t="s">
        <v>54</v>
      </c>
      <c r="K3412" s="2">
        <v>4.3</v>
      </c>
      <c r="L3412" t="s">
        <v>152</v>
      </c>
      <c r="M3412" t="s">
        <v>46</v>
      </c>
      <c r="N3412" t="s">
        <v>40</v>
      </c>
      <c r="O3412" t="s">
        <v>152</v>
      </c>
      <c r="P3412" t="s">
        <v>152</v>
      </c>
      <c r="Q3412" s="3">
        <v>38</v>
      </c>
      <c r="R3412" t="s">
        <v>34</v>
      </c>
      <c r="S3412" t="s">
        <v>77</v>
      </c>
    </row>
    <row r="3413" spans="1:19" x14ac:dyDescent="0.25">
      <c r="A3413">
        <v>3412</v>
      </c>
      <c r="B3413">
        <v>29</v>
      </c>
      <c r="C3413" t="s">
        <v>153</v>
      </c>
      <c r="D3413" t="s">
        <v>73</v>
      </c>
      <c r="E3413" t="s">
        <v>43</v>
      </c>
      <c r="F3413" s="1">
        <v>56</v>
      </c>
      <c r="G3413" t="s">
        <v>85</v>
      </c>
      <c r="H3413" t="s">
        <v>23</v>
      </c>
      <c r="I3413" t="s">
        <v>24</v>
      </c>
      <c r="J3413" t="s">
        <v>25</v>
      </c>
      <c r="K3413" s="2">
        <v>4.9000000000000004</v>
      </c>
      <c r="L3413" t="s">
        <v>152</v>
      </c>
      <c r="M3413" t="s">
        <v>29</v>
      </c>
      <c r="N3413" t="s">
        <v>72</v>
      </c>
      <c r="O3413" t="s">
        <v>152</v>
      </c>
      <c r="P3413" t="s">
        <v>152</v>
      </c>
      <c r="Q3413" s="3">
        <v>45</v>
      </c>
      <c r="R3413" t="s">
        <v>35</v>
      </c>
      <c r="S3413" t="s">
        <v>41</v>
      </c>
    </row>
    <row r="3414" spans="1:19" x14ac:dyDescent="0.25">
      <c r="A3414">
        <v>3413</v>
      </c>
      <c r="B3414">
        <v>61</v>
      </c>
      <c r="C3414" t="s">
        <v>153</v>
      </c>
      <c r="D3414" t="s">
        <v>42</v>
      </c>
      <c r="E3414" t="s">
        <v>43</v>
      </c>
      <c r="F3414" s="1">
        <v>83</v>
      </c>
      <c r="G3414" t="s">
        <v>116</v>
      </c>
      <c r="H3414" t="s">
        <v>45</v>
      </c>
      <c r="I3414" t="s">
        <v>136</v>
      </c>
      <c r="J3414" t="s">
        <v>58</v>
      </c>
      <c r="K3414" s="2">
        <v>3.8</v>
      </c>
      <c r="L3414" t="s">
        <v>152</v>
      </c>
      <c r="M3414" t="s">
        <v>27</v>
      </c>
      <c r="N3414" t="s">
        <v>76</v>
      </c>
      <c r="O3414" t="s">
        <v>152</v>
      </c>
      <c r="P3414" t="s">
        <v>152</v>
      </c>
      <c r="Q3414" s="3">
        <v>31</v>
      </c>
      <c r="R3414" t="s">
        <v>29</v>
      </c>
      <c r="S3414" t="s">
        <v>60</v>
      </c>
    </row>
    <row r="3415" spans="1:19" x14ac:dyDescent="0.25">
      <c r="A3415">
        <v>3414</v>
      </c>
      <c r="B3415">
        <v>34</v>
      </c>
      <c r="C3415" t="s">
        <v>153</v>
      </c>
      <c r="D3415" t="s">
        <v>143</v>
      </c>
      <c r="E3415" t="s">
        <v>69</v>
      </c>
      <c r="F3415" s="1">
        <v>90</v>
      </c>
      <c r="G3415" t="s">
        <v>80</v>
      </c>
      <c r="H3415" t="s">
        <v>92</v>
      </c>
      <c r="I3415" t="s">
        <v>94</v>
      </c>
      <c r="J3415" t="s">
        <v>25</v>
      </c>
      <c r="K3415" s="2">
        <v>2.5</v>
      </c>
      <c r="L3415" t="s">
        <v>152</v>
      </c>
      <c r="M3415" t="s">
        <v>35</v>
      </c>
      <c r="N3415" t="s">
        <v>28</v>
      </c>
      <c r="O3415" t="s">
        <v>152</v>
      </c>
      <c r="P3415" t="s">
        <v>152</v>
      </c>
      <c r="Q3415" s="3">
        <v>16</v>
      </c>
      <c r="R3415" t="s">
        <v>46</v>
      </c>
      <c r="S3415" t="s">
        <v>77</v>
      </c>
    </row>
    <row r="3416" spans="1:19" x14ac:dyDescent="0.25">
      <c r="A3416">
        <v>3415</v>
      </c>
      <c r="B3416">
        <v>27</v>
      </c>
      <c r="C3416" t="s">
        <v>153</v>
      </c>
      <c r="D3416" t="s">
        <v>137</v>
      </c>
      <c r="E3416" t="s">
        <v>43</v>
      </c>
      <c r="F3416" s="1">
        <v>94</v>
      </c>
      <c r="G3416" t="s">
        <v>139</v>
      </c>
      <c r="H3416" t="s">
        <v>45</v>
      </c>
      <c r="I3416" t="s">
        <v>33</v>
      </c>
      <c r="J3416" t="s">
        <v>39</v>
      </c>
      <c r="K3416" s="2">
        <v>4.9000000000000004</v>
      </c>
      <c r="L3416" t="s">
        <v>152</v>
      </c>
      <c r="M3416" t="s">
        <v>29</v>
      </c>
      <c r="N3416" t="s">
        <v>47</v>
      </c>
      <c r="O3416" t="s">
        <v>152</v>
      </c>
      <c r="P3416" t="s">
        <v>152</v>
      </c>
      <c r="Q3416" s="3">
        <v>3</v>
      </c>
      <c r="R3416" t="s">
        <v>34</v>
      </c>
      <c r="S3416" t="s">
        <v>60</v>
      </c>
    </row>
    <row r="3417" spans="1:19" x14ac:dyDescent="0.25">
      <c r="A3417">
        <v>3416</v>
      </c>
      <c r="B3417">
        <v>38</v>
      </c>
      <c r="C3417" t="s">
        <v>153</v>
      </c>
      <c r="D3417" t="s">
        <v>20</v>
      </c>
      <c r="E3417" t="s">
        <v>21</v>
      </c>
      <c r="F3417" s="1">
        <v>68</v>
      </c>
      <c r="G3417" t="s">
        <v>85</v>
      </c>
      <c r="H3417" t="s">
        <v>45</v>
      </c>
      <c r="I3417" t="s">
        <v>81</v>
      </c>
      <c r="J3417" t="s">
        <v>58</v>
      </c>
      <c r="K3417" s="2">
        <v>3</v>
      </c>
      <c r="L3417" t="s">
        <v>152</v>
      </c>
      <c r="M3417" t="s">
        <v>27</v>
      </c>
      <c r="N3417" t="s">
        <v>72</v>
      </c>
      <c r="O3417" t="s">
        <v>152</v>
      </c>
      <c r="P3417" t="s">
        <v>152</v>
      </c>
      <c r="Q3417" s="3">
        <v>15</v>
      </c>
      <c r="R3417" t="s">
        <v>34</v>
      </c>
      <c r="S3417" t="s">
        <v>50</v>
      </c>
    </row>
    <row r="3418" spans="1:19" x14ac:dyDescent="0.25">
      <c r="A3418">
        <v>3417</v>
      </c>
      <c r="B3418">
        <v>25</v>
      </c>
      <c r="C3418" t="s">
        <v>153</v>
      </c>
      <c r="D3418" t="s">
        <v>42</v>
      </c>
      <c r="E3418" t="s">
        <v>43</v>
      </c>
      <c r="F3418" s="1">
        <v>53</v>
      </c>
      <c r="G3418" t="s">
        <v>90</v>
      </c>
      <c r="H3418" t="s">
        <v>45</v>
      </c>
      <c r="I3418" t="s">
        <v>75</v>
      </c>
      <c r="J3418" t="s">
        <v>39</v>
      </c>
      <c r="K3418" s="2">
        <v>3.2</v>
      </c>
      <c r="L3418" t="s">
        <v>152</v>
      </c>
      <c r="M3418" t="s">
        <v>46</v>
      </c>
      <c r="N3418" t="s">
        <v>76</v>
      </c>
      <c r="O3418" t="s">
        <v>152</v>
      </c>
      <c r="P3418" t="s">
        <v>152</v>
      </c>
      <c r="Q3418" s="3">
        <v>11</v>
      </c>
      <c r="R3418" t="s">
        <v>34</v>
      </c>
      <c r="S3418" t="s">
        <v>97</v>
      </c>
    </row>
    <row r="3419" spans="1:19" x14ac:dyDescent="0.25">
      <c r="A3419">
        <v>3418</v>
      </c>
      <c r="B3419">
        <v>54</v>
      </c>
      <c r="C3419" t="s">
        <v>153</v>
      </c>
      <c r="D3419" t="s">
        <v>64</v>
      </c>
      <c r="E3419" t="s">
        <v>65</v>
      </c>
      <c r="F3419" s="1">
        <v>35</v>
      </c>
      <c r="G3419" t="s">
        <v>37</v>
      </c>
      <c r="H3419" t="s">
        <v>45</v>
      </c>
      <c r="I3419" t="s">
        <v>144</v>
      </c>
      <c r="J3419" t="s">
        <v>54</v>
      </c>
      <c r="K3419" s="2">
        <v>2.9</v>
      </c>
      <c r="L3419" t="s">
        <v>152</v>
      </c>
      <c r="M3419" t="s">
        <v>46</v>
      </c>
      <c r="N3419" t="s">
        <v>72</v>
      </c>
      <c r="O3419" t="s">
        <v>152</v>
      </c>
      <c r="P3419" t="s">
        <v>152</v>
      </c>
      <c r="Q3419" s="3">
        <v>22</v>
      </c>
      <c r="R3419" t="s">
        <v>59</v>
      </c>
      <c r="S3419" t="s">
        <v>30</v>
      </c>
    </row>
    <row r="3420" spans="1:19" x14ac:dyDescent="0.25">
      <c r="A3420">
        <v>3419</v>
      </c>
      <c r="B3420">
        <v>53</v>
      </c>
      <c r="C3420" t="s">
        <v>153</v>
      </c>
      <c r="D3420" t="s">
        <v>102</v>
      </c>
      <c r="E3420" t="s">
        <v>65</v>
      </c>
      <c r="F3420" s="1">
        <v>30</v>
      </c>
      <c r="G3420" t="s">
        <v>131</v>
      </c>
      <c r="H3420" t="s">
        <v>45</v>
      </c>
      <c r="I3420" t="s">
        <v>118</v>
      </c>
      <c r="J3420" t="s">
        <v>54</v>
      </c>
      <c r="K3420" s="2">
        <v>2.8</v>
      </c>
      <c r="L3420" t="s">
        <v>152</v>
      </c>
      <c r="M3420" t="s">
        <v>35</v>
      </c>
      <c r="N3420" t="s">
        <v>40</v>
      </c>
      <c r="O3420" t="s">
        <v>152</v>
      </c>
      <c r="P3420" t="s">
        <v>152</v>
      </c>
      <c r="Q3420" s="3">
        <v>35</v>
      </c>
      <c r="R3420" t="s">
        <v>59</v>
      </c>
      <c r="S3420" t="s">
        <v>50</v>
      </c>
    </row>
    <row r="3421" spans="1:19" x14ac:dyDescent="0.25">
      <c r="A3421">
        <v>3420</v>
      </c>
      <c r="B3421">
        <v>23</v>
      </c>
      <c r="C3421" t="s">
        <v>153</v>
      </c>
      <c r="D3421" t="s">
        <v>106</v>
      </c>
      <c r="E3421" t="s">
        <v>69</v>
      </c>
      <c r="F3421" s="1">
        <v>26</v>
      </c>
      <c r="G3421" t="s">
        <v>66</v>
      </c>
      <c r="H3421" t="s">
        <v>23</v>
      </c>
      <c r="I3421" t="s">
        <v>126</v>
      </c>
      <c r="J3421" t="s">
        <v>25</v>
      </c>
      <c r="K3421" s="2">
        <v>3.1</v>
      </c>
      <c r="L3421" t="s">
        <v>152</v>
      </c>
      <c r="M3421" t="s">
        <v>29</v>
      </c>
      <c r="N3421" t="s">
        <v>76</v>
      </c>
      <c r="O3421" t="s">
        <v>152</v>
      </c>
      <c r="P3421" t="s">
        <v>152</v>
      </c>
      <c r="Q3421" s="3">
        <v>5</v>
      </c>
      <c r="R3421" t="s">
        <v>29</v>
      </c>
      <c r="S3421" t="s">
        <v>77</v>
      </c>
    </row>
    <row r="3422" spans="1:19" x14ac:dyDescent="0.25">
      <c r="A3422">
        <v>3421</v>
      </c>
      <c r="B3422">
        <v>19</v>
      </c>
      <c r="C3422" t="s">
        <v>153</v>
      </c>
      <c r="D3422" t="s">
        <v>124</v>
      </c>
      <c r="E3422" t="s">
        <v>69</v>
      </c>
      <c r="F3422" s="1">
        <v>60</v>
      </c>
      <c r="G3422" t="s">
        <v>22</v>
      </c>
      <c r="H3422" t="s">
        <v>45</v>
      </c>
      <c r="I3422" t="s">
        <v>75</v>
      </c>
      <c r="J3422" t="s">
        <v>25</v>
      </c>
      <c r="K3422" s="2">
        <v>3.4</v>
      </c>
      <c r="L3422" t="s">
        <v>152</v>
      </c>
      <c r="M3422" t="s">
        <v>59</v>
      </c>
      <c r="N3422" t="s">
        <v>28</v>
      </c>
      <c r="O3422" t="s">
        <v>152</v>
      </c>
      <c r="P3422" t="s">
        <v>152</v>
      </c>
      <c r="Q3422" s="3">
        <v>35</v>
      </c>
      <c r="R3422" t="s">
        <v>46</v>
      </c>
      <c r="S3422" t="s">
        <v>77</v>
      </c>
    </row>
    <row r="3423" spans="1:19" x14ac:dyDescent="0.25">
      <c r="A3423">
        <v>3422</v>
      </c>
      <c r="B3423">
        <v>57</v>
      </c>
      <c r="C3423" t="s">
        <v>153</v>
      </c>
      <c r="D3423" t="s">
        <v>73</v>
      </c>
      <c r="E3423" t="s">
        <v>43</v>
      </c>
      <c r="F3423" s="1">
        <v>30</v>
      </c>
      <c r="G3423" t="s">
        <v>127</v>
      </c>
      <c r="H3423" t="s">
        <v>45</v>
      </c>
      <c r="I3423" t="s">
        <v>33</v>
      </c>
      <c r="J3423" t="s">
        <v>54</v>
      </c>
      <c r="K3423" s="2">
        <v>2.9</v>
      </c>
      <c r="L3423" t="s">
        <v>152</v>
      </c>
      <c r="M3423" t="s">
        <v>46</v>
      </c>
      <c r="N3423" t="s">
        <v>40</v>
      </c>
      <c r="O3423" t="s">
        <v>152</v>
      </c>
      <c r="P3423" t="s">
        <v>152</v>
      </c>
      <c r="Q3423" s="3">
        <v>27</v>
      </c>
      <c r="R3423" t="s">
        <v>46</v>
      </c>
      <c r="S3423" t="s">
        <v>41</v>
      </c>
    </row>
    <row r="3424" spans="1:19" x14ac:dyDescent="0.25">
      <c r="A3424">
        <v>3423</v>
      </c>
      <c r="B3424">
        <v>19</v>
      </c>
      <c r="C3424" t="s">
        <v>153</v>
      </c>
      <c r="D3424" t="s">
        <v>64</v>
      </c>
      <c r="E3424" t="s">
        <v>65</v>
      </c>
      <c r="F3424" s="1">
        <v>91</v>
      </c>
      <c r="G3424" t="s">
        <v>85</v>
      </c>
      <c r="H3424" t="s">
        <v>23</v>
      </c>
      <c r="I3424" t="s">
        <v>118</v>
      </c>
      <c r="J3424" t="s">
        <v>25</v>
      </c>
      <c r="K3424" s="2">
        <v>3.2</v>
      </c>
      <c r="L3424" t="s">
        <v>152</v>
      </c>
      <c r="M3424" t="s">
        <v>27</v>
      </c>
      <c r="N3424" t="s">
        <v>47</v>
      </c>
      <c r="O3424" t="s">
        <v>152</v>
      </c>
      <c r="P3424" t="s">
        <v>152</v>
      </c>
      <c r="Q3424" s="3">
        <v>9</v>
      </c>
      <c r="R3424" t="s">
        <v>29</v>
      </c>
      <c r="S3424" t="s">
        <v>88</v>
      </c>
    </row>
    <row r="3425" spans="1:19" x14ac:dyDescent="0.25">
      <c r="A3425">
        <v>3424</v>
      </c>
      <c r="B3425">
        <v>33</v>
      </c>
      <c r="C3425" t="s">
        <v>153</v>
      </c>
      <c r="D3425" t="s">
        <v>137</v>
      </c>
      <c r="E3425" t="s">
        <v>43</v>
      </c>
      <c r="F3425" s="1">
        <v>71</v>
      </c>
      <c r="G3425" t="s">
        <v>37</v>
      </c>
      <c r="H3425" t="s">
        <v>45</v>
      </c>
      <c r="I3425" t="s">
        <v>110</v>
      </c>
      <c r="J3425" t="s">
        <v>39</v>
      </c>
      <c r="K3425" s="2">
        <v>3.8</v>
      </c>
      <c r="L3425" t="s">
        <v>152</v>
      </c>
      <c r="M3425" t="s">
        <v>29</v>
      </c>
      <c r="N3425" t="s">
        <v>47</v>
      </c>
      <c r="O3425" t="s">
        <v>152</v>
      </c>
      <c r="P3425" t="s">
        <v>152</v>
      </c>
      <c r="Q3425" s="3">
        <v>21</v>
      </c>
      <c r="R3425" t="s">
        <v>46</v>
      </c>
      <c r="S3425" t="s">
        <v>77</v>
      </c>
    </row>
    <row r="3426" spans="1:19" x14ac:dyDescent="0.25">
      <c r="A3426">
        <v>3425</v>
      </c>
      <c r="B3426">
        <v>33</v>
      </c>
      <c r="C3426" t="s">
        <v>153</v>
      </c>
      <c r="D3426" t="s">
        <v>119</v>
      </c>
      <c r="E3426" t="s">
        <v>69</v>
      </c>
      <c r="F3426" s="1">
        <v>64</v>
      </c>
      <c r="G3426" t="s">
        <v>103</v>
      </c>
      <c r="H3426" t="s">
        <v>23</v>
      </c>
      <c r="I3426" t="s">
        <v>96</v>
      </c>
      <c r="J3426" t="s">
        <v>54</v>
      </c>
      <c r="K3426" s="2">
        <v>3.6</v>
      </c>
      <c r="L3426" t="s">
        <v>152</v>
      </c>
      <c r="M3426" t="s">
        <v>29</v>
      </c>
      <c r="N3426" t="s">
        <v>72</v>
      </c>
      <c r="O3426" t="s">
        <v>152</v>
      </c>
      <c r="P3426" t="s">
        <v>152</v>
      </c>
      <c r="Q3426" s="3">
        <v>23</v>
      </c>
      <c r="R3426" t="s">
        <v>27</v>
      </c>
      <c r="S3426" t="s">
        <v>88</v>
      </c>
    </row>
    <row r="3427" spans="1:19" x14ac:dyDescent="0.25">
      <c r="A3427">
        <v>3426</v>
      </c>
      <c r="B3427">
        <v>38</v>
      </c>
      <c r="C3427" t="s">
        <v>153</v>
      </c>
      <c r="D3427" t="s">
        <v>124</v>
      </c>
      <c r="E3427" t="s">
        <v>69</v>
      </c>
      <c r="F3427" s="1">
        <v>54</v>
      </c>
      <c r="G3427" t="s">
        <v>151</v>
      </c>
      <c r="H3427" t="s">
        <v>45</v>
      </c>
      <c r="I3427" t="s">
        <v>144</v>
      </c>
      <c r="J3427" t="s">
        <v>54</v>
      </c>
      <c r="K3427" s="2">
        <v>4.3</v>
      </c>
      <c r="L3427" t="s">
        <v>152</v>
      </c>
      <c r="M3427" t="s">
        <v>34</v>
      </c>
      <c r="N3427" t="s">
        <v>47</v>
      </c>
      <c r="O3427" t="s">
        <v>152</v>
      </c>
      <c r="P3427" t="s">
        <v>152</v>
      </c>
      <c r="Q3427" s="3">
        <v>3</v>
      </c>
      <c r="R3427" t="s">
        <v>59</v>
      </c>
      <c r="S3427" t="s">
        <v>77</v>
      </c>
    </row>
    <row r="3428" spans="1:19" x14ac:dyDescent="0.25">
      <c r="A3428">
        <v>3427</v>
      </c>
      <c r="B3428">
        <v>47</v>
      </c>
      <c r="C3428" t="s">
        <v>153</v>
      </c>
      <c r="D3428" t="s">
        <v>125</v>
      </c>
      <c r="E3428" t="s">
        <v>21</v>
      </c>
      <c r="F3428" s="1">
        <v>35</v>
      </c>
      <c r="G3428" t="s">
        <v>48</v>
      </c>
      <c r="H3428" t="s">
        <v>92</v>
      </c>
      <c r="I3428" t="s">
        <v>136</v>
      </c>
      <c r="J3428" t="s">
        <v>58</v>
      </c>
      <c r="K3428" s="2">
        <v>4.8</v>
      </c>
      <c r="L3428" t="s">
        <v>152</v>
      </c>
      <c r="M3428" t="s">
        <v>46</v>
      </c>
      <c r="N3428" t="s">
        <v>72</v>
      </c>
      <c r="O3428" t="s">
        <v>152</v>
      </c>
      <c r="P3428" t="s">
        <v>152</v>
      </c>
      <c r="Q3428" s="3">
        <v>31</v>
      </c>
      <c r="R3428" t="s">
        <v>27</v>
      </c>
      <c r="S3428" t="s">
        <v>50</v>
      </c>
    </row>
    <row r="3429" spans="1:19" x14ac:dyDescent="0.25">
      <c r="A3429">
        <v>3428</v>
      </c>
      <c r="B3429">
        <v>39</v>
      </c>
      <c r="C3429" t="s">
        <v>153</v>
      </c>
      <c r="D3429" t="s">
        <v>113</v>
      </c>
      <c r="E3429" t="s">
        <v>21</v>
      </c>
      <c r="F3429" s="1">
        <v>38</v>
      </c>
      <c r="G3429" t="s">
        <v>151</v>
      </c>
      <c r="H3429" t="s">
        <v>92</v>
      </c>
      <c r="I3429" t="s">
        <v>49</v>
      </c>
      <c r="J3429" t="s">
        <v>25</v>
      </c>
      <c r="K3429" s="2">
        <v>2.5</v>
      </c>
      <c r="L3429" t="s">
        <v>152</v>
      </c>
      <c r="M3429" t="s">
        <v>34</v>
      </c>
      <c r="N3429" t="s">
        <v>76</v>
      </c>
      <c r="O3429" t="s">
        <v>152</v>
      </c>
      <c r="P3429" t="s">
        <v>152</v>
      </c>
      <c r="Q3429" s="3">
        <v>44</v>
      </c>
      <c r="R3429" t="s">
        <v>35</v>
      </c>
      <c r="S3429" t="s">
        <v>50</v>
      </c>
    </row>
    <row r="3430" spans="1:19" x14ac:dyDescent="0.25">
      <c r="A3430">
        <v>3429</v>
      </c>
      <c r="B3430">
        <v>32</v>
      </c>
      <c r="C3430" t="s">
        <v>153</v>
      </c>
      <c r="D3430" t="s">
        <v>106</v>
      </c>
      <c r="E3430" t="s">
        <v>69</v>
      </c>
      <c r="F3430" s="1">
        <v>69</v>
      </c>
      <c r="G3430" t="s">
        <v>149</v>
      </c>
      <c r="H3430" t="s">
        <v>45</v>
      </c>
      <c r="I3430" t="s">
        <v>24</v>
      </c>
      <c r="J3430" t="s">
        <v>58</v>
      </c>
      <c r="K3430" s="2">
        <v>2.5</v>
      </c>
      <c r="L3430" t="s">
        <v>152</v>
      </c>
      <c r="M3430" t="s">
        <v>59</v>
      </c>
      <c r="N3430" t="s">
        <v>47</v>
      </c>
      <c r="O3430" t="s">
        <v>152</v>
      </c>
      <c r="P3430" t="s">
        <v>152</v>
      </c>
      <c r="Q3430" s="3">
        <v>20</v>
      </c>
      <c r="R3430" t="s">
        <v>29</v>
      </c>
      <c r="S3430" t="s">
        <v>88</v>
      </c>
    </row>
    <row r="3431" spans="1:19" x14ac:dyDescent="0.25">
      <c r="A3431">
        <v>3430</v>
      </c>
      <c r="B3431">
        <v>27</v>
      </c>
      <c r="C3431" t="s">
        <v>153</v>
      </c>
      <c r="D3431" t="s">
        <v>87</v>
      </c>
      <c r="E3431" t="s">
        <v>21</v>
      </c>
      <c r="F3431" s="1">
        <v>96</v>
      </c>
      <c r="G3431" t="s">
        <v>120</v>
      </c>
      <c r="H3431" t="s">
        <v>38</v>
      </c>
      <c r="I3431" t="s">
        <v>75</v>
      </c>
      <c r="J3431" t="s">
        <v>25</v>
      </c>
      <c r="K3431" s="2">
        <v>4.5999999999999996</v>
      </c>
      <c r="L3431" t="s">
        <v>152</v>
      </c>
      <c r="M3431" t="s">
        <v>59</v>
      </c>
      <c r="N3431" t="s">
        <v>28</v>
      </c>
      <c r="O3431" t="s">
        <v>152</v>
      </c>
      <c r="P3431" t="s">
        <v>152</v>
      </c>
      <c r="Q3431" s="3">
        <v>34</v>
      </c>
      <c r="R3431" t="s">
        <v>59</v>
      </c>
      <c r="S3431" t="s">
        <v>41</v>
      </c>
    </row>
    <row r="3432" spans="1:19" x14ac:dyDescent="0.25">
      <c r="A3432">
        <v>3431</v>
      </c>
      <c r="B3432">
        <v>67</v>
      </c>
      <c r="C3432" t="s">
        <v>153</v>
      </c>
      <c r="D3432" t="s">
        <v>125</v>
      </c>
      <c r="E3432" t="s">
        <v>21</v>
      </c>
      <c r="F3432" s="1">
        <v>73</v>
      </c>
      <c r="G3432" t="s">
        <v>57</v>
      </c>
      <c r="H3432" t="s">
        <v>45</v>
      </c>
      <c r="I3432" t="s">
        <v>93</v>
      </c>
      <c r="J3432" t="s">
        <v>25</v>
      </c>
      <c r="K3432" s="2">
        <v>4.2</v>
      </c>
      <c r="L3432" t="s">
        <v>152</v>
      </c>
      <c r="M3432" t="s">
        <v>27</v>
      </c>
      <c r="N3432" t="s">
        <v>47</v>
      </c>
      <c r="O3432" t="s">
        <v>152</v>
      </c>
      <c r="P3432" t="s">
        <v>152</v>
      </c>
      <c r="Q3432" s="3">
        <v>17</v>
      </c>
      <c r="R3432" t="s">
        <v>34</v>
      </c>
      <c r="S3432" t="s">
        <v>97</v>
      </c>
    </row>
    <row r="3433" spans="1:19" x14ac:dyDescent="0.25">
      <c r="A3433">
        <v>3432</v>
      </c>
      <c r="B3433">
        <v>46</v>
      </c>
      <c r="C3433" t="s">
        <v>153</v>
      </c>
      <c r="D3433" t="s">
        <v>133</v>
      </c>
      <c r="E3433" t="s">
        <v>69</v>
      </c>
      <c r="F3433" s="1">
        <v>49</v>
      </c>
      <c r="G3433" t="s">
        <v>130</v>
      </c>
      <c r="H3433" t="s">
        <v>38</v>
      </c>
      <c r="I3433" t="s">
        <v>96</v>
      </c>
      <c r="J3433" t="s">
        <v>54</v>
      </c>
      <c r="K3433" s="2">
        <v>4.2</v>
      </c>
      <c r="L3433" t="s">
        <v>152</v>
      </c>
      <c r="M3433" t="s">
        <v>35</v>
      </c>
      <c r="N3433" t="s">
        <v>28</v>
      </c>
      <c r="O3433" t="s">
        <v>152</v>
      </c>
      <c r="P3433" t="s">
        <v>152</v>
      </c>
      <c r="Q3433" s="3">
        <v>20</v>
      </c>
      <c r="R3433" t="s">
        <v>29</v>
      </c>
      <c r="S3433" t="s">
        <v>50</v>
      </c>
    </row>
    <row r="3434" spans="1:19" x14ac:dyDescent="0.25">
      <c r="A3434">
        <v>3433</v>
      </c>
      <c r="B3434">
        <v>36</v>
      </c>
      <c r="C3434" t="s">
        <v>153</v>
      </c>
      <c r="D3434" t="s">
        <v>137</v>
      </c>
      <c r="E3434" t="s">
        <v>43</v>
      </c>
      <c r="F3434" s="1">
        <v>44</v>
      </c>
      <c r="G3434" t="s">
        <v>139</v>
      </c>
      <c r="H3434" t="s">
        <v>45</v>
      </c>
      <c r="I3434" t="s">
        <v>24</v>
      </c>
      <c r="J3434" t="s">
        <v>54</v>
      </c>
      <c r="K3434" s="2">
        <v>4.8</v>
      </c>
      <c r="L3434" t="s">
        <v>152</v>
      </c>
      <c r="M3434" t="s">
        <v>27</v>
      </c>
      <c r="N3434" t="s">
        <v>72</v>
      </c>
      <c r="O3434" t="s">
        <v>152</v>
      </c>
      <c r="P3434" t="s">
        <v>152</v>
      </c>
      <c r="Q3434" s="3">
        <v>46</v>
      </c>
      <c r="R3434" t="s">
        <v>46</v>
      </c>
      <c r="S3434" t="s">
        <v>97</v>
      </c>
    </row>
    <row r="3435" spans="1:19" x14ac:dyDescent="0.25">
      <c r="A3435">
        <v>3434</v>
      </c>
      <c r="B3435">
        <v>62</v>
      </c>
      <c r="C3435" t="s">
        <v>153</v>
      </c>
      <c r="D3435" t="s">
        <v>125</v>
      </c>
      <c r="E3435" t="s">
        <v>21</v>
      </c>
      <c r="F3435" s="1">
        <v>93</v>
      </c>
      <c r="G3435" t="s">
        <v>120</v>
      </c>
      <c r="H3435" t="s">
        <v>45</v>
      </c>
      <c r="I3435" t="s">
        <v>134</v>
      </c>
      <c r="J3435" t="s">
        <v>39</v>
      </c>
      <c r="K3435" s="2">
        <v>4.5</v>
      </c>
      <c r="L3435" t="s">
        <v>152</v>
      </c>
      <c r="M3435" t="s">
        <v>35</v>
      </c>
      <c r="N3435" t="s">
        <v>40</v>
      </c>
      <c r="O3435" t="s">
        <v>152</v>
      </c>
      <c r="P3435" t="s">
        <v>152</v>
      </c>
      <c r="Q3435" s="3">
        <v>28</v>
      </c>
      <c r="R3435" t="s">
        <v>46</v>
      </c>
      <c r="S3435" t="s">
        <v>50</v>
      </c>
    </row>
    <row r="3436" spans="1:19" x14ac:dyDescent="0.25">
      <c r="A3436">
        <v>3435</v>
      </c>
      <c r="B3436">
        <v>31</v>
      </c>
      <c r="C3436" t="s">
        <v>153</v>
      </c>
      <c r="D3436" t="s">
        <v>95</v>
      </c>
      <c r="E3436" t="s">
        <v>21</v>
      </c>
      <c r="F3436" s="1">
        <v>72</v>
      </c>
      <c r="G3436" t="s">
        <v>123</v>
      </c>
      <c r="H3436" t="s">
        <v>38</v>
      </c>
      <c r="I3436" t="s">
        <v>121</v>
      </c>
      <c r="J3436" t="s">
        <v>54</v>
      </c>
      <c r="K3436" s="2">
        <v>3.3</v>
      </c>
      <c r="L3436" t="s">
        <v>152</v>
      </c>
      <c r="M3436" t="s">
        <v>46</v>
      </c>
      <c r="N3436" t="s">
        <v>72</v>
      </c>
      <c r="O3436" t="s">
        <v>152</v>
      </c>
      <c r="P3436" t="s">
        <v>152</v>
      </c>
      <c r="Q3436" s="3">
        <v>6</v>
      </c>
      <c r="R3436" t="s">
        <v>29</v>
      </c>
      <c r="S3436" t="s">
        <v>30</v>
      </c>
    </row>
    <row r="3437" spans="1:19" x14ac:dyDescent="0.25">
      <c r="A3437">
        <v>3436</v>
      </c>
      <c r="B3437">
        <v>68</v>
      </c>
      <c r="C3437" t="s">
        <v>153</v>
      </c>
      <c r="D3437" t="s">
        <v>125</v>
      </c>
      <c r="E3437" t="s">
        <v>21</v>
      </c>
      <c r="F3437" s="1">
        <v>91</v>
      </c>
      <c r="G3437" t="s">
        <v>57</v>
      </c>
      <c r="H3437" t="s">
        <v>45</v>
      </c>
      <c r="I3437" t="s">
        <v>118</v>
      </c>
      <c r="J3437" t="s">
        <v>54</v>
      </c>
      <c r="K3437" s="2">
        <v>2.7</v>
      </c>
      <c r="L3437" t="s">
        <v>152</v>
      </c>
      <c r="M3437" t="s">
        <v>59</v>
      </c>
      <c r="N3437" t="s">
        <v>72</v>
      </c>
      <c r="O3437" t="s">
        <v>152</v>
      </c>
      <c r="P3437" t="s">
        <v>152</v>
      </c>
      <c r="Q3437" s="3">
        <v>50</v>
      </c>
      <c r="R3437" t="s">
        <v>59</v>
      </c>
      <c r="S3437" t="s">
        <v>77</v>
      </c>
    </row>
    <row r="3438" spans="1:19" x14ac:dyDescent="0.25">
      <c r="A3438">
        <v>3437</v>
      </c>
      <c r="B3438">
        <v>57</v>
      </c>
      <c r="C3438" t="s">
        <v>153</v>
      </c>
      <c r="D3438" t="s">
        <v>133</v>
      </c>
      <c r="E3438" t="s">
        <v>69</v>
      </c>
      <c r="F3438" s="1">
        <v>83</v>
      </c>
      <c r="G3438" t="s">
        <v>145</v>
      </c>
      <c r="H3438" t="s">
        <v>23</v>
      </c>
      <c r="I3438" t="s">
        <v>100</v>
      </c>
      <c r="J3438" t="s">
        <v>25</v>
      </c>
      <c r="K3438" s="2">
        <v>2.8</v>
      </c>
      <c r="L3438" t="s">
        <v>152</v>
      </c>
      <c r="M3438" t="s">
        <v>29</v>
      </c>
      <c r="N3438" t="s">
        <v>72</v>
      </c>
      <c r="O3438" t="s">
        <v>152</v>
      </c>
      <c r="P3438" t="s">
        <v>152</v>
      </c>
      <c r="Q3438" s="3">
        <v>41</v>
      </c>
      <c r="R3438" t="s">
        <v>34</v>
      </c>
      <c r="S3438" t="s">
        <v>88</v>
      </c>
    </row>
    <row r="3439" spans="1:19" x14ac:dyDescent="0.25">
      <c r="A3439">
        <v>3438</v>
      </c>
      <c r="B3439">
        <v>22</v>
      </c>
      <c r="C3439" t="s">
        <v>153</v>
      </c>
      <c r="D3439" t="s">
        <v>102</v>
      </c>
      <c r="E3439" t="s">
        <v>65</v>
      </c>
      <c r="F3439" s="1">
        <v>62</v>
      </c>
      <c r="G3439" t="s">
        <v>101</v>
      </c>
      <c r="H3439" t="s">
        <v>38</v>
      </c>
      <c r="I3439" t="s">
        <v>96</v>
      </c>
      <c r="J3439" t="s">
        <v>25</v>
      </c>
      <c r="K3439" s="2">
        <v>3.5</v>
      </c>
      <c r="L3439" t="s">
        <v>152</v>
      </c>
      <c r="M3439" t="s">
        <v>29</v>
      </c>
      <c r="N3439" t="s">
        <v>72</v>
      </c>
      <c r="O3439" t="s">
        <v>152</v>
      </c>
      <c r="P3439" t="s">
        <v>152</v>
      </c>
      <c r="Q3439" s="3">
        <v>50</v>
      </c>
      <c r="R3439" t="s">
        <v>46</v>
      </c>
      <c r="S3439" t="s">
        <v>50</v>
      </c>
    </row>
    <row r="3440" spans="1:19" x14ac:dyDescent="0.25">
      <c r="A3440">
        <v>3439</v>
      </c>
      <c r="B3440">
        <v>26</v>
      </c>
      <c r="C3440" t="s">
        <v>153</v>
      </c>
      <c r="D3440" t="s">
        <v>56</v>
      </c>
      <c r="E3440" t="s">
        <v>21</v>
      </c>
      <c r="F3440" s="1">
        <v>71</v>
      </c>
      <c r="G3440" t="s">
        <v>22</v>
      </c>
      <c r="H3440" t="s">
        <v>45</v>
      </c>
      <c r="I3440" t="s">
        <v>84</v>
      </c>
      <c r="J3440" t="s">
        <v>58</v>
      </c>
      <c r="K3440" s="2">
        <v>3</v>
      </c>
      <c r="L3440" t="s">
        <v>152</v>
      </c>
      <c r="M3440" t="s">
        <v>59</v>
      </c>
      <c r="N3440" t="s">
        <v>76</v>
      </c>
      <c r="O3440" t="s">
        <v>152</v>
      </c>
      <c r="P3440" t="s">
        <v>152</v>
      </c>
      <c r="Q3440" s="3">
        <v>33</v>
      </c>
      <c r="R3440" t="s">
        <v>27</v>
      </c>
      <c r="S3440" t="s">
        <v>88</v>
      </c>
    </row>
    <row r="3441" spans="1:19" x14ac:dyDescent="0.25">
      <c r="A3441">
        <v>3440</v>
      </c>
      <c r="B3441">
        <v>43</v>
      </c>
      <c r="C3441" t="s">
        <v>153</v>
      </c>
      <c r="D3441" t="s">
        <v>143</v>
      </c>
      <c r="E3441" t="s">
        <v>69</v>
      </c>
      <c r="F3441" s="1">
        <v>93</v>
      </c>
      <c r="G3441" t="s">
        <v>135</v>
      </c>
      <c r="H3441" t="s">
        <v>45</v>
      </c>
      <c r="I3441" t="s">
        <v>24</v>
      </c>
      <c r="J3441" t="s">
        <v>54</v>
      </c>
      <c r="K3441" s="2">
        <v>4.5</v>
      </c>
      <c r="L3441" t="s">
        <v>152</v>
      </c>
      <c r="M3441" t="s">
        <v>35</v>
      </c>
      <c r="N3441" t="s">
        <v>28</v>
      </c>
      <c r="O3441" t="s">
        <v>152</v>
      </c>
      <c r="P3441" t="s">
        <v>152</v>
      </c>
      <c r="Q3441" s="3">
        <v>25</v>
      </c>
      <c r="R3441" t="s">
        <v>29</v>
      </c>
      <c r="S3441" t="s">
        <v>60</v>
      </c>
    </row>
    <row r="3442" spans="1:19" x14ac:dyDescent="0.25">
      <c r="A3442">
        <v>3441</v>
      </c>
      <c r="B3442">
        <v>45</v>
      </c>
      <c r="C3442" t="s">
        <v>153</v>
      </c>
      <c r="D3442" t="s">
        <v>68</v>
      </c>
      <c r="E3442" t="s">
        <v>69</v>
      </c>
      <c r="F3442" s="1">
        <v>63</v>
      </c>
      <c r="G3442" t="s">
        <v>128</v>
      </c>
      <c r="H3442" t="s">
        <v>23</v>
      </c>
      <c r="I3442" t="s">
        <v>136</v>
      </c>
      <c r="J3442" t="s">
        <v>58</v>
      </c>
      <c r="K3442" s="2">
        <v>4.3</v>
      </c>
      <c r="L3442" t="s">
        <v>152</v>
      </c>
      <c r="M3442" t="s">
        <v>27</v>
      </c>
      <c r="N3442" t="s">
        <v>72</v>
      </c>
      <c r="O3442" t="s">
        <v>152</v>
      </c>
      <c r="P3442" t="s">
        <v>152</v>
      </c>
      <c r="Q3442" s="3">
        <v>2</v>
      </c>
      <c r="R3442" t="s">
        <v>46</v>
      </c>
      <c r="S3442" t="s">
        <v>41</v>
      </c>
    </row>
    <row r="3443" spans="1:19" x14ac:dyDescent="0.25">
      <c r="A3443">
        <v>3442</v>
      </c>
      <c r="B3443">
        <v>64</v>
      </c>
      <c r="C3443" t="s">
        <v>153</v>
      </c>
      <c r="D3443" t="s">
        <v>31</v>
      </c>
      <c r="E3443" t="s">
        <v>21</v>
      </c>
      <c r="F3443" s="1">
        <v>96</v>
      </c>
      <c r="G3443" t="s">
        <v>122</v>
      </c>
      <c r="H3443" t="s">
        <v>92</v>
      </c>
      <c r="I3443" t="s">
        <v>63</v>
      </c>
      <c r="J3443" t="s">
        <v>58</v>
      </c>
      <c r="K3443" s="2">
        <v>4.0999999999999996</v>
      </c>
      <c r="L3443" t="s">
        <v>152</v>
      </c>
      <c r="M3443" t="s">
        <v>59</v>
      </c>
      <c r="N3443" t="s">
        <v>55</v>
      </c>
      <c r="O3443" t="s">
        <v>152</v>
      </c>
      <c r="P3443" t="s">
        <v>152</v>
      </c>
      <c r="Q3443" s="3">
        <v>15</v>
      </c>
      <c r="R3443" t="s">
        <v>27</v>
      </c>
      <c r="S3443" t="s">
        <v>50</v>
      </c>
    </row>
    <row r="3444" spans="1:19" x14ac:dyDescent="0.25">
      <c r="A3444">
        <v>3443</v>
      </c>
      <c r="B3444">
        <v>28</v>
      </c>
      <c r="C3444" t="s">
        <v>153</v>
      </c>
      <c r="D3444" t="s">
        <v>87</v>
      </c>
      <c r="E3444" t="s">
        <v>21</v>
      </c>
      <c r="F3444" s="1">
        <v>78</v>
      </c>
      <c r="G3444" t="s">
        <v>151</v>
      </c>
      <c r="H3444" t="s">
        <v>45</v>
      </c>
      <c r="I3444" t="s">
        <v>84</v>
      </c>
      <c r="J3444" t="s">
        <v>39</v>
      </c>
      <c r="K3444" s="2">
        <v>4.3</v>
      </c>
      <c r="L3444" t="s">
        <v>152</v>
      </c>
      <c r="M3444" t="s">
        <v>29</v>
      </c>
      <c r="N3444" t="s">
        <v>47</v>
      </c>
      <c r="O3444" t="s">
        <v>152</v>
      </c>
      <c r="P3444" t="s">
        <v>152</v>
      </c>
      <c r="Q3444" s="3">
        <v>12</v>
      </c>
      <c r="R3444" t="s">
        <v>46</v>
      </c>
      <c r="S3444" t="s">
        <v>41</v>
      </c>
    </row>
    <row r="3445" spans="1:19" x14ac:dyDescent="0.25">
      <c r="A3445">
        <v>3444</v>
      </c>
      <c r="B3445">
        <v>47</v>
      </c>
      <c r="C3445" t="s">
        <v>153</v>
      </c>
      <c r="D3445" t="s">
        <v>82</v>
      </c>
      <c r="E3445" t="s">
        <v>21</v>
      </c>
      <c r="F3445" s="1">
        <v>24</v>
      </c>
      <c r="G3445" t="s">
        <v>122</v>
      </c>
      <c r="H3445" t="s">
        <v>23</v>
      </c>
      <c r="I3445" t="s">
        <v>67</v>
      </c>
      <c r="J3445" t="s">
        <v>54</v>
      </c>
      <c r="K3445" s="2">
        <v>5</v>
      </c>
      <c r="L3445" t="s">
        <v>152</v>
      </c>
      <c r="M3445" t="s">
        <v>46</v>
      </c>
      <c r="N3445" t="s">
        <v>40</v>
      </c>
      <c r="O3445" t="s">
        <v>152</v>
      </c>
      <c r="P3445" t="s">
        <v>152</v>
      </c>
      <c r="Q3445" s="3">
        <v>28</v>
      </c>
      <c r="R3445" t="s">
        <v>35</v>
      </c>
      <c r="S3445" t="s">
        <v>77</v>
      </c>
    </row>
    <row r="3446" spans="1:19" x14ac:dyDescent="0.25">
      <c r="A3446">
        <v>3445</v>
      </c>
      <c r="B3446">
        <v>53</v>
      </c>
      <c r="C3446" t="s">
        <v>153</v>
      </c>
      <c r="D3446" t="s">
        <v>95</v>
      </c>
      <c r="E3446" t="s">
        <v>21</v>
      </c>
      <c r="F3446" s="1">
        <v>63</v>
      </c>
      <c r="G3446" t="s">
        <v>44</v>
      </c>
      <c r="H3446" t="s">
        <v>38</v>
      </c>
      <c r="I3446" t="s">
        <v>96</v>
      </c>
      <c r="J3446" t="s">
        <v>54</v>
      </c>
      <c r="K3446" s="2">
        <v>3.8</v>
      </c>
      <c r="L3446" t="s">
        <v>152</v>
      </c>
      <c r="M3446" t="s">
        <v>35</v>
      </c>
      <c r="N3446" t="s">
        <v>72</v>
      </c>
      <c r="O3446" t="s">
        <v>152</v>
      </c>
      <c r="P3446" t="s">
        <v>152</v>
      </c>
      <c r="Q3446" s="3">
        <v>12</v>
      </c>
      <c r="R3446" t="s">
        <v>34</v>
      </c>
      <c r="S3446" t="s">
        <v>77</v>
      </c>
    </row>
    <row r="3447" spans="1:19" x14ac:dyDescent="0.25">
      <c r="A3447">
        <v>3446</v>
      </c>
      <c r="B3447">
        <v>42</v>
      </c>
      <c r="C3447" t="s">
        <v>153</v>
      </c>
      <c r="D3447" t="s">
        <v>124</v>
      </c>
      <c r="E3447" t="s">
        <v>69</v>
      </c>
      <c r="F3447" s="1">
        <v>58</v>
      </c>
      <c r="G3447" t="s">
        <v>103</v>
      </c>
      <c r="H3447" t="s">
        <v>45</v>
      </c>
      <c r="I3447" t="s">
        <v>136</v>
      </c>
      <c r="J3447" t="s">
        <v>58</v>
      </c>
      <c r="K3447" s="2">
        <v>4.9000000000000004</v>
      </c>
      <c r="L3447" t="s">
        <v>152</v>
      </c>
      <c r="M3447" t="s">
        <v>29</v>
      </c>
      <c r="N3447" t="s">
        <v>55</v>
      </c>
      <c r="O3447" t="s">
        <v>152</v>
      </c>
      <c r="P3447" t="s">
        <v>152</v>
      </c>
      <c r="Q3447" s="3">
        <v>3</v>
      </c>
      <c r="R3447" t="s">
        <v>59</v>
      </c>
      <c r="S3447" t="s">
        <v>50</v>
      </c>
    </row>
    <row r="3448" spans="1:19" x14ac:dyDescent="0.25">
      <c r="A3448">
        <v>3447</v>
      </c>
      <c r="B3448">
        <v>51</v>
      </c>
      <c r="C3448" t="s">
        <v>153</v>
      </c>
      <c r="D3448" t="s">
        <v>137</v>
      </c>
      <c r="E3448" t="s">
        <v>43</v>
      </c>
      <c r="F3448" s="1">
        <v>55</v>
      </c>
      <c r="G3448" t="s">
        <v>62</v>
      </c>
      <c r="H3448" t="s">
        <v>38</v>
      </c>
      <c r="I3448" t="s">
        <v>75</v>
      </c>
      <c r="J3448" t="s">
        <v>39</v>
      </c>
      <c r="K3448" s="2">
        <v>5</v>
      </c>
      <c r="L3448" t="s">
        <v>152</v>
      </c>
      <c r="M3448" t="s">
        <v>59</v>
      </c>
      <c r="N3448" t="s">
        <v>72</v>
      </c>
      <c r="O3448" t="s">
        <v>152</v>
      </c>
      <c r="P3448" t="s">
        <v>152</v>
      </c>
      <c r="Q3448" s="3">
        <v>20</v>
      </c>
      <c r="R3448" t="s">
        <v>35</v>
      </c>
      <c r="S3448" t="s">
        <v>41</v>
      </c>
    </row>
    <row r="3449" spans="1:19" x14ac:dyDescent="0.25">
      <c r="A3449">
        <v>3448</v>
      </c>
      <c r="B3449">
        <v>62</v>
      </c>
      <c r="C3449" t="s">
        <v>153</v>
      </c>
      <c r="D3449" t="s">
        <v>42</v>
      </c>
      <c r="E3449" t="s">
        <v>43</v>
      </c>
      <c r="F3449" s="1">
        <v>58</v>
      </c>
      <c r="G3449" t="s">
        <v>74</v>
      </c>
      <c r="H3449" t="s">
        <v>45</v>
      </c>
      <c r="I3449" t="s">
        <v>144</v>
      </c>
      <c r="J3449" t="s">
        <v>58</v>
      </c>
      <c r="K3449" s="2">
        <v>4.3</v>
      </c>
      <c r="L3449" t="s">
        <v>152</v>
      </c>
      <c r="M3449" t="s">
        <v>59</v>
      </c>
      <c r="N3449" t="s">
        <v>28</v>
      </c>
      <c r="O3449" t="s">
        <v>152</v>
      </c>
      <c r="P3449" t="s">
        <v>152</v>
      </c>
      <c r="Q3449" s="3">
        <v>3</v>
      </c>
      <c r="R3449" t="s">
        <v>34</v>
      </c>
      <c r="S3449" t="s">
        <v>77</v>
      </c>
    </row>
    <row r="3450" spans="1:19" x14ac:dyDescent="0.25">
      <c r="A3450">
        <v>3449</v>
      </c>
      <c r="B3450">
        <v>18</v>
      </c>
      <c r="C3450" t="s">
        <v>153</v>
      </c>
      <c r="D3450" t="s">
        <v>64</v>
      </c>
      <c r="E3450" t="s">
        <v>65</v>
      </c>
      <c r="F3450" s="1">
        <v>28</v>
      </c>
      <c r="G3450" t="s">
        <v>22</v>
      </c>
      <c r="H3450" t="s">
        <v>38</v>
      </c>
      <c r="I3450" t="s">
        <v>134</v>
      </c>
      <c r="J3450" t="s">
        <v>25</v>
      </c>
      <c r="K3450" s="2">
        <v>4.0999999999999996</v>
      </c>
      <c r="L3450" t="s">
        <v>152</v>
      </c>
      <c r="M3450" t="s">
        <v>46</v>
      </c>
      <c r="N3450" t="s">
        <v>28</v>
      </c>
      <c r="O3450" t="s">
        <v>152</v>
      </c>
      <c r="P3450" t="s">
        <v>152</v>
      </c>
      <c r="Q3450" s="3">
        <v>32</v>
      </c>
      <c r="R3450" t="s">
        <v>34</v>
      </c>
      <c r="S3450" t="s">
        <v>30</v>
      </c>
    </row>
    <row r="3451" spans="1:19" x14ac:dyDescent="0.25">
      <c r="A3451">
        <v>3450</v>
      </c>
      <c r="B3451">
        <v>48</v>
      </c>
      <c r="C3451" t="s">
        <v>153</v>
      </c>
      <c r="D3451" t="s">
        <v>20</v>
      </c>
      <c r="E3451" t="s">
        <v>21</v>
      </c>
      <c r="F3451" s="1">
        <v>37</v>
      </c>
      <c r="G3451" t="s">
        <v>111</v>
      </c>
      <c r="H3451" t="s">
        <v>45</v>
      </c>
      <c r="I3451" t="s">
        <v>110</v>
      </c>
      <c r="J3451" t="s">
        <v>39</v>
      </c>
      <c r="K3451" s="2">
        <v>4.5</v>
      </c>
      <c r="L3451" t="s">
        <v>152</v>
      </c>
      <c r="M3451" t="s">
        <v>46</v>
      </c>
      <c r="N3451" t="s">
        <v>55</v>
      </c>
      <c r="O3451" t="s">
        <v>152</v>
      </c>
      <c r="P3451" t="s">
        <v>152</v>
      </c>
      <c r="Q3451" s="3">
        <v>35</v>
      </c>
      <c r="R3451" t="s">
        <v>35</v>
      </c>
      <c r="S3451" t="s">
        <v>88</v>
      </c>
    </row>
    <row r="3452" spans="1:19" x14ac:dyDescent="0.25">
      <c r="A3452">
        <v>3451</v>
      </c>
      <c r="B3452">
        <v>20</v>
      </c>
      <c r="C3452" t="s">
        <v>153</v>
      </c>
      <c r="D3452" t="s">
        <v>61</v>
      </c>
      <c r="E3452" t="s">
        <v>21</v>
      </c>
      <c r="F3452" s="1">
        <v>78</v>
      </c>
      <c r="G3452" t="s">
        <v>129</v>
      </c>
      <c r="H3452" t="s">
        <v>45</v>
      </c>
      <c r="I3452" t="s">
        <v>71</v>
      </c>
      <c r="J3452" t="s">
        <v>39</v>
      </c>
      <c r="K3452" s="2">
        <v>3.6</v>
      </c>
      <c r="L3452" t="s">
        <v>152</v>
      </c>
      <c r="M3452" t="s">
        <v>46</v>
      </c>
      <c r="N3452" t="s">
        <v>76</v>
      </c>
      <c r="O3452" t="s">
        <v>152</v>
      </c>
      <c r="P3452" t="s">
        <v>152</v>
      </c>
      <c r="Q3452" s="3">
        <v>31</v>
      </c>
      <c r="R3452" t="s">
        <v>46</v>
      </c>
      <c r="S3452" t="s">
        <v>88</v>
      </c>
    </row>
    <row r="3453" spans="1:19" x14ac:dyDescent="0.25">
      <c r="A3453">
        <v>3452</v>
      </c>
      <c r="B3453">
        <v>32</v>
      </c>
      <c r="C3453" t="s">
        <v>153</v>
      </c>
      <c r="D3453" t="s">
        <v>20</v>
      </c>
      <c r="E3453" t="s">
        <v>21</v>
      </c>
      <c r="F3453" s="1">
        <v>73</v>
      </c>
      <c r="G3453" t="s">
        <v>107</v>
      </c>
      <c r="H3453" t="s">
        <v>92</v>
      </c>
      <c r="I3453" t="s">
        <v>67</v>
      </c>
      <c r="J3453" t="s">
        <v>58</v>
      </c>
      <c r="K3453" s="2">
        <v>3</v>
      </c>
      <c r="L3453" t="s">
        <v>152</v>
      </c>
      <c r="M3453" t="s">
        <v>34</v>
      </c>
      <c r="N3453" t="s">
        <v>40</v>
      </c>
      <c r="O3453" t="s">
        <v>152</v>
      </c>
      <c r="P3453" t="s">
        <v>152</v>
      </c>
      <c r="Q3453" s="3">
        <v>13</v>
      </c>
      <c r="R3453" t="s">
        <v>27</v>
      </c>
      <c r="S3453" t="s">
        <v>50</v>
      </c>
    </row>
    <row r="3454" spans="1:19" x14ac:dyDescent="0.25">
      <c r="A3454">
        <v>3453</v>
      </c>
      <c r="B3454">
        <v>26</v>
      </c>
      <c r="C3454" t="s">
        <v>153</v>
      </c>
      <c r="D3454" t="s">
        <v>102</v>
      </c>
      <c r="E3454" t="s">
        <v>65</v>
      </c>
      <c r="F3454" s="1">
        <v>20</v>
      </c>
      <c r="G3454" t="s">
        <v>101</v>
      </c>
      <c r="H3454" t="s">
        <v>45</v>
      </c>
      <c r="I3454" t="s">
        <v>126</v>
      </c>
      <c r="J3454" t="s">
        <v>39</v>
      </c>
      <c r="K3454" s="2">
        <v>3.7</v>
      </c>
      <c r="L3454" t="s">
        <v>152</v>
      </c>
      <c r="M3454" t="s">
        <v>27</v>
      </c>
      <c r="N3454" t="s">
        <v>47</v>
      </c>
      <c r="O3454" t="s">
        <v>152</v>
      </c>
      <c r="P3454" t="s">
        <v>152</v>
      </c>
      <c r="Q3454" s="3">
        <v>3</v>
      </c>
      <c r="R3454" t="s">
        <v>29</v>
      </c>
      <c r="S3454" t="s">
        <v>30</v>
      </c>
    </row>
    <row r="3455" spans="1:19" x14ac:dyDescent="0.25">
      <c r="A3455">
        <v>3454</v>
      </c>
      <c r="B3455">
        <v>31</v>
      </c>
      <c r="C3455" t="s">
        <v>153</v>
      </c>
      <c r="D3455" t="s">
        <v>56</v>
      </c>
      <c r="E3455" t="s">
        <v>21</v>
      </c>
      <c r="F3455" s="1">
        <v>60</v>
      </c>
      <c r="G3455" t="s">
        <v>90</v>
      </c>
      <c r="H3455" t="s">
        <v>23</v>
      </c>
      <c r="I3455" t="s">
        <v>71</v>
      </c>
      <c r="J3455" t="s">
        <v>25</v>
      </c>
      <c r="K3455" s="2">
        <v>4.3</v>
      </c>
      <c r="L3455" t="s">
        <v>152</v>
      </c>
      <c r="M3455" t="s">
        <v>29</v>
      </c>
      <c r="N3455" t="s">
        <v>55</v>
      </c>
      <c r="O3455" t="s">
        <v>152</v>
      </c>
      <c r="P3455" t="s">
        <v>152</v>
      </c>
      <c r="Q3455" s="3">
        <v>48</v>
      </c>
      <c r="R3455" t="s">
        <v>29</v>
      </c>
      <c r="S3455" t="s">
        <v>77</v>
      </c>
    </row>
    <row r="3456" spans="1:19" x14ac:dyDescent="0.25">
      <c r="A3456">
        <v>3455</v>
      </c>
      <c r="B3456">
        <v>55</v>
      </c>
      <c r="C3456" t="s">
        <v>153</v>
      </c>
      <c r="D3456" t="s">
        <v>68</v>
      </c>
      <c r="E3456" t="s">
        <v>69</v>
      </c>
      <c r="F3456" s="1">
        <v>71</v>
      </c>
      <c r="G3456" t="s">
        <v>62</v>
      </c>
      <c r="H3456" t="s">
        <v>38</v>
      </c>
      <c r="I3456" t="s">
        <v>93</v>
      </c>
      <c r="J3456" t="s">
        <v>58</v>
      </c>
      <c r="K3456" s="2">
        <v>4.5999999999999996</v>
      </c>
      <c r="L3456" t="s">
        <v>152</v>
      </c>
      <c r="M3456" t="s">
        <v>35</v>
      </c>
      <c r="N3456" t="s">
        <v>76</v>
      </c>
      <c r="O3456" t="s">
        <v>152</v>
      </c>
      <c r="P3456" t="s">
        <v>152</v>
      </c>
      <c r="Q3456" s="3">
        <v>15</v>
      </c>
      <c r="R3456" t="s">
        <v>46</v>
      </c>
      <c r="S3456" t="s">
        <v>77</v>
      </c>
    </row>
    <row r="3457" spans="1:19" x14ac:dyDescent="0.25">
      <c r="A3457">
        <v>3456</v>
      </c>
      <c r="B3457">
        <v>49</v>
      </c>
      <c r="C3457" t="s">
        <v>153</v>
      </c>
      <c r="D3457" t="s">
        <v>113</v>
      </c>
      <c r="E3457" t="s">
        <v>21</v>
      </c>
      <c r="F3457" s="1">
        <v>89</v>
      </c>
      <c r="G3457" t="s">
        <v>123</v>
      </c>
      <c r="H3457" t="s">
        <v>45</v>
      </c>
      <c r="I3457" t="s">
        <v>121</v>
      </c>
      <c r="J3457" t="s">
        <v>58</v>
      </c>
      <c r="K3457" s="2">
        <v>4.7</v>
      </c>
      <c r="L3457" t="s">
        <v>152</v>
      </c>
      <c r="M3457" t="s">
        <v>34</v>
      </c>
      <c r="N3457" t="s">
        <v>55</v>
      </c>
      <c r="O3457" t="s">
        <v>152</v>
      </c>
      <c r="P3457" t="s">
        <v>152</v>
      </c>
      <c r="Q3457" s="3">
        <v>13</v>
      </c>
      <c r="R3457" t="s">
        <v>29</v>
      </c>
      <c r="S3457" t="s">
        <v>50</v>
      </c>
    </row>
    <row r="3458" spans="1:19" x14ac:dyDescent="0.25">
      <c r="A3458">
        <v>3457</v>
      </c>
      <c r="B3458">
        <v>42</v>
      </c>
      <c r="C3458" t="s">
        <v>153</v>
      </c>
      <c r="D3458" t="s">
        <v>104</v>
      </c>
      <c r="E3458" t="s">
        <v>21</v>
      </c>
      <c r="F3458" s="1">
        <v>53</v>
      </c>
      <c r="G3458" t="s">
        <v>105</v>
      </c>
      <c r="H3458" t="s">
        <v>45</v>
      </c>
      <c r="I3458" t="s">
        <v>108</v>
      </c>
      <c r="J3458" t="s">
        <v>58</v>
      </c>
      <c r="K3458" s="2">
        <v>4.5999999999999996</v>
      </c>
      <c r="L3458" t="s">
        <v>152</v>
      </c>
      <c r="M3458" t="s">
        <v>34</v>
      </c>
      <c r="N3458" t="s">
        <v>28</v>
      </c>
      <c r="O3458" t="s">
        <v>152</v>
      </c>
      <c r="P3458" t="s">
        <v>152</v>
      </c>
      <c r="Q3458" s="3">
        <v>21</v>
      </c>
      <c r="R3458" t="s">
        <v>29</v>
      </c>
      <c r="S3458" t="s">
        <v>88</v>
      </c>
    </row>
    <row r="3459" spans="1:19" x14ac:dyDescent="0.25">
      <c r="A3459">
        <v>3458</v>
      </c>
      <c r="B3459">
        <v>64</v>
      </c>
      <c r="C3459" t="s">
        <v>153</v>
      </c>
      <c r="D3459" t="s">
        <v>106</v>
      </c>
      <c r="E3459" t="s">
        <v>69</v>
      </c>
      <c r="F3459" s="1">
        <v>87</v>
      </c>
      <c r="G3459" t="s">
        <v>128</v>
      </c>
      <c r="H3459" t="s">
        <v>45</v>
      </c>
      <c r="I3459" t="s">
        <v>24</v>
      </c>
      <c r="J3459" t="s">
        <v>54</v>
      </c>
      <c r="K3459" s="2">
        <v>3</v>
      </c>
      <c r="L3459" t="s">
        <v>152</v>
      </c>
      <c r="M3459" t="s">
        <v>34</v>
      </c>
      <c r="N3459" t="s">
        <v>28</v>
      </c>
      <c r="O3459" t="s">
        <v>152</v>
      </c>
      <c r="P3459" t="s">
        <v>152</v>
      </c>
      <c r="Q3459" s="3">
        <v>29</v>
      </c>
      <c r="R3459" t="s">
        <v>35</v>
      </c>
      <c r="S3459" t="s">
        <v>30</v>
      </c>
    </row>
    <row r="3460" spans="1:19" x14ac:dyDescent="0.25">
      <c r="A3460">
        <v>3459</v>
      </c>
      <c r="B3460">
        <v>68</v>
      </c>
      <c r="C3460" t="s">
        <v>153</v>
      </c>
      <c r="D3460" t="s">
        <v>106</v>
      </c>
      <c r="E3460" t="s">
        <v>69</v>
      </c>
      <c r="F3460" s="1">
        <v>37</v>
      </c>
      <c r="G3460" t="s">
        <v>66</v>
      </c>
      <c r="H3460" t="s">
        <v>23</v>
      </c>
      <c r="I3460" t="s">
        <v>84</v>
      </c>
      <c r="J3460" t="s">
        <v>39</v>
      </c>
      <c r="K3460" s="2">
        <v>3.4</v>
      </c>
      <c r="L3460" t="s">
        <v>152</v>
      </c>
      <c r="M3460" t="s">
        <v>46</v>
      </c>
      <c r="N3460" t="s">
        <v>55</v>
      </c>
      <c r="O3460" t="s">
        <v>152</v>
      </c>
      <c r="P3460" t="s">
        <v>152</v>
      </c>
      <c r="Q3460" s="3">
        <v>24</v>
      </c>
      <c r="R3460" t="s">
        <v>29</v>
      </c>
      <c r="S3460" t="s">
        <v>60</v>
      </c>
    </row>
    <row r="3461" spans="1:19" x14ac:dyDescent="0.25">
      <c r="A3461">
        <v>3460</v>
      </c>
      <c r="B3461">
        <v>68</v>
      </c>
      <c r="C3461" t="s">
        <v>153</v>
      </c>
      <c r="D3461" t="s">
        <v>104</v>
      </c>
      <c r="E3461" t="s">
        <v>21</v>
      </c>
      <c r="F3461" s="1">
        <v>37</v>
      </c>
      <c r="G3461" t="s">
        <v>123</v>
      </c>
      <c r="H3461" t="s">
        <v>23</v>
      </c>
      <c r="I3461" t="s">
        <v>96</v>
      </c>
      <c r="J3461" t="s">
        <v>58</v>
      </c>
      <c r="K3461" s="2">
        <v>3.8</v>
      </c>
      <c r="L3461" t="s">
        <v>152</v>
      </c>
      <c r="M3461" t="s">
        <v>29</v>
      </c>
      <c r="N3461" t="s">
        <v>28</v>
      </c>
      <c r="O3461" t="s">
        <v>152</v>
      </c>
      <c r="P3461" t="s">
        <v>152</v>
      </c>
      <c r="Q3461" s="3">
        <v>21</v>
      </c>
      <c r="R3461" t="s">
        <v>46</v>
      </c>
      <c r="S3461" t="s">
        <v>50</v>
      </c>
    </row>
    <row r="3462" spans="1:19" x14ac:dyDescent="0.25">
      <c r="A3462">
        <v>3461</v>
      </c>
      <c r="B3462">
        <v>41</v>
      </c>
      <c r="C3462" t="s">
        <v>153</v>
      </c>
      <c r="D3462" t="s">
        <v>119</v>
      </c>
      <c r="E3462" t="s">
        <v>69</v>
      </c>
      <c r="F3462" s="1">
        <v>78</v>
      </c>
      <c r="G3462" t="s">
        <v>116</v>
      </c>
      <c r="H3462" t="s">
        <v>45</v>
      </c>
      <c r="I3462" t="s">
        <v>81</v>
      </c>
      <c r="J3462" t="s">
        <v>39</v>
      </c>
      <c r="K3462" s="2">
        <v>3.1</v>
      </c>
      <c r="L3462" t="s">
        <v>152</v>
      </c>
      <c r="M3462" t="s">
        <v>27</v>
      </c>
      <c r="N3462" t="s">
        <v>28</v>
      </c>
      <c r="O3462" t="s">
        <v>152</v>
      </c>
      <c r="P3462" t="s">
        <v>152</v>
      </c>
      <c r="Q3462" s="3">
        <v>5</v>
      </c>
      <c r="R3462" t="s">
        <v>34</v>
      </c>
      <c r="S3462" t="s">
        <v>77</v>
      </c>
    </row>
    <row r="3463" spans="1:19" x14ac:dyDescent="0.25">
      <c r="A3463">
        <v>3462</v>
      </c>
      <c r="B3463">
        <v>51</v>
      </c>
      <c r="C3463" t="s">
        <v>153</v>
      </c>
      <c r="D3463" t="s">
        <v>73</v>
      </c>
      <c r="E3463" t="s">
        <v>43</v>
      </c>
      <c r="F3463" s="1">
        <v>23</v>
      </c>
      <c r="G3463" t="s">
        <v>52</v>
      </c>
      <c r="H3463" t="s">
        <v>38</v>
      </c>
      <c r="I3463" t="s">
        <v>33</v>
      </c>
      <c r="J3463" t="s">
        <v>39</v>
      </c>
      <c r="K3463" s="2">
        <v>4.4000000000000004</v>
      </c>
      <c r="L3463" t="s">
        <v>152</v>
      </c>
      <c r="M3463" t="s">
        <v>29</v>
      </c>
      <c r="N3463" t="s">
        <v>55</v>
      </c>
      <c r="O3463" t="s">
        <v>152</v>
      </c>
      <c r="P3463" t="s">
        <v>152</v>
      </c>
      <c r="Q3463" s="3">
        <v>47</v>
      </c>
      <c r="R3463" t="s">
        <v>35</v>
      </c>
      <c r="S3463" t="s">
        <v>60</v>
      </c>
    </row>
    <row r="3464" spans="1:19" x14ac:dyDescent="0.25">
      <c r="A3464">
        <v>3463</v>
      </c>
      <c r="B3464">
        <v>44</v>
      </c>
      <c r="C3464" t="s">
        <v>153</v>
      </c>
      <c r="D3464" t="s">
        <v>36</v>
      </c>
      <c r="E3464" t="s">
        <v>21</v>
      </c>
      <c r="F3464" s="1">
        <v>73</v>
      </c>
      <c r="G3464" t="s">
        <v>151</v>
      </c>
      <c r="H3464" t="s">
        <v>23</v>
      </c>
      <c r="I3464" t="s">
        <v>79</v>
      </c>
      <c r="J3464" t="s">
        <v>39</v>
      </c>
      <c r="K3464" s="2">
        <v>4.5</v>
      </c>
      <c r="L3464" t="s">
        <v>152</v>
      </c>
      <c r="M3464" t="s">
        <v>34</v>
      </c>
      <c r="N3464" t="s">
        <v>55</v>
      </c>
      <c r="O3464" t="s">
        <v>152</v>
      </c>
      <c r="P3464" t="s">
        <v>152</v>
      </c>
      <c r="Q3464" s="3">
        <v>34</v>
      </c>
      <c r="R3464" t="s">
        <v>27</v>
      </c>
      <c r="S3464" t="s">
        <v>97</v>
      </c>
    </row>
    <row r="3465" spans="1:19" x14ac:dyDescent="0.25">
      <c r="A3465">
        <v>3464</v>
      </c>
      <c r="B3465">
        <v>27</v>
      </c>
      <c r="C3465" t="s">
        <v>153</v>
      </c>
      <c r="D3465" t="s">
        <v>106</v>
      </c>
      <c r="E3465" t="s">
        <v>69</v>
      </c>
      <c r="F3465" s="1">
        <v>27</v>
      </c>
      <c r="G3465" t="s">
        <v>32</v>
      </c>
      <c r="H3465" t="s">
        <v>45</v>
      </c>
      <c r="I3465" t="s">
        <v>134</v>
      </c>
      <c r="J3465" t="s">
        <v>58</v>
      </c>
      <c r="K3465" s="2">
        <v>2.8</v>
      </c>
      <c r="L3465" t="s">
        <v>152</v>
      </c>
      <c r="M3465" t="s">
        <v>59</v>
      </c>
      <c r="N3465" t="s">
        <v>72</v>
      </c>
      <c r="O3465" t="s">
        <v>152</v>
      </c>
      <c r="P3465" t="s">
        <v>152</v>
      </c>
      <c r="Q3465" s="3">
        <v>45</v>
      </c>
      <c r="R3465" t="s">
        <v>46</v>
      </c>
      <c r="S3465" t="s">
        <v>30</v>
      </c>
    </row>
    <row r="3466" spans="1:19" x14ac:dyDescent="0.25">
      <c r="A3466">
        <v>3465</v>
      </c>
      <c r="B3466">
        <v>36</v>
      </c>
      <c r="C3466" t="s">
        <v>153</v>
      </c>
      <c r="D3466" t="s">
        <v>64</v>
      </c>
      <c r="E3466" t="s">
        <v>65</v>
      </c>
      <c r="F3466" s="1">
        <v>59</v>
      </c>
      <c r="G3466" t="s">
        <v>140</v>
      </c>
      <c r="H3466" t="s">
        <v>38</v>
      </c>
      <c r="I3466" t="s">
        <v>100</v>
      </c>
      <c r="J3466" t="s">
        <v>25</v>
      </c>
      <c r="K3466" s="2">
        <v>2.7</v>
      </c>
      <c r="L3466" t="s">
        <v>152</v>
      </c>
      <c r="M3466" t="s">
        <v>59</v>
      </c>
      <c r="N3466" t="s">
        <v>47</v>
      </c>
      <c r="O3466" t="s">
        <v>152</v>
      </c>
      <c r="P3466" t="s">
        <v>152</v>
      </c>
      <c r="Q3466" s="3">
        <v>12</v>
      </c>
      <c r="R3466" t="s">
        <v>46</v>
      </c>
      <c r="S3466" t="s">
        <v>50</v>
      </c>
    </row>
    <row r="3467" spans="1:19" x14ac:dyDescent="0.25">
      <c r="A3467">
        <v>3466</v>
      </c>
      <c r="B3467">
        <v>19</v>
      </c>
      <c r="C3467" t="s">
        <v>153</v>
      </c>
      <c r="D3467" t="s">
        <v>132</v>
      </c>
      <c r="E3467" t="s">
        <v>69</v>
      </c>
      <c r="F3467" s="1">
        <v>53</v>
      </c>
      <c r="G3467" t="s">
        <v>146</v>
      </c>
      <c r="H3467" t="s">
        <v>45</v>
      </c>
      <c r="I3467" t="s">
        <v>81</v>
      </c>
      <c r="J3467" t="s">
        <v>39</v>
      </c>
      <c r="K3467" s="2">
        <v>3.4</v>
      </c>
      <c r="L3467" t="s">
        <v>152</v>
      </c>
      <c r="M3467" t="s">
        <v>34</v>
      </c>
      <c r="N3467" t="s">
        <v>55</v>
      </c>
      <c r="O3467" t="s">
        <v>152</v>
      </c>
      <c r="P3467" t="s">
        <v>152</v>
      </c>
      <c r="Q3467" s="3">
        <v>31</v>
      </c>
      <c r="R3467" t="s">
        <v>59</v>
      </c>
      <c r="S3467" t="s">
        <v>41</v>
      </c>
    </row>
    <row r="3468" spans="1:19" x14ac:dyDescent="0.25">
      <c r="A3468">
        <v>3467</v>
      </c>
      <c r="B3468">
        <v>49</v>
      </c>
      <c r="C3468" t="s">
        <v>153</v>
      </c>
      <c r="D3468" t="s">
        <v>125</v>
      </c>
      <c r="E3468" t="s">
        <v>21</v>
      </c>
      <c r="F3468" s="1">
        <v>42</v>
      </c>
      <c r="G3468" t="s">
        <v>128</v>
      </c>
      <c r="H3468" t="s">
        <v>38</v>
      </c>
      <c r="I3468" t="s">
        <v>75</v>
      </c>
      <c r="J3468" t="s">
        <v>54</v>
      </c>
      <c r="K3468" s="2">
        <v>4.5999999999999996</v>
      </c>
      <c r="L3468" t="s">
        <v>152</v>
      </c>
      <c r="M3468" t="s">
        <v>59</v>
      </c>
      <c r="N3468" t="s">
        <v>55</v>
      </c>
      <c r="O3468" t="s">
        <v>152</v>
      </c>
      <c r="P3468" t="s">
        <v>152</v>
      </c>
      <c r="Q3468" s="3">
        <v>43</v>
      </c>
      <c r="R3468" t="s">
        <v>34</v>
      </c>
      <c r="S3468" t="s">
        <v>50</v>
      </c>
    </row>
    <row r="3469" spans="1:19" x14ac:dyDescent="0.25">
      <c r="A3469">
        <v>3468</v>
      </c>
      <c r="B3469">
        <v>18</v>
      </c>
      <c r="C3469" t="s">
        <v>153</v>
      </c>
      <c r="D3469" t="s">
        <v>119</v>
      </c>
      <c r="E3469" t="s">
        <v>69</v>
      </c>
      <c r="F3469" s="1">
        <v>45</v>
      </c>
      <c r="G3469" t="s">
        <v>105</v>
      </c>
      <c r="H3469" t="s">
        <v>45</v>
      </c>
      <c r="I3469" t="s">
        <v>63</v>
      </c>
      <c r="J3469" t="s">
        <v>58</v>
      </c>
      <c r="K3469" s="2">
        <v>5</v>
      </c>
      <c r="L3469" t="s">
        <v>152</v>
      </c>
      <c r="M3469" t="s">
        <v>34</v>
      </c>
      <c r="N3469" t="s">
        <v>47</v>
      </c>
      <c r="O3469" t="s">
        <v>152</v>
      </c>
      <c r="P3469" t="s">
        <v>152</v>
      </c>
      <c r="Q3469" s="3">
        <v>5</v>
      </c>
      <c r="R3469" t="s">
        <v>27</v>
      </c>
      <c r="S3469" t="s">
        <v>50</v>
      </c>
    </row>
    <row r="3470" spans="1:19" x14ac:dyDescent="0.25">
      <c r="A3470">
        <v>3469</v>
      </c>
      <c r="B3470">
        <v>36</v>
      </c>
      <c r="C3470" t="s">
        <v>153</v>
      </c>
      <c r="D3470" t="s">
        <v>89</v>
      </c>
      <c r="E3470" t="s">
        <v>69</v>
      </c>
      <c r="F3470" s="1">
        <v>89</v>
      </c>
      <c r="G3470" t="s">
        <v>123</v>
      </c>
      <c r="H3470" t="s">
        <v>38</v>
      </c>
      <c r="I3470" t="s">
        <v>126</v>
      </c>
      <c r="J3470" t="s">
        <v>25</v>
      </c>
      <c r="K3470" s="2">
        <v>3.5</v>
      </c>
      <c r="L3470" t="s">
        <v>152</v>
      </c>
      <c r="M3470" t="s">
        <v>27</v>
      </c>
      <c r="N3470" t="s">
        <v>55</v>
      </c>
      <c r="O3470" t="s">
        <v>152</v>
      </c>
      <c r="P3470" t="s">
        <v>152</v>
      </c>
      <c r="Q3470" s="3">
        <v>36</v>
      </c>
      <c r="R3470" t="s">
        <v>59</v>
      </c>
      <c r="S3470" t="s">
        <v>60</v>
      </c>
    </row>
    <row r="3471" spans="1:19" x14ac:dyDescent="0.25">
      <c r="A3471">
        <v>3470</v>
      </c>
      <c r="B3471">
        <v>36</v>
      </c>
      <c r="C3471" t="s">
        <v>153</v>
      </c>
      <c r="D3471" t="s">
        <v>125</v>
      </c>
      <c r="E3471" t="s">
        <v>21</v>
      </c>
      <c r="F3471" s="1">
        <v>85</v>
      </c>
      <c r="G3471" t="s">
        <v>114</v>
      </c>
      <c r="H3471" t="s">
        <v>23</v>
      </c>
      <c r="I3471" t="s">
        <v>136</v>
      </c>
      <c r="J3471" t="s">
        <v>58</v>
      </c>
      <c r="K3471" s="2">
        <v>3.3</v>
      </c>
      <c r="L3471" t="s">
        <v>152</v>
      </c>
      <c r="M3471" t="s">
        <v>34</v>
      </c>
      <c r="N3471" t="s">
        <v>76</v>
      </c>
      <c r="O3471" t="s">
        <v>152</v>
      </c>
      <c r="P3471" t="s">
        <v>152</v>
      </c>
      <c r="Q3471" s="3">
        <v>12</v>
      </c>
      <c r="R3471" t="s">
        <v>35</v>
      </c>
      <c r="S3471" t="s">
        <v>50</v>
      </c>
    </row>
    <row r="3472" spans="1:19" x14ac:dyDescent="0.25">
      <c r="A3472">
        <v>3471</v>
      </c>
      <c r="B3472">
        <v>19</v>
      </c>
      <c r="C3472" t="s">
        <v>153</v>
      </c>
      <c r="D3472" t="s">
        <v>64</v>
      </c>
      <c r="E3472" t="s">
        <v>65</v>
      </c>
      <c r="F3472" s="1">
        <v>69</v>
      </c>
      <c r="G3472" t="s">
        <v>66</v>
      </c>
      <c r="H3472" t="s">
        <v>38</v>
      </c>
      <c r="I3472" t="s">
        <v>79</v>
      </c>
      <c r="J3472" t="s">
        <v>54</v>
      </c>
      <c r="K3472" s="2">
        <v>4.5</v>
      </c>
      <c r="L3472" t="s">
        <v>152</v>
      </c>
      <c r="M3472" t="s">
        <v>35</v>
      </c>
      <c r="N3472" t="s">
        <v>40</v>
      </c>
      <c r="O3472" t="s">
        <v>152</v>
      </c>
      <c r="P3472" t="s">
        <v>152</v>
      </c>
      <c r="Q3472" s="3">
        <v>31</v>
      </c>
      <c r="R3472" t="s">
        <v>35</v>
      </c>
      <c r="S3472" t="s">
        <v>77</v>
      </c>
    </row>
    <row r="3473" spans="1:19" x14ac:dyDescent="0.25">
      <c r="A3473">
        <v>3472</v>
      </c>
      <c r="B3473">
        <v>43</v>
      </c>
      <c r="C3473" t="s">
        <v>153</v>
      </c>
      <c r="D3473" t="s">
        <v>42</v>
      </c>
      <c r="E3473" t="s">
        <v>43</v>
      </c>
      <c r="F3473" s="1">
        <v>66</v>
      </c>
      <c r="G3473" t="s">
        <v>98</v>
      </c>
      <c r="H3473" t="s">
        <v>38</v>
      </c>
      <c r="I3473" t="s">
        <v>144</v>
      </c>
      <c r="J3473" t="s">
        <v>39</v>
      </c>
      <c r="K3473" s="2">
        <v>3.1</v>
      </c>
      <c r="L3473" t="s">
        <v>152</v>
      </c>
      <c r="M3473" t="s">
        <v>35</v>
      </c>
      <c r="N3473" t="s">
        <v>76</v>
      </c>
      <c r="O3473" t="s">
        <v>152</v>
      </c>
      <c r="P3473" t="s">
        <v>152</v>
      </c>
      <c r="Q3473" s="3">
        <v>31</v>
      </c>
      <c r="R3473" t="s">
        <v>35</v>
      </c>
      <c r="S3473" t="s">
        <v>77</v>
      </c>
    </row>
    <row r="3474" spans="1:19" x14ac:dyDescent="0.25">
      <c r="A3474">
        <v>3473</v>
      </c>
      <c r="B3474">
        <v>31</v>
      </c>
      <c r="C3474" t="s">
        <v>153</v>
      </c>
      <c r="D3474" t="s">
        <v>20</v>
      </c>
      <c r="E3474" t="s">
        <v>21</v>
      </c>
      <c r="F3474" s="1">
        <v>42</v>
      </c>
      <c r="G3474" t="s">
        <v>142</v>
      </c>
      <c r="H3474" t="s">
        <v>38</v>
      </c>
      <c r="I3474" t="s">
        <v>53</v>
      </c>
      <c r="J3474" t="s">
        <v>54</v>
      </c>
      <c r="K3474" s="2">
        <v>4</v>
      </c>
      <c r="L3474" t="s">
        <v>152</v>
      </c>
      <c r="M3474" t="s">
        <v>34</v>
      </c>
      <c r="N3474" t="s">
        <v>40</v>
      </c>
      <c r="O3474" t="s">
        <v>152</v>
      </c>
      <c r="P3474" t="s">
        <v>152</v>
      </c>
      <c r="Q3474" s="3">
        <v>15</v>
      </c>
      <c r="R3474" t="s">
        <v>59</v>
      </c>
      <c r="S3474" t="s">
        <v>41</v>
      </c>
    </row>
    <row r="3475" spans="1:19" x14ac:dyDescent="0.25">
      <c r="A3475">
        <v>3474</v>
      </c>
      <c r="B3475">
        <v>63</v>
      </c>
      <c r="C3475" t="s">
        <v>153</v>
      </c>
      <c r="D3475" t="s">
        <v>82</v>
      </c>
      <c r="E3475" t="s">
        <v>21</v>
      </c>
      <c r="F3475" s="1">
        <v>40</v>
      </c>
      <c r="G3475" t="s">
        <v>111</v>
      </c>
      <c r="H3475" t="s">
        <v>45</v>
      </c>
      <c r="I3475" t="s">
        <v>109</v>
      </c>
      <c r="J3475" t="s">
        <v>39</v>
      </c>
      <c r="K3475" s="2">
        <v>2.5</v>
      </c>
      <c r="L3475" t="s">
        <v>152</v>
      </c>
      <c r="M3475" t="s">
        <v>27</v>
      </c>
      <c r="N3475" t="s">
        <v>28</v>
      </c>
      <c r="O3475" t="s">
        <v>152</v>
      </c>
      <c r="P3475" t="s">
        <v>152</v>
      </c>
      <c r="Q3475" s="3">
        <v>11</v>
      </c>
      <c r="R3475" t="s">
        <v>35</v>
      </c>
      <c r="S3475" t="s">
        <v>41</v>
      </c>
    </row>
    <row r="3476" spans="1:19" x14ac:dyDescent="0.25">
      <c r="A3476">
        <v>3475</v>
      </c>
      <c r="B3476">
        <v>41</v>
      </c>
      <c r="C3476" t="s">
        <v>153</v>
      </c>
      <c r="D3476" t="s">
        <v>95</v>
      </c>
      <c r="E3476" t="s">
        <v>21</v>
      </c>
      <c r="F3476" s="1">
        <v>82</v>
      </c>
      <c r="G3476" t="s">
        <v>32</v>
      </c>
      <c r="H3476" t="s">
        <v>45</v>
      </c>
      <c r="I3476" t="s">
        <v>109</v>
      </c>
      <c r="J3476" t="s">
        <v>25</v>
      </c>
      <c r="K3476" s="2">
        <v>4.4000000000000004</v>
      </c>
      <c r="L3476" t="s">
        <v>152</v>
      </c>
      <c r="M3476" t="s">
        <v>46</v>
      </c>
      <c r="N3476" t="s">
        <v>76</v>
      </c>
      <c r="O3476" t="s">
        <v>152</v>
      </c>
      <c r="P3476" t="s">
        <v>152</v>
      </c>
      <c r="Q3476" s="3">
        <v>18</v>
      </c>
      <c r="R3476" t="s">
        <v>29</v>
      </c>
      <c r="S3476" t="s">
        <v>88</v>
      </c>
    </row>
    <row r="3477" spans="1:19" x14ac:dyDescent="0.25">
      <c r="A3477">
        <v>3476</v>
      </c>
      <c r="B3477">
        <v>48</v>
      </c>
      <c r="C3477" t="s">
        <v>153</v>
      </c>
      <c r="D3477" t="s">
        <v>51</v>
      </c>
      <c r="E3477" t="s">
        <v>43</v>
      </c>
      <c r="F3477" s="1">
        <v>88</v>
      </c>
      <c r="G3477" t="s">
        <v>131</v>
      </c>
      <c r="H3477" t="s">
        <v>45</v>
      </c>
      <c r="I3477" t="s">
        <v>121</v>
      </c>
      <c r="J3477" t="s">
        <v>39</v>
      </c>
      <c r="K3477" s="2">
        <v>4.4000000000000004</v>
      </c>
      <c r="L3477" t="s">
        <v>152</v>
      </c>
      <c r="M3477" t="s">
        <v>59</v>
      </c>
      <c r="N3477" t="s">
        <v>28</v>
      </c>
      <c r="O3477" t="s">
        <v>152</v>
      </c>
      <c r="P3477" t="s">
        <v>152</v>
      </c>
      <c r="Q3477" s="3">
        <v>9</v>
      </c>
      <c r="R3477" t="s">
        <v>35</v>
      </c>
      <c r="S3477" t="s">
        <v>60</v>
      </c>
    </row>
    <row r="3478" spans="1:19" x14ac:dyDescent="0.25">
      <c r="A3478">
        <v>3477</v>
      </c>
      <c r="B3478">
        <v>68</v>
      </c>
      <c r="C3478" t="s">
        <v>153</v>
      </c>
      <c r="D3478" t="s">
        <v>137</v>
      </c>
      <c r="E3478" t="s">
        <v>43</v>
      </c>
      <c r="F3478" s="1">
        <v>99</v>
      </c>
      <c r="G3478" t="s">
        <v>131</v>
      </c>
      <c r="H3478" t="s">
        <v>92</v>
      </c>
      <c r="I3478" t="s">
        <v>121</v>
      </c>
      <c r="J3478" t="s">
        <v>54</v>
      </c>
      <c r="K3478" s="2">
        <v>3.2</v>
      </c>
      <c r="L3478" t="s">
        <v>152</v>
      </c>
      <c r="M3478" t="s">
        <v>27</v>
      </c>
      <c r="N3478" t="s">
        <v>40</v>
      </c>
      <c r="O3478" t="s">
        <v>152</v>
      </c>
      <c r="P3478" t="s">
        <v>152</v>
      </c>
      <c r="Q3478" s="3">
        <v>11</v>
      </c>
      <c r="R3478" t="s">
        <v>35</v>
      </c>
      <c r="S3478" t="s">
        <v>41</v>
      </c>
    </row>
    <row r="3479" spans="1:19" x14ac:dyDescent="0.25">
      <c r="A3479">
        <v>3478</v>
      </c>
      <c r="B3479">
        <v>53</v>
      </c>
      <c r="C3479" t="s">
        <v>153</v>
      </c>
      <c r="D3479" t="s">
        <v>68</v>
      </c>
      <c r="E3479" t="s">
        <v>69</v>
      </c>
      <c r="F3479" s="1">
        <v>85</v>
      </c>
      <c r="G3479" t="s">
        <v>22</v>
      </c>
      <c r="H3479" t="s">
        <v>38</v>
      </c>
      <c r="I3479" t="s">
        <v>86</v>
      </c>
      <c r="J3479" t="s">
        <v>39</v>
      </c>
      <c r="K3479" s="2">
        <v>3.8</v>
      </c>
      <c r="L3479" t="s">
        <v>152</v>
      </c>
      <c r="M3479" t="s">
        <v>46</v>
      </c>
      <c r="N3479" t="s">
        <v>76</v>
      </c>
      <c r="O3479" t="s">
        <v>152</v>
      </c>
      <c r="P3479" t="s">
        <v>152</v>
      </c>
      <c r="Q3479" s="3">
        <v>38</v>
      </c>
      <c r="R3479" t="s">
        <v>59</v>
      </c>
      <c r="S3479" t="s">
        <v>77</v>
      </c>
    </row>
    <row r="3480" spans="1:19" x14ac:dyDescent="0.25">
      <c r="A3480">
        <v>3479</v>
      </c>
      <c r="B3480">
        <v>36</v>
      </c>
      <c r="C3480" t="s">
        <v>153</v>
      </c>
      <c r="D3480" t="s">
        <v>68</v>
      </c>
      <c r="E3480" t="s">
        <v>69</v>
      </c>
      <c r="F3480" s="1">
        <v>57</v>
      </c>
      <c r="G3480" t="s">
        <v>117</v>
      </c>
      <c r="H3480" t="s">
        <v>45</v>
      </c>
      <c r="I3480" t="s">
        <v>136</v>
      </c>
      <c r="J3480" t="s">
        <v>58</v>
      </c>
      <c r="K3480" s="2">
        <v>4.5999999999999996</v>
      </c>
      <c r="L3480" t="s">
        <v>152</v>
      </c>
      <c r="M3480" t="s">
        <v>46</v>
      </c>
      <c r="N3480" t="s">
        <v>76</v>
      </c>
      <c r="O3480" t="s">
        <v>152</v>
      </c>
      <c r="P3480" t="s">
        <v>152</v>
      </c>
      <c r="Q3480" s="3">
        <v>42</v>
      </c>
      <c r="R3480" t="s">
        <v>46</v>
      </c>
      <c r="S3480" t="s">
        <v>60</v>
      </c>
    </row>
    <row r="3481" spans="1:19" x14ac:dyDescent="0.25">
      <c r="A3481">
        <v>3480</v>
      </c>
      <c r="B3481">
        <v>46</v>
      </c>
      <c r="C3481" t="s">
        <v>153</v>
      </c>
      <c r="D3481" t="s">
        <v>31</v>
      </c>
      <c r="E3481" t="s">
        <v>21</v>
      </c>
      <c r="F3481" s="1">
        <v>56</v>
      </c>
      <c r="G3481" t="s">
        <v>85</v>
      </c>
      <c r="H3481" t="s">
        <v>38</v>
      </c>
      <c r="I3481" t="s">
        <v>121</v>
      </c>
      <c r="J3481" t="s">
        <v>54</v>
      </c>
      <c r="K3481" s="2">
        <v>4.9000000000000004</v>
      </c>
      <c r="L3481" t="s">
        <v>152</v>
      </c>
      <c r="M3481" t="s">
        <v>46</v>
      </c>
      <c r="N3481" t="s">
        <v>55</v>
      </c>
      <c r="O3481" t="s">
        <v>152</v>
      </c>
      <c r="P3481" t="s">
        <v>152</v>
      </c>
      <c r="Q3481" s="3">
        <v>41</v>
      </c>
      <c r="R3481" t="s">
        <v>35</v>
      </c>
      <c r="S3481" t="s">
        <v>88</v>
      </c>
    </row>
    <row r="3482" spans="1:19" x14ac:dyDescent="0.25">
      <c r="A3482">
        <v>3481</v>
      </c>
      <c r="B3482">
        <v>21</v>
      </c>
      <c r="C3482" t="s">
        <v>153</v>
      </c>
      <c r="D3482" t="s">
        <v>42</v>
      </c>
      <c r="E3482" t="s">
        <v>43</v>
      </c>
      <c r="F3482" s="1">
        <v>79</v>
      </c>
      <c r="G3482" t="s">
        <v>83</v>
      </c>
      <c r="H3482" t="s">
        <v>23</v>
      </c>
      <c r="I3482" t="s">
        <v>100</v>
      </c>
      <c r="J3482" t="s">
        <v>25</v>
      </c>
      <c r="K3482" s="2">
        <v>3.5</v>
      </c>
      <c r="L3482" t="s">
        <v>152</v>
      </c>
      <c r="M3482" t="s">
        <v>35</v>
      </c>
      <c r="N3482" t="s">
        <v>40</v>
      </c>
      <c r="O3482" t="s">
        <v>152</v>
      </c>
      <c r="P3482" t="s">
        <v>152</v>
      </c>
      <c r="Q3482" s="3">
        <v>45</v>
      </c>
      <c r="R3482" t="s">
        <v>46</v>
      </c>
      <c r="S3482" t="s">
        <v>88</v>
      </c>
    </row>
    <row r="3483" spans="1:19" x14ac:dyDescent="0.25">
      <c r="A3483">
        <v>3482</v>
      </c>
      <c r="B3483">
        <v>52</v>
      </c>
      <c r="C3483" t="s">
        <v>153</v>
      </c>
      <c r="D3483" t="s">
        <v>125</v>
      </c>
      <c r="E3483" t="s">
        <v>21</v>
      </c>
      <c r="F3483" s="1">
        <v>67</v>
      </c>
      <c r="G3483" t="s">
        <v>123</v>
      </c>
      <c r="H3483" t="s">
        <v>38</v>
      </c>
      <c r="I3483" t="s">
        <v>33</v>
      </c>
      <c r="J3483" t="s">
        <v>54</v>
      </c>
      <c r="K3483" s="2">
        <v>3.4</v>
      </c>
      <c r="L3483" t="s">
        <v>152</v>
      </c>
      <c r="M3483" t="s">
        <v>27</v>
      </c>
      <c r="N3483" t="s">
        <v>76</v>
      </c>
      <c r="O3483" t="s">
        <v>152</v>
      </c>
      <c r="P3483" t="s">
        <v>152</v>
      </c>
      <c r="Q3483" s="3">
        <v>41</v>
      </c>
      <c r="R3483" t="s">
        <v>59</v>
      </c>
      <c r="S3483" t="s">
        <v>77</v>
      </c>
    </row>
    <row r="3484" spans="1:19" x14ac:dyDescent="0.25">
      <c r="A3484">
        <v>3483</v>
      </c>
      <c r="B3484">
        <v>66</v>
      </c>
      <c r="C3484" t="s">
        <v>153</v>
      </c>
      <c r="D3484" t="s">
        <v>143</v>
      </c>
      <c r="E3484" t="s">
        <v>69</v>
      </c>
      <c r="F3484" s="1">
        <v>61</v>
      </c>
      <c r="G3484" t="s">
        <v>78</v>
      </c>
      <c r="H3484" t="s">
        <v>45</v>
      </c>
      <c r="I3484" t="s">
        <v>81</v>
      </c>
      <c r="J3484" t="s">
        <v>25</v>
      </c>
      <c r="K3484" s="2">
        <v>3.9</v>
      </c>
      <c r="L3484" t="s">
        <v>152</v>
      </c>
      <c r="M3484" t="s">
        <v>29</v>
      </c>
      <c r="N3484" t="s">
        <v>47</v>
      </c>
      <c r="O3484" t="s">
        <v>152</v>
      </c>
      <c r="P3484" t="s">
        <v>152</v>
      </c>
      <c r="Q3484" s="3">
        <v>35</v>
      </c>
      <c r="R3484" t="s">
        <v>59</v>
      </c>
      <c r="S3484" t="s">
        <v>41</v>
      </c>
    </row>
    <row r="3485" spans="1:19" x14ac:dyDescent="0.25">
      <c r="A3485">
        <v>3484</v>
      </c>
      <c r="B3485">
        <v>19</v>
      </c>
      <c r="C3485" t="s">
        <v>153</v>
      </c>
      <c r="D3485" t="s">
        <v>104</v>
      </c>
      <c r="E3485" t="s">
        <v>21</v>
      </c>
      <c r="F3485" s="1">
        <v>37</v>
      </c>
      <c r="G3485" t="s">
        <v>105</v>
      </c>
      <c r="H3485" t="s">
        <v>23</v>
      </c>
      <c r="I3485" t="s">
        <v>53</v>
      </c>
      <c r="J3485" t="s">
        <v>25</v>
      </c>
      <c r="K3485" s="2">
        <v>3.9</v>
      </c>
      <c r="L3485" t="s">
        <v>152</v>
      </c>
      <c r="M3485" t="s">
        <v>29</v>
      </c>
      <c r="N3485" t="s">
        <v>28</v>
      </c>
      <c r="O3485" t="s">
        <v>152</v>
      </c>
      <c r="P3485" t="s">
        <v>152</v>
      </c>
      <c r="Q3485" s="3">
        <v>21</v>
      </c>
      <c r="R3485" t="s">
        <v>27</v>
      </c>
      <c r="S3485" t="s">
        <v>97</v>
      </c>
    </row>
    <row r="3486" spans="1:19" x14ac:dyDescent="0.25">
      <c r="A3486">
        <v>3485</v>
      </c>
      <c r="B3486">
        <v>44</v>
      </c>
      <c r="C3486" t="s">
        <v>153</v>
      </c>
      <c r="D3486" t="s">
        <v>82</v>
      </c>
      <c r="E3486" t="s">
        <v>21</v>
      </c>
      <c r="F3486" s="1">
        <v>75</v>
      </c>
      <c r="G3486" t="s">
        <v>115</v>
      </c>
      <c r="H3486" t="s">
        <v>23</v>
      </c>
      <c r="I3486" t="s">
        <v>24</v>
      </c>
      <c r="J3486" t="s">
        <v>58</v>
      </c>
      <c r="K3486" s="2">
        <v>4.2</v>
      </c>
      <c r="L3486" t="s">
        <v>152</v>
      </c>
      <c r="M3486" t="s">
        <v>59</v>
      </c>
      <c r="N3486" t="s">
        <v>40</v>
      </c>
      <c r="O3486" t="s">
        <v>152</v>
      </c>
      <c r="P3486" t="s">
        <v>152</v>
      </c>
      <c r="Q3486" s="3">
        <v>13</v>
      </c>
      <c r="R3486" t="s">
        <v>27</v>
      </c>
      <c r="S3486" t="s">
        <v>77</v>
      </c>
    </row>
    <row r="3487" spans="1:19" x14ac:dyDescent="0.25">
      <c r="A3487">
        <v>3486</v>
      </c>
      <c r="B3487">
        <v>50</v>
      </c>
      <c r="C3487" t="s">
        <v>153</v>
      </c>
      <c r="D3487" t="s">
        <v>56</v>
      </c>
      <c r="E3487" t="s">
        <v>21</v>
      </c>
      <c r="F3487" s="1">
        <v>21</v>
      </c>
      <c r="G3487" t="s">
        <v>37</v>
      </c>
      <c r="H3487" t="s">
        <v>92</v>
      </c>
      <c r="I3487" t="s">
        <v>110</v>
      </c>
      <c r="J3487" t="s">
        <v>25</v>
      </c>
      <c r="K3487" s="2">
        <v>3.4</v>
      </c>
      <c r="L3487" t="s">
        <v>152</v>
      </c>
      <c r="M3487" t="s">
        <v>59</v>
      </c>
      <c r="N3487" t="s">
        <v>55</v>
      </c>
      <c r="O3487" t="s">
        <v>152</v>
      </c>
      <c r="P3487" t="s">
        <v>152</v>
      </c>
      <c r="Q3487" s="3">
        <v>23</v>
      </c>
      <c r="R3487" t="s">
        <v>59</v>
      </c>
      <c r="S3487" t="s">
        <v>30</v>
      </c>
    </row>
    <row r="3488" spans="1:19" x14ac:dyDescent="0.25">
      <c r="A3488">
        <v>3487</v>
      </c>
      <c r="B3488">
        <v>51</v>
      </c>
      <c r="C3488" t="s">
        <v>153</v>
      </c>
      <c r="D3488" t="s">
        <v>61</v>
      </c>
      <c r="E3488" t="s">
        <v>21</v>
      </c>
      <c r="F3488" s="1">
        <v>89</v>
      </c>
      <c r="G3488" t="s">
        <v>98</v>
      </c>
      <c r="H3488" t="s">
        <v>23</v>
      </c>
      <c r="I3488" t="s">
        <v>63</v>
      </c>
      <c r="J3488" t="s">
        <v>25</v>
      </c>
      <c r="K3488" s="2">
        <v>4.9000000000000004</v>
      </c>
      <c r="L3488" t="s">
        <v>152</v>
      </c>
      <c r="M3488" t="s">
        <v>59</v>
      </c>
      <c r="N3488" t="s">
        <v>55</v>
      </c>
      <c r="O3488" t="s">
        <v>152</v>
      </c>
      <c r="P3488" t="s">
        <v>152</v>
      </c>
      <c r="Q3488" s="3">
        <v>6</v>
      </c>
      <c r="R3488" t="s">
        <v>46</v>
      </c>
      <c r="S3488" t="s">
        <v>41</v>
      </c>
    </row>
    <row r="3489" spans="1:19" x14ac:dyDescent="0.25">
      <c r="A3489">
        <v>3488</v>
      </c>
      <c r="B3489">
        <v>25</v>
      </c>
      <c r="C3489" t="s">
        <v>153</v>
      </c>
      <c r="D3489" t="s">
        <v>42</v>
      </c>
      <c r="E3489" t="s">
        <v>43</v>
      </c>
      <c r="F3489" s="1">
        <v>24</v>
      </c>
      <c r="G3489" t="s">
        <v>66</v>
      </c>
      <c r="H3489" t="s">
        <v>23</v>
      </c>
      <c r="I3489" t="s">
        <v>118</v>
      </c>
      <c r="J3489" t="s">
        <v>58</v>
      </c>
      <c r="K3489" s="2">
        <v>2.9</v>
      </c>
      <c r="L3489" t="s">
        <v>152</v>
      </c>
      <c r="M3489" t="s">
        <v>59</v>
      </c>
      <c r="N3489" t="s">
        <v>76</v>
      </c>
      <c r="O3489" t="s">
        <v>152</v>
      </c>
      <c r="P3489" t="s">
        <v>152</v>
      </c>
      <c r="Q3489" s="3">
        <v>39</v>
      </c>
      <c r="R3489" t="s">
        <v>34</v>
      </c>
      <c r="S3489" t="s">
        <v>50</v>
      </c>
    </row>
    <row r="3490" spans="1:19" x14ac:dyDescent="0.25">
      <c r="A3490">
        <v>3489</v>
      </c>
      <c r="B3490">
        <v>62</v>
      </c>
      <c r="C3490" t="s">
        <v>153</v>
      </c>
      <c r="D3490" t="s">
        <v>31</v>
      </c>
      <c r="E3490" t="s">
        <v>21</v>
      </c>
      <c r="F3490" s="1">
        <v>27</v>
      </c>
      <c r="G3490" t="s">
        <v>80</v>
      </c>
      <c r="H3490" t="s">
        <v>92</v>
      </c>
      <c r="I3490" t="s">
        <v>86</v>
      </c>
      <c r="J3490" t="s">
        <v>39</v>
      </c>
      <c r="K3490" s="2">
        <v>4.9000000000000004</v>
      </c>
      <c r="L3490" t="s">
        <v>152</v>
      </c>
      <c r="M3490" t="s">
        <v>35</v>
      </c>
      <c r="N3490" t="s">
        <v>76</v>
      </c>
      <c r="O3490" t="s">
        <v>152</v>
      </c>
      <c r="P3490" t="s">
        <v>152</v>
      </c>
      <c r="Q3490" s="3">
        <v>7</v>
      </c>
      <c r="R3490" t="s">
        <v>35</v>
      </c>
      <c r="S3490" t="s">
        <v>60</v>
      </c>
    </row>
    <row r="3491" spans="1:19" x14ac:dyDescent="0.25">
      <c r="A3491">
        <v>3490</v>
      </c>
      <c r="B3491">
        <v>48</v>
      </c>
      <c r="C3491" t="s">
        <v>153</v>
      </c>
      <c r="D3491" t="s">
        <v>82</v>
      </c>
      <c r="E3491" t="s">
        <v>21</v>
      </c>
      <c r="F3491" s="1">
        <v>26</v>
      </c>
      <c r="G3491" t="s">
        <v>135</v>
      </c>
      <c r="H3491" t="s">
        <v>23</v>
      </c>
      <c r="I3491" t="s">
        <v>94</v>
      </c>
      <c r="J3491" t="s">
        <v>54</v>
      </c>
      <c r="K3491" s="2">
        <v>4.5999999999999996</v>
      </c>
      <c r="L3491" t="s">
        <v>152</v>
      </c>
      <c r="M3491" t="s">
        <v>34</v>
      </c>
      <c r="N3491" t="s">
        <v>72</v>
      </c>
      <c r="O3491" t="s">
        <v>152</v>
      </c>
      <c r="P3491" t="s">
        <v>152</v>
      </c>
      <c r="Q3491" s="3">
        <v>32</v>
      </c>
      <c r="R3491" t="s">
        <v>46</v>
      </c>
      <c r="S3491" t="s">
        <v>97</v>
      </c>
    </row>
    <row r="3492" spans="1:19" x14ac:dyDescent="0.25">
      <c r="A3492">
        <v>3491</v>
      </c>
      <c r="B3492">
        <v>62</v>
      </c>
      <c r="C3492" t="s">
        <v>153</v>
      </c>
      <c r="D3492" t="s">
        <v>137</v>
      </c>
      <c r="E3492" t="s">
        <v>43</v>
      </c>
      <c r="F3492" s="1">
        <v>82</v>
      </c>
      <c r="G3492" t="s">
        <v>48</v>
      </c>
      <c r="H3492" t="s">
        <v>45</v>
      </c>
      <c r="I3492" t="s">
        <v>84</v>
      </c>
      <c r="J3492" t="s">
        <v>39</v>
      </c>
      <c r="K3492" s="2">
        <v>3.6</v>
      </c>
      <c r="L3492" t="s">
        <v>152</v>
      </c>
      <c r="M3492" t="s">
        <v>29</v>
      </c>
      <c r="N3492" t="s">
        <v>76</v>
      </c>
      <c r="O3492" t="s">
        <v>152</v>
      </c>
      <c r="P3492" t="s">
        <v>152</v>
      </c>
      <c r="Q3492" s="3">
        <v>43</v>
      </c>
      <c r="R3492" t="s">
        <v>27</v>
      </c>
      <c r="S3492" t="s">
        <v>60</v>
      </c>
    </row>
    <row r="3493" spans="1:19" x14ac:dyDescent="0.25">
      <c r="A3493">
        <v>3492</v>
      </c>
      <c r="B3493">
        <v>22</v>
      </c>
      <c r="C3493" t="s">
        <v>153</v>
      </c>
      <c r="D3493" t="s">
        <v>95</v>
      </c>
      <c r="E3493" t="s">
        <v>21</v>
      </c>
      <c r="F3493" s="1">
        <v>28</v>
      </c>
      <c r="G3493" t="s">
        <v>32</v>
      </c>
      <c r="H3493" t="s">
        <v>45</v>
      </c>
      <c r="I3493" t="s">
        <v>121</v>
      </c>
      <c r="J3493" t="s">
        <v>25</v>
      </c>
      <c r="K3493" s="2">
        <v>4.3</v>
      </c>
      <c r="L3493" t="s">
        <v>152</v>
      </c>
      <c r="M3493" t="s">
        <v>34</v>
      </c>
      <c r="N3493" t="s">
        <v>28</v>
      </c>
      <c r="O3493" t="s">
        <v>152</v>
      </c>
      <c r="P3493" t="s">
        <v>152</v>
      </c>
      <c r="Q3493" s="3">
        <v>15</v>
      </c>
      <c r="R3493" t="s">
        <v>35</v>
      </c>
      <c r="S3493" t="s">
        <v>88</v>
      </c>
    </row>
    <row r="3494" spans="1:19" x14ac:dyDescent="0.25">
      <c r="A3494">
        <v>3493</v>
      </c>
      <c r="B3494">
        <v>48</v>
      </c>
      <c r="C3494" t="s">
        <v>153</v>
      </c>
      <c r="D3494" t="s">
        <v>143</v>
      </c>
      <c r="E3494" t="s">
        <v>69</v>
      </c>
      <c r="F3494" s="1">
        <v>65</v>
      </c>
      <c r="G3494" t="s">
        <v>147</v>
      </c>
      <c r="H3494" t="s">
        <v>45</v>
      </c>
      <c r="I3494" t="s">
        <v>49</v>
      </c>
      <c r="J3494" t="s">
        <v>58</v>
      </c>
      <c r="K3494" s="2">
        <v>4.5999999999999996</v>
      </c>
      <c r="L3494" t="s">
        <v>152</v>
      </c>
      <c r="M3494" t="s">
        <v>46</v>
      </c>
      <c r="N3494" t="s">
        <v>55</v>
      </c>
      <c r="O3494" t="s">
        <v>152</v>
      </c>
      <c r="P3494" t="s">
        <v>152</v>
      </c>
      <c r="Q3494" s="3">
        <v>48</v>
      </c>
      <c r="R3494" t="s">
        <v>34</v>
      </c>
      <c r="S3494" t="s">
        <v>50</v>
      </c>
    </row>
    <row r="3495" spans="1:19" x14ac:dyDescent="0.25">
      <c r="A3495">
        <v>3494</v>
      </c>
      <c r="B3495">
        <v>48</v>
      </c>
      <c r="C3495" t="s">
        <v>153</v>
      </c>
      <c r="D3495" t="s">
        <v>95</v>
      </c>
      <c r="E3495" t="s">
        <v>21</v>
      </c>
      <c r="F3495" s="1">
        <v>82</v>
      </c>
      <c r="G3495" t="s">
        <v>130</v>
      </c>
      <c r="H3495" t="s">
        <v>92</v>
      </c>
      <c r="I3495" t="s">
        <v>94</v>
      </c>
      <c r="J3495" t="s">
        <v>25</v>
      </c>
      <c r="K3495" s="2">
        <v>4.7</v>
      </c>
      <c r="L3495" t="s">
        <v>152</v>
      </c>
      <c r="M3495" t="s">
        <v>35</v>
      </c>
      <c r="N3495" t="s">
        <v>76</v>
      </c>
      <c r="O3495" t="s">
        <v>152</v>
      </c>
      <c r="P3495" t="s">
        <v>152</v>
      </c>
      <c r="Q3495" s="3">
        <v>35</v>
      </c>
      <c r="R3495" t="s">
        <v>27</v>
      </c>
      <c r="S3495" t="s">
        <v>41</v>
      </c>
    </row>
    <row r="3496" spans="1:19" x14ac:dyDescent="0.25">
      <c r="A3496">
        <v>3495</v>
      </c>
      <c r="B3496">
        <v>62</v>
      </c>
      <c r="C3496" t="s">
        <v>153</v>
      </c>
      <c r="D3496" t="s">
        <v>119</v>
      </c>
      <c r="E3496" t="s">
        <v>69</v>
      </c>
      <c r="F3496" s="1">
        <v>38</v>
      </c>
      <c r="G3496" t="s">
        <v>149</v>
      </c>
      <c r="H3496" t="s">
        <v>45</v>
      </c>
      <c r="I3496" t="s">
        <v>67</v>
      </c>
      <c r="J3496" t="s">
        <v>25</v>
      </c>
      <c r="K3496" s="2">
        <v>3.5</v>
      </c>
      <c r="L3496" t="s">
        <v>152</v>
      </c>
      <c r="M3496" t="s">
        <v>27</v>
      </c>
      <c r="N3496" t="s">
        <v>40</v>
      </c>
      <c r="O3496" t="s">
        <v>152</v>
      </c>
      <c r="P3496" t="s">
        <v>152</v>
      </c>
      <c r="Q3496" s="3">
        <v>41</v>
      </c>
      <c r="R3496" t="s">
        <v>46</v>
      </c>
      <c r="S3496" t="s">
        <v>60</v>
      </c>
    </row>
    <row r="3497" spans="1:19" x14ac:dyDescent="0.25">
      <c r="A3497">
        <v>3496</v>
      </c>
      <c r="B3497">
        <v>24</v>
      </c>
      <c r="C3497" t="s">
        <v>153</v>
      </c>
      <c r="D3497" t="s">
        <v>61</v>
      </c>
      <c r="E3497" t="s">
        <v>21</v>
      </c>
      <c r="F3497" s="1">
        <v>33</v>
      </c>
      <c r="G3497" t="s">
        <v>142</v>
      </c>
      <c r="H3497" t="s">
        <v>92</v>
      </c>
      <c r="I3497" t="s">
        <v>24</v>
      </c>
      <c r="J3497" t="s">
        <v>39</v>
      </c>
      <c r="K3497" s="2">
        <v>2.8</v>
      </c>
      <c r="L3497" t="s">
        <v>152</v>
      </c>
      <c r="M3497" t="s">
        <v>59</v>
      </c>
      <c r="N3497" t="s">
        <v>40</v>
      </c>
      <c r="O3497" t="s">
        <v>152</v>
      </c>
      <c r="P3497" t="s">
        <v>152</v>
      </c>
      <c r="Q3497" s="3">
        <v>14</v>
      </c>
      <c r="R3497" t="s">
        <v>35</v>
      </c>
      <c r="S3497" t="s">
        <v>41</v>
      </c>
    </row>
    <row r="3498" spans="1:19" x14ac:dyDescent="0.25">
      <c r="A3498">
        <v>3497</v>
      </c>
      <c r="B3498">
        <v>39</v>
      </c>
      <c r="C3498" t="s">
        <v>153</v>
      </c>
      <c r="D3498" t="s">
        <v>73</v>
      </c>
      <c r="E3498" t="s">
        <v>43</v>
      </c>
      <c r="F3498" s="1">
        <v>38</v>
      </c>
      <c r="G3498" t="s">
        <v>135</v>
      </c>
      <c r="H3498" t="s">
        <v>45</v>
      </c>
      <c r="I3498" t="s">
        <v>71</v>
      </c>
      <c r="J3498" t="s">
        <v>54</v>
      </c>
      <c r="K3498" s="2">
        <v>4</v>
      </c>
      <c r="L3498" t="s">
        <v>152</v>
      </c>
      <c r="M3498" t="s">
        <v>35</v>
      </c>
      <c r="N3498" t="s">
        <v>40</v>
      </c>
      <c r="O3498" t="s">
        <v>152</v>
      </c>
      <c r="P3498" t="s">
        <v>152</v>
      </c>
      <c r="Q3498" s="3">
        <v>22</v>
      </c>
      <c r="R3498" t="s">
        <v>46</v>
      </c>
      <c r="S3498" t="s">
        <v>88</v>
      </c>
    </row>
    <row r="3499" spans="1:19" x14ac:dyDescent="0.25">
      <c r="A3499">
        <v>3498</v>
      </c>
      <c r="B3499">
        <v>35</v>
      </c>
      <c r="C3499" t="s">
        <v>153</v>
      </c>
      <c r="D3499" t="s">
        <v>68</v>
      </c>
      <c r="E3499" t="s">
        <v>69</v>
      </c>
      <c r="F3499" s="1">
        <v>48</v>
      </c>
      <c r="G3499" t="s">
        <v>112</v>
      </c>
      <c r="H3499" t="s">
        <v>45</v>
      </c>
      <c r="I3499" t="s">
        <v>108</v>
      </c>
      <c r="J3499" t="s">
        <v>39</v>
      </c>
      <c r="K3499" s="2">
        <v>4.3</v>
      </c>
      <c r="L3499" t="s">
        <v>152</v>
      </c>
      <c r="M3499" t="s">
        <v>46</v>
      </c>
      <c r="N3499" t="s">
        <v>76</v>
      </c>
      <c r="O3499" t="s">
        <v>152</v>
      </c>
      <c r="P3499" t="s">
        <v>152</v>
      </c>
      <c r="Q3499" s="3">
        <v>16</v>
      </c>
      <c r="R3499" t="s">
        <v>29</v>
      </c>
      <c r="S3499" t="s">
        <v>97</v>
      </c>
    </row>
    <row r="3500" spans="1:19" x14ac:dyDescent="0.25">
      <c r="A3500">
        <v>3499</v>
      </c>
      <c r="B3500">
        <v>47</v>
      </c>
      <c r="C3500" t="s">
        <v>153</v>
      </c>
      <c r="D3500" t="s">
        <v>42</v>
      </c>
      <c r="E3500" t="s">
        <v>43</v>
      </c>
      <c r="F3500" s="1">
        <v>35</v>
      </c>
      <c r="G3500" t="s">
        <v>22</v>
      </c>
      <c r="H3500" t="s">
        <v>45</v>
      </c>
      <c r="I3500" t="s">
        <v>93</v>
      </c>
      <c r="J3500" t="s">
        <v>54</v>
      </c>
      <c r="K3500" s="2">
        <v>3.8</v>
      </c>
      <c r="L3500" t="s">
        <v>152</v>
      </c>
      <c r="M3500" t="s">
        <v>46</v>
      </c>
      <c r="N3500" t="s">
        <v>55</v>
      </c>
      <c r="O3500" t="s">
        <v>152</v>
      </c>
      <c r="P3500" t="s">
        <v>152</v>
      </c>
      <c r="Q3500" s="3">
        <v>2</v>
      </c>
      <c r="R3500" t="s">
        <v>34</v>
      </c>
      <c r="S3500" t="s">
        <v>77</v>
      </c>
    </row>
    <row r="3501" spans="1:19" x14ac:dyDescent="0.25">
      <c r="A3501">
        <v>3500</v>
      </c>
      <c r="B3501">
        <v>22</v>
      </c>
      <c r="C3501" t="s">
        <v>153</v>
      </c>
      <c r="D3501" t="s">
        <v>125</v>
      </c>
      <c r="E3501" t="s">
        <v>21</v>
      </c>
      <c r="F3501" s="1">
        <v>29</v>
      </c>
      <c r="G3501" t="s">
        <v>127</v>
      </c>
      <c r="H3501" t="s">
        <v>23</v>
      </c>
      <c r="I3501" t="s">
        <v>126</v>
      </c>
      <c r="J3501" t="s">
        <v>58</v>
      </c>
      <c r="K3501" s="2">
        <v>3</v>
      </c>
      <c r="L3501" t="s">
        <v>152</v>
      </c>
      <c r="M3501" t="s">
        <v>34</v>
      </c>
      <c r="N3501" t="s">
        <v>47</v>
      </c>
      <c r="O3501" t="s">
        <v>152</v>
      </c>
      <c r="P3501" t="s">
        <v>152</v>
      </c>
      <c r="Q3501" s="3">
        <v>13</v>
      </c>
      <c r="R3501" t="s">
        <v>46</v>
      </c>
      <c r="S3501" t="s">
        <v>97</v>
      </c>
    </row>
    <row r="3502" spans="1:19" x14ac:dyDescent="0.25">
      <c r="A3502">
        <v>3501</v>
      </c>
      <c r="B3502">
        <v>38</v>
      </c>
      <c r="C3502" t="s">
        <v>153</v>
      </c>
      <c r="D3502" t="s">
        <v>56</v>
      </c>
      <c r="E3502" t="s">
        <v>21</v>
      </c>
      <c r="F3502" s="1">
        <v>48</v>
      </c>
      <c r="G3502" t="s">
        <v>48</v>
      </c>
      <c r="H3502" t="s">
        <v>38</v>
      </c>
      <c r="I3502" t="s">
        <v>67</v>
      </c>
      <c r="J3502" t="s">
        <v>58</v>
      </c>
      <c r="K3502" s="2">
        <v>4.5999999999999996</v>
      </c>
      <c r="L3502" t="s">
        <v>152</v>
      </c>
      <c r="M3502" t="s">
        <v>27</v>
      </c>
      <c r="N3502" t="s">
        <v>47</v>
      </c>
      <c r="O3502" t="s">
        <v>152</v>
      </c>
      <c r="P3502" t="s">
        <v>152</v>
      </c>
      <c r="Q3502" s="3">
        <v>38</v>
      </c>
      <c r="R3502" t="s">
        <v>59</v>
      </c>
      <c r="S3502" t="s">
        <v>30</v>
      </c>
    </row>
    <row r="3503" spans="1:19" x14ac:dyDescent="0.25">
      <c r="A3503">
        <v>3502</v>
      </c>
      <c r="B3503">
        <v>53</v>
      </c>
      <c r="C3503" t="s">
        <v>153</v>
      </c>
      <c r="D3503" t="s">
        <v>73</v>
      </c>
      <c r="E3503" t="s">
        <v>43</v>
      </c>
      <c r="F3503" s="1">
        <v>87</v>
      </c>
      <c r="G3503" t="s">
        <v>145</v>
      </c>
      <c r="H3503" t="s">
        <v>45</v>
      </c>
      <c r="I3503" t="s">
        <v>67</v>
      </c>
      <c r="J3503" t="s">
        <v>58</v>
      </c>
      <c r="K3503" s="2">
        <v>4.8</v>
      </c>
      <c r="L3503" t="s">
        <v>152</v>
      </c>
      <c r="M3503" t="s">
        <v>34</v>
      </c>
      <c r="N3503" t="s">
        <v>55</v>
      </c>
      <c r="O3503" t="s">
        <v>152</v>
      </c>
      <c r="P3503" t="s">
        <v>152</v>
      </c>
      <c r="Q3503" s="3">
        <v>43</v>
      </c>
      <c r="R3503" t="s">
        <v>34</v>
      </c>
      <c r="S3503" t="s">
        <v>41</v>
      </c>
    </row>
    <row r="3504" spans="1:19" x14ac:dyDescent="0.25">
      <c r="A3504">
        <v>3503</v>
      </c>
      <c r="B3504">
        <v>31</v>
      </c>
      <c r="C3504" t="s">
        <v>153</v>
      </c>
      <c r="D3504" t="s">
        <v>132</v>
      </c>
      <c r="E3504" t="s">
        <v>69</v>
      </c>
      <c r="F3504" s="1">
        <v>62</v>
      </c>
      <c r="G3504" t="s">
        <v>37</v>
      </c>
      <c r="H3504" t="s">
        <v>45</v>
      </c>
      <c r="I3504" t="s">
        <v>96</v>
      </c>
      <c r="J3504" t="s">
        <v>58</v>
      </c>
      <c r="K3504" s="2">
        <v>4.7</v>
      </c>
      <c r="L3504" t="s">
        <v>152</v>
      </c>
      <c r="M3504" t="s">
        <v>34</v>
      </c>
      <c r="N3504" t="s">
        <v>47</v>
      </c>
      <c r="O3504" t="s">
        <v>152</v>
      </c>
      <c r="P3504" t="s">
        <v>152</v>
      </c>
      <c r="Q3504" s="3">
        <v>26</v>
      </c>
      <c r="R3504" t="s">
        <v>34</v>
      </c>
      <c r="S3504" t="s">
        <v>60</v>
      </c>
    </row>
    <row r="3505" spans="1:19" x14ac:dyDescent="0.25">
      <c r="A3505">
        <v>3504</v>
      </c>
      <c r="B3505">
        <v>31</v>
      </c>
      <c r="C3505" t="s">
        <v>153</v>
      </c>
      <c r="D3505" t="s">
        <v>56</v>
      </c>
      <c r="E3505" t="s">
        <v>21</v>
      </c>
      <c r="F3505" s="1">
        <v>96</v>
      </c>
      <c r="G3505" t="s">
        <v>145</v>
      </c>
      <c r="H3505" t="s">
        <v>45</v>
      </c>
      <c r="I3505" t="s">
        <v>71</v>
      </c>
      <c r="J3505" t="s">
        <v>39</v>
      </c>
      <c r="K3505" s="2">
        <v>3.9</v>
      </c>
      <c r="L3505" t="s">
        <v>152</v>
      </c>
      <c r="M3505" t="s">
        <v>35</v>
      </c>
      <c r="N3505" t="s">
        <v>40</v>
      </c>
      <c r="O3505" t="s">
        <v>152</v>
      </c>
      <c r="P3505" t="s">
        <v>152</v>
      </c>
      <c r="Q3505" s="3">
        <v>39</v>
      </c>
      <c r="R3505" t="s">
        <v>35</v>
      </c>
      <c r="S3505" t="s">
        <v>41</v>
      </c>
    </row>
    <row r="3506" spans="1:19" x14ac:dyDescent="0.25">
      <c r="A3506">
        <v>3505</v>
      </c>
      <c r="B3506">
        <v>65</v>
      </c>
      <c r="C3506" t="s">
        <v>153</v>
      </c>
      <c r="D3506" t="s">
        <v>68</v>
      </c>
      <c r="E3506" t="s">
        <v>69</v>
      </c>
      <c r="F3506" s="1">
        <v>41</v>
      </c>
      <c r="G3506" t="s">
        <v>78</v>
      </c>
      <c r="H3506" t="s">
        <v>38</v>
      </c>
      <c r="I3506" t="s">
        <v>84</v>
      </c>
      <c r="J3506" t="s">
        <v>58</v>
      </c>
      <c r="K3506" s="2">
        <v>4</v>
      </c>
      <c r="L3506" t="s">
        <v>152</v>
      </c>
      <c r="M3506" t="s">
        <v>34</v>
      </c>
      <c r="N3506" t="s">
        <v>47</v>
      </c>
      <c r="O3506" t="s">
        <v>152</v>
      </c>
      <c r="P3506" t="s">
        <v>152</v>
      </c>
      <c r="Q3506" s="3">
        <v>50</v>
      </c>
      <c r="R3506" t="s">
        <v>29</v>
      </c>
      <c r="S3506" t="s">
        <v>88</v>
      </c>
    </row>
    <row r="3507" spans="1:19" x14ac:dyDescent="0.25">
      <c r="A3507">
        <v>3506</v>
      </c>
      <c r="B3507">
        <v>48</v>
      </c>
      <c r="C3507" t="s">
        <v>153</v>
      </c>
      <c r="D3507" t="s">
        <v>106</v>
      </c>
      <c r="E3507" t="s">
        <v>69</v>
      </c>
      <c r="F3507" s="1">
        <v>42</v>
      </c>
      <c r="G3507" t="s">
        <v>116</v>
      </c>
      <c r="H3507" t="s">
        <v>23</v>
      </c>
      <c r="I3507" t="s">
        <v>108</v>
      </c>
      <c r="J3507" t="s">
        <v>25</v>
      </c>
      <c r="K3507" s="2">
        <v>3.7</v>
      </c>
      <c r="L3507" t="s">
        <v>152</v>
      </c>
      <c r="M3507" t="s">
        <v>35</v>
      </c>
      <c r="N3507" t="s">
        <v>72</v>
      </c>
      <c r="O3507" t="s">
        <v>152</v>
      </c>
      <c r="P3507" t="s">
        <v>152</v>
      </c>
      <c r="Q3507" s="3">
        <v>40</v>
      </c>
      <c r="R3507" t="s">
        <v>34</v>
      </c>
      <c r="S3507" t="s">
        <v>97</v>
      </c>
    </row>
    <row r="3508" spans="1:19" x14ac:dyDescent="0.25">
      <c r="A3508">
        <v>3507</v>
      </c>
      <c r="B3508">
        <v>18</v>
      </c>
      <c r="C3508" t="s">
        <v>153</v>
      </c>
      <c r="D3508" t="s">
        <v>56</v>
      </c>
      <c r="E3508" t="s">
        <v>21</v>
      </c>
      <c r="F3508" s="1">
        <v>57</v>
      </c>
      <c r="G3508" t="s">
        <v>115</v>
      </c>
      <c r="H3508" t="s">
        <v>23</v>
      </c>
      <c r="I3508" t="s">
        <v>79</v>
      </c>
      <c r="J3508" t="s">
        <v>25</v>
      </c>
      <c r="K3508" s="2">
        <v>3.7</v>
      </c>
      <c r="L3508" t="s">
        <v>152</v>
      </c>
      <c r="M3508" t="s">
        <v>29</v>
      </c>
      <c r="N3508" t="s">
        <v>72</v>
      </c>
      <c r="O3508" t="s">
        <v>152</v>
      </c>
      <c r="P3508" t="s">
        <v>152</v>
      </c>
      <c r="Q3508" s="3">
        <v>12</v>
      </c>
      <c r="R3508" t="s">
        <v>35</v>
      </c>
      <c r="S3508" t="s">
        <v>30</v>
      </c>
    </row>
    <row r="3509" spans="1:19" x14ac:dyDescent="0.25">
      <c r="A3509">
        <v>3508</v>
      </c>
      <c r="B3509">
        <v>46</v>
      </c>
      <c r="C3509" t="s">
        <v>153</v>
      </c>
      <c r="D3509" t="s">
        <v>68</v>
      </c>
      <c r="E3509" t="s">
        <v>69</v>
      </c>
      <c r="F3509" s="1">
        <v>65</v>
      </c>
      <c r="G3509" t="s">
        <v>112</v>
      </c>
      <c r="H3509" t="s">
        <v>38</v>
      </c>
      <c r="I3509" t="s">
        <v>75</v>
      </c>
      <c r="J3509" t="s">
        <v>39</v>
      </c>
      <c r="K3509" s="2">
        <v>4.2</v>
      </c>
      <c r="L3509" t="s">
        <v>152</v>
      </c>
      <c r="M3509" t="s">
        <v>34</v>
      </c>
      <c r="N3509" t="s">
        <v>76</v>
      </c>
      <c r="O3509" t="s">
        <v>152</v>
      </c>
      <c r="P3509" t="s">
        <v>152</v>
      </c>
      <c r="Q3509" s="3">
        <v>33</v>
      </c>
      <c r="R3509" t="s">
        <v>27</v>
      </c>
      <c r="S3509" t="s">
        <v>97</v>
      </c>
    </row>
    <row r="3510" spans="1:19" x14ac:dyDescent="0.25">
      <c r="A3510">
        <v>3509</v>
      </c>
      <c r="B3510">
        <v>52</v>
      </c>
      <c r="C3510" t="s">
        <v>153</v>
      </c>
      <c r="D3510" t="s">
        <v>95</v>
      </c>
      <c r="E3510" t="s">
        <v>21</v>
      </c>
      <c r="F3510" s="1">
        <v>54</v>
      </c>
      <c r="G3510" t="s">
        <v>138</v>
      </c>
      <c r="H3510" t="s">
        <v>45</v>
      </c>
      <c r="I3510" t="s">
        <v>24</v>
      </c>
      <c r="J3510" t="s">
        <v>58</v>
      </c>
      <c r="K3510" s="2">
        <v>4.7</v>
      </c>
      <c r="L3510" t="s">
        <v>152</v>
      </c>
      <c r="M3510" t="s">
        <v>29</v>
      </c>
      <c r="N3510" t="s">
        <v>55</v>
      </c>
      <c r="O3510" t="s">
        <v>152</v>
      </c>
      <c r="P3510" t="s">
        <v>152</v>
      </c>
      <c r="Q3510" s="3">
        <v>49</v>
      </c>
      <c r="R3510" t="s">
        <v>34</v>
      </c>
      <c r="S3510" t="s">
        <v>41</v>
      </c>
    </row>
    <row r="3511" spans="1:19" x14ac:dyDescent="0.25">
      <c r="A3511">
        <v>3510</v>
      </c>
      <c r="B3511">
        <v>50</v>
      </c>
      <c r="C3511" t="s">
        <v>153</v>
      </c>
      <c r="D3511" t="s">
        <v>113</v>
      </c>
      <c r="E3511" t="s">
        <v>21</v>
      </c>
      <c r="F3511" s="1">
        <v>22</v>
      </c>
      <c r="G3511" t="s">
        <v>123</v>
      </c>
      <c r="H3511" t="s">
        <v>23</v>
      </c>
      <c r="I3511" t="s">
        <v>110</v>
      </c>
      <c r="J3511" t="s">
        <v>25</v>
      </c>
      <c r="K3511" s="2">
        <v>4.3</v>
      </c>
      <c r="L3511" t="s">
        <v>152</v>
      </c>
      <c r="M3511" t="s">
        <v>35</v>
      </c>
      <c r="N3511" t="s">
        <v>47</v>
      </c>
      <c r="O3511" t="s">
        <v>152</v>
      </c>
      <c r="P3511" t="s">
        <v>152</v>
      </c>
      <c r="Q3511" s="3">
        <v>43</v>
      </c>
      <c r="R3511" t="s">
        <v>29</v>
      </c>
      <c r="S3511" t="s">
        <v>77</v>
      </c>
    </row>
    <row r="3512" spans="1:19" x14ac:dyDescent="0.25">
      <c r="A3512">
        <v>3511</v>
      </c>
      <c r="B3512">
        <v>49</v>
      </c>
      <c r="C3512" t="s">
        <v>153</v>
      </c>
      <c r="D3512" t="s">
        <v>51</v>
      </c>
      <c r="E3512" t="s">
        <v>43</v>
      </c>
      <c r="F3512" s="1">
        <v>96</v>
      </c>
      <c r="G3512" t="s">
        <v>138</v>
      </c>
      <c r="H3512" t="s">
        <v>38</v>
      </c>
      <c r="I3512" t="s">
        <v>121</v>
      </c>
      <c r="J3512" t="s">
        <v>58</v>
      </c>
      <c r="K3512" s="2">
        <v>4.9000000000000004</v>
      </c>
      <c r="L3512" t="s">
        <v>152</v>
      </c>
      <c r="M3512" t="s">
        <v>27</v>
      </c>
      <c r="N3512" t="s">
        <v>72</v>
      </c>
      <c r="O3512" t="s">
        <v>152</v>
      </c>
      <c r="P3512" t="s">
        <v>152</v>
      </c>
      <c r="Q3512" s="3">
        <v>14</v>
      </c>
      <c r="R3512" t="s">
        <v>29</v>
      </c>
      <c r="S3512" t="s">
        <v>88</v>
      </c>
    </row>
    <row r="3513" spans="1:19" x14ac:dyDescent="0.25">
      <c r="A3513">
        <v>3512</v>
      </c>
      <c r="B3513">
        <v>69</v>
      </c>
      <c r="C3513" t="s">
        <v>153</v>
      </c>
      <c r="D3513" t="s">
        <v>106</v>
      </c>
      <c r="E3513" t="s">
        <v>69</v>
      </c>
      <c r="F3513" s="1">
        <v>81</v>
      </c>
      <c r="G3513" t="s">
        <v>91</v>
      </c>
      <c r="H3513" t="s">
        <v>45</v>
      </c>
      <c r="I3513" t="s">
        <v>144</v>
      </c>
      <c r="J3513" t="s">
        <v>54</v>
      </c>
      <c r="K3513" s="2">
        <v>3.9</v>
      </c>
      <c r="L3513" t="s">
        <v>152</v>
      </c>
      <c r="M3513" t="s">
        <v>29</v>
      </c>
      <c r="N3513" t="s">
        <v>72</v>
      </c>
      <c r="O3513" t="s">
        <v>152</v>
      </c>
      <c r="P3513" t="s">
        <v>152</v>
      </c>
      <c r="Q3513" s="3">
        <v>21</v>
      </c>
      <c r="R3513" t="s">
        <v>27</v>
      </c>
      <c r="S3513" t="s">
        <v>97</v>
      </c>
    </row>
    <row r="3514" spans="1:19" x14ac:dyDescent="0.25">
      <c r="A3514">
        <v>3513</v>
      </c>
      <c r="B3514">
        <v>36</v>
      </c>
      <c r="C3514" t="s">
        <v>153</v>
      </c>
      <c r="D3514" t="s">
        <v>56</v>
      </c>
      <c r="E3514" t="s">
        <v>21</v>
      </c>
      <c r="F3514" s="1">
        <v>46</v>
      </c>
      <c r="G3514" t="s">
        <v>22</v>
      </c>
      <c r="H3514" t="s">
        <v>45</v>
      </c>
      <c r="I3514" t="s">
        <v>53</v>
      </c>
      <c r="J3514" t="s">
        <v>58</v>
      </c>
      <c r="K3514" s="2">
        <v>3.4</v>
      </c>
      <c r="L3514" t="s">
        <v>152</v>
      </c>
      <c r="M3514" t="s">
        <v>34</v>
      </c>
      <c r="N3514" t="s">
        <v>40</v>
      </c>
      <c r="O3514" t="s">
        <v>152</v>
      </c>
      <c r="P3514" t="s">
        <v>152</v>
      </c>
      <c r="Q3514" s="3">
        <v>31</v>
      </c>
      <c r="R3514" t="s">
        <v>59</v>
      </c>
      <c r="S3514" t="s">
        <v>60</v>
      </c>
    </row>
    <row r="3515" spans="1:19" x14ac:dyDescent="0.25">
      <c r="A3515">
        <v>3514</v>
      </c>
      <c r="B3515">
        <v>30</v>
      </c>
      <c r="C3515" t="s">
        <v>153</v>
      </c>
      <c r="D3515" t="s">
        <v>20</v>
      </c>
      <c r="E3515" t="s">
        <v>21</v>
      </c>
      <c r="F3515" s="1">
        <v>74</v>
      </c>
      <c r="G3515" t="s">
        <v>120</v>
      </c>
      <c r="H3515" t="s">
        <v>92</v>
      </c>
      <c r="I3515" t="s">
        <v>63</v>
      </c>
      <c r="J3515" t="s">
        <v>39</v>
      </c>
      <c r="K3515" s="2">
        <v>4.2</v>
      </c>
      <c r="L3515" t="s">
        <v>152</v>
      </c>
      <c r="M3515" t="s">
        <v>34</v>
      </c>
      <c r="N3515" t="s">
        <v>76</v>
      </c>
      <c r="O3515" t="s">
        <v>152</v>
      </c>
      <c r="P3515" t="s">
        <v>152</v>
      </c>
      <c r="Q3515" s="3">
        <v>29</v>
      </c>
      <c r="R3515" t="s">
        <v>27</v>
      </c>
      <c r="S3515" t="s">
        <v>30</v>
      </c>
    </row>
    <row r="3516" spans="1:19" x14ac:dyDescent="0.25">
      <c r="A3516">
        <v>3515</v>
      </c>
      <c r="B3516">
        <v>25</v>
      </c>
      <c r="C3516" t="s">
        <v>153</v>
      </c>
      <c r="D3516" t="s">
        <v>51</v>
      </c>
      <c r="E3516" t="s">
        <v>43</v>
      </c>
      <c r="F3516" s="1">
        <v>50</v>
      </c>
      <c r="G3516" t="s">
        <v>142</v>
      </c>
      <c r="H3516" t="s">
        <v>92</v>
      </c>
      <c r="I3516" t="s">
        <v>24</v>
      </c>
      <c r="J3516" t="s">
        <v>25</v>
      </c>
      <c r="K3516" s="2">
        <v>4.7</v>
      </c>
      <c r="L3516" t="s">
        <v>152</v>
      </c>
      <c r="M3516" t="s">
        <v>29</v>
      </c>
      <c r="N3516" t="s">
        <v>28</v>
      </c>
      <c r="O3516" t="s">
        <v>152</v>
      </c>
      <c r="P3516" t="s">
        <v>152</v>
      </c>
      <c r="Q3516" s="3">
        <v>32</v>
      </c>
      <c r="R3516" t="s">
        <v>35</v>
      </c>
      <c r="S3516" t="s">
        <v>88</v>
      </c>
    </row>
    <row r="3517" spans="1:19" x14ac:dyDescent="0.25">
      <c r="A3517">
        <v>3516</v>
      </c>
      <c r="B3517">
        <v>19</v>
      </c>
      <c r="C3517" t="s">
        <v>153</v>
      </c>
      <c r="D3517" t="s">
        <v>82</v>
      </c>
      <c r="E3517" t="s">
        <v>21</v>
      </c>
      <c r="F3517" s="1">
        <v>80</v>
      </c>
      <c r="G3517" t="s">
        <v>147</v>
      </c>
      <c r="H3517" t="s">
        <v>92</v>
      </c>
      <c r="I3517" t="s">
        <v>63</v>
      </c>
      <c r="J3517" t="s">
        <v>25</v>
      </c>
      <c r="K3517" s="2">
        <v>4</v>
      </c>
      <c r="L3517" t="s">
        <v>152</v>
      </c>
      <c r="M3517" t="s">
        <v>46</v>
      </c>
      <c r="N3517" t="s">
        <v>47</v>
      </c>
      <c r="O3517" t="s">
        <v>152</v>
      </c>
      <c r="P3517" t="s">
        <v>152</v>
      </c>
      <c r="Q3517" s="3">
        <v>16</v>
      </c>
      <c r="R3517" t="s">
        <v>59</v>
      </c>
      <c r="S3517" t="s">
        <v>77</v>
      </c>
    </row>
    <row r="3518" spans="1:19" x14ac:dyDescent="0.25">
      <c r="A3518">
        <v>3517</v>
      </c>
      <c r="B3518">
        <v>34</v>
      </c>
      <c r="C3518" t="s">
        <v>153</v>
      </c>
      <c r="D3518" t="s">
        <v>137</v>
      </c>
      <c r="E3518" t="s">
        <v>43</v>
      </c>
      <c r="F3518" s="1">
        <v>56</v>
      </c>
      <c r="G3518" t="s">
        <v>131</v>
      </c>
      <c r="H3518" t="s">
        <v>38</v>
      </c>
      <c r="I3518" t="s">
        <v>53</v>
      </c>
      <c r="J3518" t="s">
        <v>54</v>
      </c>
      <c r="K3518" s="2">
        <v>4</v>
      </c>
      <c r="L3518" t="s">
        <v>152</v>
      </c>
      <c r="M3518" t="s">
        <v>29</v>
      </c>
      <c r="N3518" t="s">
        <v>40</v>
      </c>
      <c r="O3518" t="s">
        <v>152</v>
      </c>
      <c r="P3518" t="s">
        <v>152</v>
      </c>
      <c r="Q3518" s="3">
        <v>38</v>
      </c>
      <c r="R3518" t="s">
        <v>46</v>
      </c>
      <c r="S3518" t="s">
        <v>77</v>
      </c>
    </row>
    <row r="3519" spans="1:19" x14ac:dyDescent="0.25">
      <c r="A3519">
        <v>3518</v>
      </c>
      <c r="B3519">
        <v>29</v>
      </c>
      <c r="C3519" t="s">
        <v>153</v>
      </c>
      <c r="D3519" t="s">
        <v>87</v>
      </c>
      <c r="E3519" t="s">
        <v>21</v>
      </c>
      <c r="F3519" s="1">
        <v>69</v>
      </c>
      <c r="G3519" t="s">
        <v>122</v>
      </c>
      <c r="H3519" t="s">
        <v>45</v>
      </c>
      <c r="I3519" t="s">
        <v>121</v>
      </c>
      <c r="J3519" t="s">
        <v>25</v>
      </c>
      <c r="K3519" s="2">
        <v>3.1</v>
      </c>
      <c r="L3519" t="s">
        <v>152</v>
      </c>
      <c r="M3519" t="s">
        <v>59</v>
      </c>
      <c r="N3519" t="s">
        <v>47</v>
      </c>
      <c r="O3519" t="s">
        <v>152</v>
      </c>
      <c r="P3519" t="s">
        <v>152</v>
      </c>
      <c r="Q3519" s="3">
        <v>34</v>
      </c>
      <c r="R3519" t="s">
        <v>59</v>
      </c>
      <c r="S3519" t="s">
        <v>97</v>
      </c>
    </row>
    <row r="3520" spans="1:19" x14ac:dyDescent="0.25">
      <c r="A3520">
        <v>3519</v>
      </c>
      <c r="B3520">
        <v>50</v>
      </c>
      <c r="C3520" t="s">
        <v>153</v>
      </c>
      <c r="D3520" t="s">
        <v>56</v>
      </c>
      <c r="E3520" t="s">
        <v>21</v>
      </c>
      <c r="F3520" s="1">
        <v>97</v>
      </c>
      <c r="G3520" t="s">
        <v>112</v>
      </c>
      <c r="H3520" t="s">
        <v>45</v>
      </c>
      <c r="I3520" t="s">
        <v>94</v>
      </c>
      <c r="J3520" t="s">
        <v>39</v>
      </c>
      <c r="K3520" s="2">
        <v>4.2</v>
      </c>
      <c r="L3520" t="s">
        <v>152</v>
      </c>
      <c r="M3520" t="s">
        <v>34</v>
      </c>
      <c r="N3520" t="s">
        <v>55</v>
      </c>
      <c r="O3520" t="s">
        <v>152</v>
      </c>
      <c r="P3520" t="s">
        <v>152</v>
      </c>
      <c r="Q3520" s="3">
        <v>30</v>
      </c>
      <c r="R3520" t="s">
        <v>46</v>
      </c>
      <c r="S3520" t="s">
        <v>60</v>
      </c>
    </row>
    <row r="3521" spans="1:19" x14ac:dyDescent="0.25">
      <c r="A3521">
        <v>3520</v>
      </c>
      <c r="B3521">
        <v>31</v>
      </c>
      <c r="C3521" t="s">
        <v>153</v>
      </c>
      <c r="D3521" t="s">
        <v>61</v>
      </c>
      <c r="E3521" t="s">
        <v>21</v>
      </c>
      <c r="F3521" s="1">
        <v>66</v>
      </c>
      <c r="G3521" t="s">
        <v>150</v>
      </c>
      <c r="H3521" t="s">
        <v>45</v>
      </c>
      <c r="I3521" t="s">
        <v>53</v>
      </c>
      <c r="J3521" t="s">
        <v>25</v>
      </c>
      <c r="K3521" s="2">
        <v>3.7</v>
      </c>
      <c r="L3521" t="s">
        <v>152</v>
      </c>
      <c r="M3521" t="s">
        <v>27</v>
      </c>
      <c r="N3521" t="s">
        <v>47</v>
      </c>
      <c r="O3521" t="s">
        <v>152</v>
      </c>
      <c r="P3521" t="s">
        <v>152</v>
      </c>
      <c r="Q3521" s="3">
        <v>14</v>
      </c>
      <c r="R3521" t="s">
        <v>34</v>
      </c>
      <c r="S3521" t="s">
        <v>30</v>
      </c>
    </row>
    <row r="3522" spans="1:19" x14ac:dyDescent="0.25">
      <c r="A3522">
        <v>3521</v>
      </c>
      <c r="B3522">
        <v>41</v>
      </c>
      <c r="C3522" t="s">
        <v>153</v>
      </c>
      <c r="D3522" t="s">
        <v>124</v>
      </c>
      <c r="E3522" t="s">
        <v>69</v>
      </c>
      <c r="F3522" s="1">
        <v>70</v>
      </c>
      <c r="G3522" t="s">
        <v>142</v>
      </c>
      <c r="H3522" t="s">
        <v>38</v>
      </c>
      <c r="I3522" t="s">
        <v>110</v>
      </c>
      <c r="J3522" t="s">
        <v>39</v>
      </c>
      <c r="K3522" s="2">
        <v>3.1</v>
      </c>
      <c r="L3522" t="s">
        <v>152</v>
      </c>
      <c r="M3522" t="s">
        <v>46</v>
      </c>
      <c r="N3522" t="s">
        <v>28</v>
      </c>
      <c r="O3522" t="s">
        <v>152</v>
      </c>
      <c r="P3522" t="s">
        <v>152</v>
      </c>
      <c r="Q3522" s="3">
        <v>33</v>
      </c>
      <c r="R3522" t="s">
        <v>34</v>
      </c>
      <c r="S3522" t="s">
        <v>88</v>
      </c>
    </row>
    <row r="3523" spans="1:19" x14ac:dyDescent="0.25">
      <c r="A3523">
        <v>3522</v>
      </c>
      <c r="B3523">
        <v>52</v>
      </c>
      <c r="C3523" t="s">
        <v>153</v>
      </c>
      <c r="D3523" t="s">
        <v>73</v>
      </c>
      <c r="E3523" t="s">
        <v>43</v>
      </c>
      <c r="F3523" s="1">
        <v>50</v>
      </c>
      <c r="G3523" t="s">
        <v>128</v>
      </c>
      <c r="H3523" t="s">
        <v>45</v>
      </c>
      <c r="I3523" t="s">
        <v>71</v>
      </c>
      <c r="J3523" t="s">
        <v>25</v>
      </c>
      <c r="K3523" s="2">
        <v>3.7</v>
      </c>
      <c r="L3523" t="s">
        <v>152</v>
      </c>
      <c r="M3523" t="s">
        <v>27</v>
      </c>
      <c r="N3523" t="s">
        <v>76</v>
      </c>
      <c r="O3523" t="s">
        <v>152</v>
      </c>
      <c r="P3523" t="s">
        <v>152</v>
      </c>
      <c r="Q3523" s="3">
        <v>35</v>
      </c>
      <c r="R3523" t="s">
        <v>29</v>
      </c>
      <c r="S3523" t="s">
        <v>41</v>
      </c>
    </row>
    <row r="3524" spans="1:19" x14ac:dyDescent="0.25">
      <c r="A3524">
        <v>3523</v>
      </c>
      <c r="B3524">
        <v>27</v>
      </c>
      <c r="C3524" t="s">
        <v>153</v>
      </c>
      <c r="D3524" t="s">
        <v>95</v>
      </c>
      <c r="E3524" t="s">
        <v>21</v>
      </c>
      <c r="F3524" s="1">
        <v>85</v>
      </c>
      <c r="G3524" t="s">
        <v>127</v>
      </c>
      <c r="H3524" t="s">
        <v>45</v>
      </c>
      <c r="I3524" t="s">
        <v>134</v>
      </c>
      <c r="J3524" t="s">
        <v>39</v>
      </c>
      <c r="K3524" s="2">
        <v>3.2</v>
      </c>
      <c r="L3524" t="s">
        <v>152</v>
      </c>
      <c r="M3524" t="s">
        <v>34</v>
      </c>
      <c r="N3524" t="s">
        <v>76</v>
      </c>
      <c r="O3524" t="s">
        <v>152</v>
      </c>
      <c r="P3524" t="s">
        <v>152</v>
      </c>
      <c r="Q3524" s="3">
        <v>13</v>
      </c>
      <c r="R3524" t="s">
        <v>35</v>
      </c>
      <c r="S3524" t="s">
        <v>60</v>
      </c>
    </row>
    <row r="3525" spans="1:19" x14ac:dyDescent="0.25">
      <c r="A3525">
        <v>3524</v>
      </c>
      <c r="B3525">
        <v>49</v>
      </c>
      <c r="C3525" t="s">
        <v>153</v>
      </c>
      <c r="D3525" t="s">
        <v>132</v>
      </c>
      <c r="E3525" t="s">
        <v>69</v>
      </c>
      <c r="F3525" s="1">
        <v>59</v>
      </c>
      <c r="G3525" t="s">
        <v>107</v>
      </c>
      <c r="H3525" t="s">
        <v>45</v>
      </c>
      <c r="I3525" t="s">
        <v>109</v>
      </c>
      <c r="J3525" t="s">
        <v>54</v>
      </c>
      <c r="K3525" s="2">
        <v>2.8</v>
      </c>
      <c r="L3525" t="s">
        <v>152</v>
      </c>
      <c r="M3525" t="s">
        <v>46</v>
      </c>
      <c r="N3525" t="s">
        <v>55</v>
      </c>
      <c r="O3525" t="s">
        <v>152</v>
      </c>
      <c r="P3525" t="s">
        <v>152</v>
      </c>
      <c r="Q3525" s="3">
        <v>30</v>
      </c>
      <c r="R3525" t="s">
        <v>35</v>
      </c>
      <c r="S3525" t="s">
        <v>30</v>
      </c>
    </row>
    <row r="3526" spans="1:19" x14ac:dyDescent="0.25">
      <c r="A3526">
        <v>3525</v>
      </c>
      <c r="B3526">
        <v>69</v>
      </c>
      <c r="C3526" t="s">
        <v>153</v>
      </c>
      <c r="D3526" t="s">
        <v>95</v>
      </c>
      <c r="E3526" t="s">
        <v>21</v>
      </c>
      <c r="F3526" s="1">
        <v>74</v>
      </c>
      <c r="G3526" t="s">
        <v>151</v>
      </c>
      <c r="H3526" t="s">
        <v>23</v>
      </c>
      <c r="I3526" t="s">
        <v>67</v>
      </c>
      <c r="J3526" t="s">
        <v>54</v>
      </c>
      <c r="K3526" s="2">
        <v>2.9</v>
      </c>
      <c r="L3526" t="s">
        <v>152</v>
      </c>
      <c r="M3526" t="s">
        <v>27</v>
      </c>
      <c r="N3526" t="s">
        <v>40</v>
      </c>
      <c r="O3526" t="s">
        <v>152</v>
      </c>
      <c r="P3526" t="s">
        <v>152</v>
      </c>
      <c r="Q3526" s="3">
        <v>30</v>
      </c>
      <c r="R3526" t="s">
        <v>27</v>
      </c>
      <c r="S3526" t="s">
        <v>88</v>
      </c>
    </row>
    <row r="3527" spans="1:19" x14ac:dyDescent="0.25">
      <c r="A3527">
        <v>3526</v>
      </c>
      <c r="B3527">
        <v>45</v>
      </c>
      <c r="C3527" t="s">
        <v>153</v>
      </c>
      <c r="D3527" t="s">
        <v>89</v>
      </c>
      <c r="E3527" t="s">
        <v>69</v>
      </c>
      <c r="F3527" s="1">
        <v>38</v>
      </c>
      <c r="G3527" t="s">
        <v>52</v>
      </c>
      <c r="H3527" t="s">
        <v>23</v>
      </c>
      <c r="I3527" t="s">
        <v>79</v>
      </c>
      <c r="J3527" t="s">
        <v>25</v>
      </c>
      <c r="K3527" s="2">
        <v>3.5</v>
      </c>
      <c r="L3527" t="s">
        <v>152</v>
      </c>
      <c r="M3527" t="s">
        <v>46</v>
      </c>
      <c r="N3527" t="s">
        <v>55</v>
      </c>
      <c r="O3527" t="s">
        <v>152</v>
      </c>
      <c r="P3527" t="s">
        <v>152</v>
      </c>
      <c r="Q3527" s="3">
        <v>47</v>
      </c>
      <c r="R3527" t="s">
        <v>34</v>
      </c>
      <c r="S3527" t="s">
        <v>50</v>
      </c>
    </row>
    <row r="3528" spans="1:19" x14ac:dyDescent="0.25">
      <c r="A3528">
        <v>3527</v>
      </c>
      <c r="B3528">
        <v>20</v>
      </c>
      <c r="C3528" t="s">
        <v>153</v>
      </c>
      <c r="D3528" t="s">
        <v>31</v>
      </c>
      <c r="E3528" t="s">
        <v>21</v>
      </c>
      <c r="F3528" s="1">
        <v>99</v>
      </c>
      <c r="G3528" t="s">
        <v>37</v>
      </c>
      <c r="H3528" t="s">
        <v>45</v>
      </c>
      <c r="I3528" t="s">
        <v>79</v>
      </c>
      <c r="J3528" t="s">
        <v>39</v>
      </c>
      <c r="K3528" s="2">
        <v>3.8</v>
      </c>
      <c r="L3528" t="s">
        <v>152</v>
      </c>
      <c r="M3528" t="s">
        <v>46</v>
      </c>
      <c r="N3528" t="s">
        <v>28</v>
      </c>
      <c r="O3528" t="s">
        <v>152</v>
      </c>
      <c r="P3528" t="s">
        <v>152</v>
      </c>
      <c r="Q3528" s="3">
        <v>1</v>
      </c>
      <c r="R3528" t="s">
        <v>46</v>
      </c>
      <c r="S3528" t="s">
        <v>97</v>
      </c>
    </row>
    <row r="3529" spans="1:19" x14ac:dyDescent="0.25">
      <c r="A3529">
        <v>3528</v>
      </c>
      <c r="B3529">
        <v>25</v>
      </c>
      <c r="C3529" t="s">
        <v>153</v>
      </c>
      <c r="D3529" t="s">
        <v>20</v>
      </c>
      <c r="E3529" t="s">
        <v>21</v>
      </c>
      <c r="F3529" s="1">
        <v>97</v>
      </c>
      <c r="G3529" t="s">
        <v>149</v>
      </c>
      <c r="H3529" t="s">
        <v>38</v>
      </c>
      <c r="I3529" t="s">
        <v>63</v>
      </c>
      <c r="J3529" t="s">
        <v>39</v>
      </c>
      <c r="K3529" s="2">
        <v>4.7</v>
      </c>
      <c r="L3529" t="s">
        <v>152</v>
      </c>
      <c r="M3529" t="s">
        <v>35</v>
      </c>
      <c r="N3529" t="s">
        <v>40</v>
      </c>
      <c r="O3529" t="s">
        <v>152</v>
      </c>
      <c r="P3529" t="s">
        <v>152</v>
      </c>
      <c r="Q3529" s="3">
        <v>1</v>
      </c>
      <c r="R3529" t="s">
        <v>35</v>
      </c>
      <c r="S3529" t="s">
        <v>41</v>
      </c>
    </row>
    <row r="3530" spans="1:19" x14ac:dyDescent="0.25">
      <c r="A3530">
        <v>3529</v>
      </c>
      <c r="B3530">
        <v>38</v>
      </c>
      <c r="C3530" t="s">
        <v>153</v>
      </c>
      <c r="D3530" t="s">
        <v>119</v>
      </c>
      <c r="E3530" t="s">
        <v>69</v>
      </c>
      <c r="F3530" s="1">
        <v>67</v>
      </c>
      <c r="G3530" t="s">
        <v>32</v>
      </c>
      <c r="H3530" t="s">
        <v>23</v>
      </c>
      <c r="I3530" t="s">
        <v>24</v>
      </c>
      <c r="J3530" t="s">
        <v>54</v>
      </c>
      <c r="K3530" s="2">
        <v>4.5</v>
      </c>
      <c r="L3530" t="s">
        <v>152</v>
      </c>
      <c r="M3530" t="s">
        <v>35</v>
      </c>
      <c r="N3530" t="s">
        <v>40</v>
      </c>
      <c r="O3530" t="s">
        <v>152</v>
      </c>
      <c r="P3530" t="s">
        <v>152</v>
      </c>
      <c r="Q3530" s="3">
        <v>33</v>
      </c>
      <c r="R3530" t="s">
        <v>46</v>
      </c>
      <c r="S3530" t="s">
        <v>50</v>
      </c>
    </row>
    <row r="3531" spans="1:19" x14ac:dyDescent="0.25">
      <c r="A3531">
        <v>3530</v>
      </c>
      <c r="B3531">
        <v>55</v>
      </c>
      <c r="C3531" t="s">
        <v>153</v>
      </c>
      <c r="D3531" t="s">
        <v>113</v>
      </c>
      <c r="E3531" t="s">
        <v>21</v>
      </c>
      <c r="F3531" s="1">
        <v>20</v>
      </c>
      <c r="G3531" t="s">
        <v>57</v>
      </c>
      <c r="H3531" t="s">
        <v>38</v>
      </c>
      <c r="I3531" t="s">
        <v>33</v>
      </c>
      <c r="J3531" t="s">
        <v>25</v>
      </c>
      <c r="K3531" s="2">
        <v>3.9</v>
      </c>
      <c r="L3531" t="s">
        <v>152</v>
      </c>
      <c r="M3531" t="s">
        <v>27</v>
      </c>
      <c r="N3531" t="s">
        <v>47</v>
      </c>
      <c r="O3531" t="s">
        <v>152</v>
      </c>
      <c r="P3531" t="s">
        <v>152</v>
      </c>
      <c r="Q3531" s="3">
        <v>43</v>
      </c>
      <c r="R3531" t="s">
        <v>34</v>
      </c>
      <c r="S3531" t="s">
        <v>41</v>
      </c>
    </row>
    <row r="3532" spans="1:19" x14ac:dyDescent="0.25">
      <c r="A3532">
        <v>3531</v>
      </c>
      <c r="B3532">
        <v>62</v>
      </c>
      <c r="C3532" t="s">
        <v>153</v>
      </c>
      <c r="D3532" t="s">
        <v>89</v>
      </c>
      <c r="E3532" t="s">
        <v>69</v>
      </c>
      <c r="F3532" s="1">
        <v>45</v>
      </c>
      <c r="G3532" t="s">
        <v>101</v>
      </c>
      <c r="H3532" t="s">
        <v>23</v>
      </c>
      <c r="I3532" t="s">
        <v>94</v>
      </c>
      <c r="J3532" t="s">
        <v>39</v>
      </c>
      <c r="K3532" s="2">
        <v>3.4</v>
      </c>
      <c r="L3532" t="s">
        <v>152</v>
      </c>
      <c r="M3532" t="s">
        <v>34</v>
      </c>
      <c r="N3532" t="s">
        <v>28</v>
      </c>
      <c r="O3532" t="s">
        <v>152</v>
      </c>
      <c r="P3532" t="s">
        <v>152</v>
      </c>
      <c r="Q3532" s="3">
        <v>37</v>
      </c>
      <c r="R3532" t="s">
        <v>46</v>
      </c>
      <c r="S3532" t="s">
        <v>41</v>
      </c>
    </row>
    <row r="3533" spans="1:19" x14ac:dyDescent="0.25">
      <c r="A3533">
        <v>3532</v>
      </c>
      <c r="B3533">
        <v>54</v>
      </c>
      <c r="C3533" t="s">
        <v>153</v>
      </c>
      <c r="D3533" t="s">
        <v>73</v>
      </c>
      <c r="E3533" t="s">
        <v>43</v>
      </c>
      <c r="F3533" s="1">
        <v>52</v>
      </c>
      <c r="G3533" t="s">
        <v>114</v>
      </c>
      <c r="H3533" t="s">
        <v>92</v>
      </c>
      <c r="I3533" t="s">
        <v>84</v>
      </c>
      <c r="J3533" t="s">
        <v>25</v>
      </c>
      <c r="K3533" s="2">
        <v>4.5999999999999996</v>
      </c>
      <c r="L3533" t="s">
        <v>152</v>
      </c>
      <c r="M3533" t="s">
        <v>27</v>
      </c>
      <c r="N3533" t="s">
        <v>72</v>
      </c>
      <c r="O3533" t="s">
        <v>152</v>
      </c>
      <c r="P3533" t="s">
        <v>152</v>
      </c>
      <c r="Q3533" s="3">
        <v>23</v>
      </c>
      <c r="R3533" t="s">
        <v>35</v>
      </c>
      <c r="S3533" t="s">
        <v>60</v>
      </c>
    </row>
    <row r="3534" spans="1:19" x14ac:dyDescent="0.25">
      <c r="A3534">
        <v>3533</v>
      </c>
      <c r="B3534">
        <v>61</v>
      </c>
      <c r="C3534" t="s">
        <v>153</v>
      </c>
      <c r="D3534" t="s">
        <v>95</v>
      </c>
      <c r="E3534" t="s">
        <v>21</v>
      </c>
      <c r="F3534" s="1">
        <v>68</v>
      </c>
      <c r="G3534" t="s">
        <v>139</v>
      </c>
      <c r="H3534" t="s">
        <v>23</v>
      </c>
      <c r="I3534" t="s">
        <v>126</v>
      </c>
      <c r="J3534" t="s">
        <v>58</v>
      </c>
      <c r="K3534" s="2">
        <v>4.5999999999999996</v>
      </c>
      <c r="L3534" t="s">
        <v>152</v>
      </c>
      <c r="M3534" t="s">
        <v>27</v>
      </c>
      <c r="N3534" t="s">
        <v>55</v>
      </c>
      <c r="O3534" t="s">
        <v>152</v>
      </c>
      <c r="P3534" t="s">
        <v>152</v>
      </c>
      <c r="Q3534" s="3">
        <v>12</v>
      </c>
      <c r="R3534" t="s">
        <v>27</v>
      </c>
      <c r="S3534" t="s">
        <v>50</v>
      </c>
    </row>
    <row r="3535" spans="1:19" x14ac:dyDescent="0.25">
      <c r="A3535">
        <v>3534</v>
      </c>
      <c r="B3535">
        <v>50</v>
      </c>
      <c r="C3535" t="s">
        <v>153</v>
      </c>
      <c r="D3535" t="s">
        <v>51</v>
      </c>
      <c r="E3535" t="s">
        <v>43</v>
      </c>
      <c r="F3535" s="1">
        <v>98</v>
      </c>
      <c r="G3535" t="s">
        <v>105</v>
      </c>
      <c r="H3535" t="s">
        <v>23</v>
      </c>
      <c r="I3535" t="s">
        <v>134</v>
      </c>
      <c r="J3535" t="s">
        <v>58</v>
      </c>
      <c r="K3535" s="2">
        <v>4.7</v>
      </c>
      <c r="L3535" t="s">
        <v>152</v>
      </c>
      <c r="M3535" t="s">
        <v>29</v>
      </c>
      <c r="N3535" t="s">
        <v>55</v>
      </c>
      <c r="O3535" t="s">
        <v>152</v>
      </c>
      <c r="P3535" t="s">
        <v>152</v>
      </c>
      <c r="Q3535" s="3">
        <v>30</v>
      </c>
      <c r="R3535" t="s">
        <v>29</v>
      </c>
      <c r="S3535" t="s">
        <v>30</v>
      </c>
    </row>
    <row r="3536" spans="1:19" x14ac:dyDescent="0.25">
      <c r="A3536">
        <v>3535</v>
      </c>
      <c r="B3536">
        <v>65</v>
      </c>
      <c r="C3536" t="s">
        <v>153</v>
      </c>
      <c r="D3536" t="s">
        <v>73</v>
      </c>
      <c r="E3536" t="s">
        <v>43</v>
      </c>
      <c r="F3536" s="1">
        <v>83</v>
      </c>
      <c r="G3536" t="s">
        <v>80</v>
      </c>
      <c r="H3536" t="s">
        <v>45</v>
      </c>
      <c r="I3536" t="s">
        <v>24</v>
      </c>
      <c r="J3536" t="s">
        <v>58</v>
      </c>
      <c r="K3536" s="2">
        <v>3.2</v>
      </c>
      <c r="L3536" t="s">
        <v>152</v>
      </c>
      <c r="M3536" t="s">
        <v>29</v>
      </c>
      <c r="N3536" t="s">
        <v>28</v>
      </c>
      <c r="O3536" t="s">
        <v>152</v>
      </c>
      <c r="P3536" t="s">
        <v>152</v>
      </c>
      <c r="Q3536" s="3">
        <v>7</v>
      </c>
      <c r="R3536" t="s">
        <v>35</v>
      </c>
      <c r="S3536" t="s">
        <v>41</v>
      </c>
    </row>
    <row r="3537" spans="1:19" x14ac:dyDescent="0.25">
      <c r="A3537">
        <v>3536</v>
      </c>
      <c r="B3537">
        <v>68</v>
      </c>
      <c r="C3537" t="s">
        <v>153</v>
      </c>
      <c r="D3537" t="s">
        <v>61</v>
      </c>
      <c r="E3537" t="s">
        <v>21</v>
      </c>
      <c r="F3537" s="1">
        <v>51</v>
      </c>
      <c r="G3537" t="s">
        <v>91</v>
      </c>
      <c r="H3537" t="s">
        <v>45</v>
      </c>
      <c r="I3537" t="s">
        <v>108</v>
      </c>
      <c r="J3537" t="s">
        <v>54</v>
      </c>
      <c r="K3537" s="2">
        <v>5</v>
      </c>
      <c r="L3537" t="s">
        <v>152</v>
      </c>
      <c r="M3537" t="s">
        <v>34</v>
      </c>
      <c r="N3537" t="s">
        <v>28</v>
      </c>
      <c r="O3537" t="s">
        <v>152</v>
      </c>
      <c r="P3537" t="s">
        <v>152</v>
      </c>
      <c r="Q3537" s="3">
        <v>20</v>
      </c>
      <c r="R3537" t="s">
        <v>59</v>
      </c>
      <c r="S3537" t="s">
        <v>88</v>
      </c>
    </row>
    <row r="3538" spans="1:19" x14ac:dyDescent="0.25">
      <c r="A3538">
        <v>3537</v>
      </c>
      <c r="B3538">
        <v>55</v>
      </c>
      <c r="C3538" t="s">
        <v>153</v>
      </c>
      <c r="D3538" t="s">
        <v>68</v>
      </c>
      <c r="E3538" t="s">
        <v>69</v>
      </c>
      <c r="F3538" s="1">
        <v>21</v>
      </c>
      <c r="G3538" t="s">
        <v>148</v>
      </c>
      <c r="H3538" t="s">
        <v>23</v>
      </c>
      <c r="I3538" t="s">
        <v>100</v>
      </c>
      <c r="J3538" t="s">
        <v>39</v>
      </c>
      <c r="K3538" s="2">
        <v>4.5</v>
      </c>
      <c r="L3538" t="s">
        <v>152</v>
      </c>
      <c r="M3538" t="s">
        <v>29</v>
      </c>
      <c r="N3538" t="s">
        <v>28</v>
      </c>
      <c r="O3538" t="s">
        <v>152</v>
      </c>
      <c r="P3538" t="s">
        <v>152</v>
      </c>
      <c r="Q3538" s="3">
        <v>10</v>
      </c>
      <c r="R3538" t="s">
        <v>29</v>
      </c>
      <c r="S3538" t="s">
        <v>88</v>
      </c>
    </row>
    <row r="3539" spans="1:19" x14ac:dyDescent="0.25">
      <c r="A3539">
        <v>3538</v>
      </c>
      <c r="B3539">
        <v>57</v>
      </c>
      <c r="C3539" t="s">
        <v>153</v>
      </c>
      <c r="D3539" t="s">
        <v>68</v>
      </c>
      <c r="E3539" t="s">
        <v>69</v>
      </c>
      <c r="F3539" s="1">
        <v>92</v>
      </c>
      <c r="G3539" t="s">
        <v>142</v>
      </c>
      <c r="H3539" t="s">
        <v>45</v>
      </c>
      <c r="I3539" t="s">
        <v>24</v>
      </c>
      <c r="J3539" t="s">
        <v>39</v>
      </c>
      <c r="K3539" s="2">
        <v>3.5</v>
      </c>
      <c r="L3539" t="s">
        <v>152</v>
      </c>
      <c r="M3539" t="s">
        <v>29</v>
      </c>
      <c r="N3539" t="s">
        <v>55</v>
      </c>
      <c r="O3539" t="s">
        <v>152</v>
      </c>
      <c r="P3539" t="s">
        <v>152</v>
      </c>
      <c r="Q3539" s="3">
        <v>40</v>
      </c>
      <c r="R3539" t="s">
        <v>27</v>
      </c>
      <c r="S3539" t="s">
        <v>97</v>
      </c>
    </row>
    <row r="3540" spans="1:19" x14ac:dyDescent="0.25">
      <c r="A3540">
        <v>3539</v>
      </c>
      <c r="B3540">
        <v>56</v>
      </c>
      <c r="C3540" t="s">
        <v>153</v>
      </c>
      <c r="D3540" t="s">
        <v>73</v>
      </c>
      <c r="E3540" t="s">
        <v>43</v>
      </c>
      <c r="F3540" s="1">
        <v>63</v>
      </c>
      <c r="G3540" t="s">
        <v>146</v>
      </c>
      <c r="H3540" t="s">
        <v>38</v>
      </c>
      <c r="I3540" t="s">
        <v>53</v>
      </c>
      <c r="J3540" t="s">
        <v>39</v>
      </c>
      <c r="K3540" s="2">
        <v>4.5</v>
      </c>
      <c r="L3540" t="s">
        <v>152</v>
      </c>
      <c r="M3540" t="s">
        <v>29</v>
      </c>
      <c r="N3540" t="s">
        <v>76</v>
      </c>
      <c r="O3540" t="s">
        <v>152</v>
      </c>
      <c r="P3540" t="s">
        <v>152</v>
      </c>
      <c r="Q3540" s="3">
        <v>21</v>
      </c>
      <c r="R3540" t="s">
        <v>29</v>
      </c>
      <c r="S3540" t="s">
        <v>88</v>
      </c>
    </row>
    <row r="3541" spans="1:19" x14ac:dyDescent="0.25">
      <c r="A3541">
        <v>3540</v>
      </c>
      <c r="B3541">
        <v>29</v>
      </c>
      <c r="C3541" t="s">
        <v>153</v>
      </c>
      <c r="D3541" t="s">
        <v>106</v>
      </c>
      <c r="E3541" t="s">
        <v>69</v>
      </c>
      <c r="F3541" s="1">
        <v>56</v>
      </c>
      <c r="G3541" t="s">
        <v>85</v>
      </c>
      <c r="H3541" t="s">
        <v>38</v>
      </c>
      <c r="I3541" t="s">
        <v>96</v>
      </c>
      <c r="J3541" t="s">
        <v>39</v>
      </c>
      <c r="K3541" s="2">
        <v>3.2</v>
      </c>
      <c r="L3541" t="s">
        <v>152</v>
      </c>
      <c r="M3541" t="s">
        <v>29</v>
      </c>
      <c r="N3541" t="s">
        <v>28</v>
      </c>
      <c r="O3541" t="s">
        <v>152</v>
      </c>
      <c r="P3541" t="s">
        <v>152</v>
      </c>
      <c r="Q3541" s="3">
        <v>17</v>
      </c>
      <c r="R3541" t="s">
        <v>27</v>
      </c>
      <c r="S3541" t="s">
        <v>77</v>
      </c>
    </row>
    <row r="3542" spans="1:19" x14ac:dyDescent="0.25">
      <c r="A3542">
        <v>3541</v>
      </c>
      <c r="B3542">
        <v>24</v>
      </c>
      <c r="C3542" t="s">
        <v>153</v>
      </c>
      <c r="D3542" t="s">
        <v>61</v>
      </c>
      <c r="E3542" t="s">
        <v>21</v>
      </c>
      <c r="F3542" s="1">
        <v>95</v>
      </c>
      <c r="G3542" t="s">
        <v>107</v>
      </c>
      <c r="H3542" t="s">
        <v>45</v>
      </c>
      <c r="I3542" t="s">
        <v>136</v>
      </c>
      <c r="J3542" t="s">
        <v>39</v>
      </c>
      <c r="K3542" s="2">
        <v>4.5999999999999996</v>
      </c>
      <c r="L3542" t="s">
        <v>152</v>
      </c>
      <c r="M3542" t="s">
        <v>34</v>
      </c>
      <c r="N3542" t="s">
        <v>40</v>
      </c>
      <c r="O3542" t="s">
        <v>152</v>
      </c>
      <c r="P3542" t="s">
        <v>152</v>
      </c>
      <c r="Q3542" s="3">
        <v>5</v>
      </c>
      <c r="R3542" t="s">
        <v>34</v>
      </c>
      <c r="S3542" t="s">
        <v>41</v>
      </c>
    </row>
    <row r="3543" spans="1:19" x14ac:dyDescent="0.25">
      <c r="A3543">
        <v>3542</v>
      </c>
      <c r="B3543">
        <v>59</v>
      </c>
      <c r="C3543" t="s">
        <v>153</v>
      </c>
      <c r="D3543" t="s">
        <v>20</v>
      </c>
      <c r="E3543" t="s">
        <v>21</v>
      </c>
      <c r="F3543" s="1">
        <v>66</v>
      </c>
      <c r="G3543" t="s">
        <v>141</v>
      </c>
      <c r="H3543" t="s">
        <v>45</v>
      </c>
      <c r="I3543" t="s">
        <v>79</v>
      </c>
      <c r="J3543" t="s">
        <v>25</v>
      </c>
      <c r="K3543" s="2">
        <v>4</v>
      </c>
      <c r="L3543" t="s">
        <v>152</v>
      </c>
      <c r="M3543" t="s">
        <v>35</v>
      </c>
      <c r="N3543" t="s">
        <v>47</v>
      </c>
      <c r="O3543" t="s">
        <v>152</v>
      </c>
      <c r="P3543" t="s">
        <v>152</v>
      </c>
      <c r="Q3543" s="3">
        <v>22</v>
      </c>
      <c r="R3543" t="s">
        <v>46</v>
      </c>
      <c r="S3543" t="s">
        <v>50</v>
      </c>
    </row>
    <row r="3544" spans="1:19" x14ac:dyDescent="0.25">
      <c r="A3544">
        <v>3543</v>
      </c>
      <c r="B3544">
        <v>62</v>
      </c>
      <c r="C3544" t="s">
        <v>153</v>
      </c>
      <c r="D3544" t="s">
        <v>64</v>
      </c>
      <c r="E3544" t="s">
        <v>65</v>
      </c>
      <c r="F3544" s="1">
        <v>28</v>
      </c>
      <c r="G3544" t="s">
        <v>135</v>
      </c>
      <c r="H3544" t="s">
        <v>38</v>
      </c>
      <c r="I3544" t="s">
        <v>79</v>
      </c>
      <c r="J3544" t="s">
        <v>39</v>
      </c>
      <c r="K3544" s="2">
        <v>4.2</v>
      </c>
      <c r="L3544" t="s">
        <v>152</v>
      </c>
      <c r="M3544" t="s">
        <v>34</v>
      </c>
      <c r="N3544" t="s">
        <v>28</v>
      </c>
      <c r="O3544" t="s">
        <v>152</v>
      </c>
      <c r="P3544" t="s">
        <v>152</v>
      </c>
      <c r="Q3544" s="3">
        <v>5</v>
      </c>
      <c r="R3544" t="s">
        <v>29</v>
      </c>
      <c r="S3544" t="s">
        <v>41</v>
      </c>
    </row>
    <row r="3545" spans="1:19" x14ac:dyDescent="0.25">
      <c r="A3545">
        <v>3544</v>
      </c>
      <c r="B3545">
        <v>58</v>
      </c>
      <c r="C3545" t="s">
        <v>153</v>
      </c>
      <c r="D3545" t="s">
        <v>124</v>
      </c>
      <c r="E3545" t="s">
        <v>69</v>
      </c>
      <c r="F3545" s="1">
        <v>83</v>
      </c>
      <c r="G3545" t="s">
        <v>112</v>
      </c>
      <c r="H3545" t="s">
        <v>45</v>
      </c>
      <c r="I3545" t="s">
        <v>144</v>
      </c>
      <c r="J3545" t="s">
        <v>25</v>
      </c>
      <c r="K3545" s="2">
        <v>4.0999999999999996</v>
      </c>
      <c r="L3545" t="s">
        <v>152</v>
      </c>
      <c r="M3545" t="s">
        <v>27</v>
      </c>
      <c r="N3545" t="s">
        <v>55</v>
      </c>
      <c r="O3545" t="s">
        <v>152</v>
      </c>
      <c r="P3545" t="s">
        <v>152</v>
      </c>
      <c r="Q3545" s="3">
        <v>18</v>
      </c>
      <c r="R3545" t="s">
        <v>46</v>
      </c>
      <c r="S3545" t="s">
        <v>97</v>
      </c>
    </row>
    <row r="3546" spans="1:19" x14ac:dyDescent="0.25">
      <c r="A3546">
        <v>3545</v>
      </c>
      <c r="B3546">
        <v>64</v>
      </c>
      <c r="C3546" t="s">
        <v>153</v>
      </c>
      <c r="D3546" t="s">
        <v>125</v>
      </c>
      <c r="E3546" t="s">
        <v>21</v>
      </c>
      <c r="F3546" s="1">
        <v>55</v>
      </c>
      <c r="G3546" t="s">
        <v>150</v>
      </c>
      <c r="H3546" t="s">
        <v>92</v>
      </c>
      <c r="I3546" t="s">
        <v>63</v>
      </c>
      <c r="J3546" t="s">
        <v>58</v>
      </c>
      <c r="K3546" s="2">
        <v>3.6</v>
      </c>
      <c r="L3546" t="s">
        <v>152</v>
      </c>
      <c r="M3546" t="s">
        <v>46</v>
      </c>
      <c r="N3546" t="s">
        <v>72</v>
      </c>
      <c r="O3546" t="s">
        <v>152</v>
      </c>
      <c r="P3546" t="s">
        <v>152</v>
      </c>
      <c r="Q3546" s="3">
        <v>42</v>
      </c>
      <c r="R3546" t="s">
        <v>35</v>
      </c>
      <c r="S3546" t="s">
        <v>97</v>
      </c>
    </row>
    <row r="3547" spans="1:19" x14ac:dyDescent="0.25">
      <c r="A3547">
        <v>3546</v>
      </c>
      <c r="B3547">
        <v>48</v>
      </c>
      <c r="C3547" t="s">
        <v>153</v>
      </c>
      <c r="D3547" t="s">
        <v>42</v>
      </c>
      <c r="E3547" t="s">
        <v>43</v>
      </c>
      <c r="F3547" s="1">
        <v>28</v>
      </c>
      <c r="G3547" t="s">
        <v>139</v>
      </c>
      <c r="H3547" t="s">
        <v>45</v>
      </c>
      <c r="I3547" t="s">
        <v>134</v>
      </c>
      <c r="J3547" t="s">
        <v>39</v>
      </c>
      <c r="K3547" s="2">
        <v>3.7</v>
      </c>
      <c r="L3547" t="s">
        <v>152</v>
      </c>
      <c r="M3547" t="s">
        <v>29</v>
      </c>
      <c r="N3547" t="s">
        <v>72</v>
      </c>
      <c r="O3547" t="s">
        <v>152</v>
      </c>
      <c r="P3547" t="s">
        <v>152</v>
      </c>
      <c r="Q3547" s="3">
        <v>22</v>
      </c>
      <c r="R3547" t="s">
        <v>59</v>
      </c>
      <c r="S3547" t="s">
        <v>50</v>
      </c>
    </row>
    <row r="3548" spans="1:19" x14ac:dyDescent="0.25">
      <c r="A3548">
        <v>3547</v>
      </c>
      <c r="B3548">
        <v>60</v>
      </c>
      <c r="C3548" t="s">
        <v>153</v>
      </c>
      <c r="D3548" t="s">
        <v>119</v>
      </c>
      <c r="E3548" t="s">
        <v>69</v>
      </c>
      <c r="F3548" s="1">
        <v>79</v>
      </c>
      <c r="G3548" t="s">
        <v>111</v>
      </c>
      <c r="H3548" t="s">
        <v>45</v>
      </c>
      <c r="I3548" t="s">
        <v>84</v>
      </c>
      <c r="J3548" t="s">
        <v>54</v>
      </c>
      <c r="K3548" s="2">
        <v>3.6</v>
      </c>
      <c r="L3548" t="s">
        <v>152</v>
      </c>
      <c r="M3548" t="s">
        <v>34</v>
      </c>
      <c r="N3548" t="s">
        <v>40</v>
      </c>
      <c r="O3548" t="s">
        <v>152</v>
      </c>
      <c r="P3548" t="s">
        <v>152</v>
      </c>
      <c r="Q3548" s="3">
        <v>37</v>
      </c>
      <c r="R3548" t="s">
        <v>34</v>
      </c>
      <c r="S3548" t="s">
        <v>77</v>
      </c>
    </row>
    <row r="3549" spans="1:19" x14ac:dyDescent="0.25">
      <c r="A3549">
        <v>3548</v>
      </c>
      <c r="B3549">
        <v>52</v>
      </c>
      <c r="C3549" t="s">
        <v>153</v>
      </c>
      <c r="D3549" t="s">
        <v>119</v>
      </c>
      <c r="E3549" t="s">
        <v>69</v>
      </c>
      <c r="F3549" s="1">
        <v>31</v>
      </c>
      <c r="G3549" t="s">
        <v>138</v>
      </c>
      <c r="H3549" t="s">
        <v>23</v>
      </c>
      <c r="I3549" t="s">
        <v>136</v>
      </c>
      <c r="J3549" t="s">
        <v>54</v>
      </c>
      <c r="K3549" s="2">
        <v>3.8</v>
      </c>
      <c r="L3549" t="s">
        <v>152</v>
      </c>
      <c r="M3549" t="s">
        <v>59</v>
      </c>
      <c r="N3549" t="s">
        <v>55</v>
      </c>
      <c r="O3549" t="s">
        <v>152</v>
      </c>
      <c r="P3549" t="s">
        <v>152</v>
      </c>
      <c r="Q3549" s="3">
        <v>23</v>
      </c>
      <c r="R3549" t="s">
        <v>27</v>
      </c>
      <c r="S3549" t="s">
        <v>50</v>
      </c>
    </row>
    <row r="3550" spans="1:19" x14ac:dyDescent="0.25">
      <c r="A3550">
        <v>3549</v>
      </c>
      <c r="B3550">
        <v>63</v>
      </c>
      <c r="C3550" t="s">
        <v>153</v>
      </c>
      <c r="D3550" t="s">
        <v>20</v>
      </c>
      <c r="E3550" t="s">
        <v>21</v>
      </c>
      <c r="F3550" s="1">
        <v>37</v>
      </c>
      <c r="G3550" t="s">
        <v>140</v>
      </c>
      <c r="H3550" t="s">
        <v>45</v>
      </c>
      <c r="I3550" t="s">
        <v>108</v>
      </c>
      <c r="J3550" t="s">
        <v>58</v>
      </c>
      <c r="K3550" s="2">
        <v>3</v>
      </c>
      <c r="L3550" t="s">
        <v>152</v>
      </c>
      <c r="M3550" t="s">
        <v>29</v>
      </c>
      <c r="N3550" t="s">
        <v>55</v>
      </c>
      <c r="O3550" t="s">
        <v>152</v>
      </c>
      <c r="P3550" t="s">
        <v>152</v>
      </c>
      <c r="Q3550" s="3">
        <v>47</v>
      </c>
      <c r="R3550" t="s">
        <v>59</v>
      </c>
      <c r="S3550" t="s">
        <v>30</v>
      </c>
    </row>
    <row r="3551" spans="1:19" x14ac:dyDescent="0.25">
      <c r="A3551">
        <v>3550</v>
      </c>
      <c r="B3551">
        <v>44</v>
      </c>
      <c r="C3551" t="s">
        <v>153</v>
      </c>
      <c r="D3551" t="s">
        <v>113</v>
      </c>
      <c r="E3551" t="s">
        <v>21</v>
      </c>
      <c r="F3551" s="1">
        <v>34</v>
      </c>
      <c r="G3551" t="s">
        <v>48</v>
      </c>
      <c r="H3551" t="s">
        <v>45</v>
      </c>
      <c r="I3551" t="s">
        <v>109</v>
      </c>
      <c r="J3551" t="s">
        <v>54</v>
      </c>
      <c r="K3551" s="2">
        <v>3.4</v>
      </c>
      <c r="L3551" t="s">
        <v>152</v>
      </c>
      <c r="M3551" t="s">
        <v>27</v>
      </c>
      <c r="N3551" t="s">
        <v>72</v>
      </c>
      <c r="O3551" t="s">
        <v>152</v>
      </c>
      <c r="P3551" t="s">
        <v>152</v>
      </c>
      <c r="Q3551" s="3">
        <v>11</v>
      </c>
      <c r="R3551" t="s">
        <v>34</v>
      </c>
      <c r="S3551" t="s">
        <v>30</v>
      </c>
    </row>
    <row r="3552" spans="1:19" x14ac:dyDescent="0.25">
      <c r="A3552">
        <v>3551</v>
      </c>
      <c r="B3552">
        <v>63</v>
      </c>
      <c r="C3552" t="s">
        <v>153</v>
      </c>
      <c r="D3552" t="s">
        <v>73</v>
      </c>
      <c r="E3552" t="s">
        <v>43</v>
      </c>
      <c r="F3552" s="1">
        <v>74</v>
      </c>
      <c r="G3552" t="s">
        <v>66</v>
      </c>
      <c r="H3552" t="s">
        <v>38</v>
      </c>
      <c r="I3552" t="s">
        <v>121</v>
      </c>
      <c r="J3552" t="s">
        <v>25</v>
      </c>
      <c r="K3552" s="2">
        <v>4.8</v>
      </c>
      <c r="L3552" t="s">
        <v>152</v>
      </c>
      <c r="M3552" t="s">
        <v>29</v>
      </c>
      <c r="N3552" t="s">
        <v>55</v>
      </c>
      <c r="O3552" t="s">
        <v>152</v>
      </c>
      <c r="P3552" t="s">
        <v>152</v>
      </c>
      <c r="Q3552" s="3">
        <v>32</v>
      </c>
      <c r="R3552" t="s">
        <v>35</v>
      </c>
      <c r="S3552" t="s">
        <v>41</v>
      </c>
    </row>
    <row r="3553" spans="1:19" x14ac:dyDescent="0.25">
      <c r="A3553">
        <v>3552</v>
      </c>
      <c r="B3553">
        <v>66</v>
      </c>
      <c r="C3553" t="s">
        <v>153</v>
      </c>
      <c r="D3553" t="s">
        <v>143</v>
      </c>
      <c r="E3553" t="s">
        <v>69</v>
      </c>
      <c r="F3553" s="1">
        <v>31</v>
      </c>
      <c r="G3553" t="s">
        <v>57</v>
      </c>
      <c r="H3553" t="s">
        <v>23</v>
      </c>
      <c r="I3553" t="s">
        <v>94</v>
      </c>
      <c r="J3553" t="s">
        <v>39</v>
      </c>
      <c r="K3553" s="2">
        <v>2.6</v>
      </c>
      <c r="L3553" t="s">
        <v>152</v>
      </c>
      <c r="M3553" t="s">
        <v>27</v>
      </c>
      <c r="N3553" t="s">
        <v>76</v>
      </c>
      <c r="O3553" t="s">
        <v>152</v>
      </c>
      <c r="P3553" t="s">
        <v>152</v>
      </c>
      <c r="Q3553" s="3">
        <v>20</v>
      </c>
      <c r="R3553" t="s">
        <v>29</v>
      </c>
      <c r="S3553" t="s">
        <v>41</v>
      </c>
    </row>
    <row r="3554" spans="1:19" x14ac:dyDescent="0.25">
      <c r="A3554">
        <v>3553</v>
      </c>
      <c r="B3554">
        <v>22</v>
      </c>
      <c r="C3554" t="s">
        <v>153</v>
      </c>
      <c r="D3554" t="s">
        <v>89</v>
      </c>
      <c r="E3554" t="s">
        <v>69</v>
      </c>
      <c r="F3554" s="1">
        <v>66</v>
      </c>
      <c r="G3554" t="s">
        <v>22</v>
      </c>
      <c r="H3554" t="s">
        <v>45</v>
      </c>
      <c r="I3554" t="s">
        <v>144</v>
      </c>
      <c r="J3554" t="s">
        <v>25</v>
      </c>
      <c r="K3554" s="2">
        <v>2.9</v>
      </c>
      <c r="L3554" t="s">
        <v>152</v>
      </c>
      <c r="M3554" t="s">
        <v>27</v>
      </c>
      <c r="N3554" t="s">
        <v>47</v>
      </c>
      <c r="O3554" t="s">
        <v>152</v>
      </c>
      <c r="P3554" t="s">
        <v>152</v>
      </c>
      <c r="Q3554" s="3">
        <v>3</v>
      </c>
      <c r="R3554" t="s">
        <v>46</v>
      </c>
      <c r="S3554" t="s">
        <v>60</v>
      </c>
    </row>
    <row r="3555" spans="1:19" x14ac:dyDescent="0.25">
      <c r="A3555">
        <v>3554</v>
      </c>
      <c r="B3555">
        <v>62</v>
      </c>
      <c r="C3555" t="s">
        <v>153</v>
      </c>
      <c r="D3555" t="s">
        <v>73</v>
      </c>
      <c r="E3555" t="s">
        <v>43</v>
      </c>
      <c r="F3555" s="1">
        <v>99</v>
      </c>
      <c r="G3555" t="s">
        <v>148</v>
      </c>
      <c r="H3555" t="s">
        <v>45</v>
      </c>
      <c r="I3555" t="s">
        <v>63</v>
      </c>
      <c r="J3555" t="s">
        <v>39</v>
      </c>
      <c r="K3555" s="2">
        <v>4.9000000000000004</v>
      </c>
      <c r="L3555" t="s">
        <v>152</v>
      </c>
      <c r="M3555" t="s">
        <v>35</v>
      </c>
      <c r="N3555" t="s">
        <v>40</v>
      </c>
      <c r="O3555" t="s">
        <v>152</v>
      </c>
      <c r="P3555" t="s">
        <v>152</v>
      </c>
      <c r="Q3555" s="3">
        <v>32</v>
      </c>
      <c r="R3555" t="s">
        <v>34</v>
      </c>
      <c r="S3555" t="s">
        <v>41</v>
      </c>
    </row>
    <row r="3556" spans="1:19" x14ac:dyDescent="0.25">
      <c r="A3556">
        <v>3555</v>
      </c>
      <c r="B3556">
        <v>39</v>
      </c>
      <c r="C3556" t="s">
        <v>153</v>
      </c>
      <c r="D3556" t="s">
        <v>82</v>
      </c>
      <c r="E3556" t="s">
        <v>21</v>
      </c>
      <c r="F3556" s="1">
        <v>55</v>
      </c>
      <c r="G3556" t="s">
        <v>62</v>
      </c>
      <c r="H3556" t="s">
        <v>45</v>
      </c>
      <c r="I3556" t="s">
        <v>126</v>
      </c>
      <c r="J3556" t="s">
        <v>39</v>
      </c>
      <c r="K3556" s="2">
        <v>5</v>
      </c>
      <c r="L3556" t="s">
        <v>152</v>
      </c>
      <c r="M3556" t="s">
        <v>34</v>
      </c>
      <c r="N3556" t="s">
        <v>40</v>
      </c>
      <c r="O3556" t="s">
        <v>152</v>
      </c>
      <c r="P3556" t="s">
        <v>152</v>
      </c>
      <c r="Q3556" s="3">
        <v>5</v>
      </c>
      <c r="R3556" t="s">
        <v>27</v>
      </c>
      <c r="S3556" t="s">
        <v>30</v>
      </c>
    </row>
    <row r="3557" spans="1:19" x14ac:dyDescent="0.25">
      <c r="A3557">
        <v>3556</v>
      </c>
      <c r="B3557">
        <v>25</v>
      </c>
      <c r="C3557" t="s">
        <v>153</v>
      </c>
      <c r="D3557" t="s">
        <v>20</v>
      </c>
      <c r="E3557" t="s">
        <v>21</v>
      </c>
      <c r="F3557" s="1">
        <v>23</v>
      </c>
      <c r="G3557" t="s">
        <v>80</v>
      </c>
      <c r="H3557" t="s">
        <v>23</v>
      </c>
      <c r="I3557" t="s">
        <v>67</v>
      </c>
      <c r="J3557" t="s">
        <v>39</v>
      </c>
      <c r="K3557" s="2">
        <v>4.5999999999999996</v>
      </c>
      <c r="L3557" t="s">
        <v>152</v>
      </c>
      <c r="M3557" t="s">
        <v>46</v>
      </c>
      <c r="N3557" t="s">
        <v>47</v>
      </c>
      <c r="O3557" t="s">
        <v>152</v>
      </c>
      <c r="P3557" t="s">
        <v>152</v>
      </c>
      <c r="Q3557" s="3">
        <v>45</v>
      </c>
      <c r="R3557" t="s">
        <v>35</v>
      </c>
      <c r="S3557" t="s">
        <v>60</v>
      </c>
    </row>
    <row r="3558" spans="1:19" x14ac:dyDescent="0.25">
      <c r="A3558">
        <v>3557</v>
      </c>
      <c r="B3558">
        <v>70</v>
      </c>
      <c r="C3558" t="s">
        <v>153</v>
      </c>
      <c r="D3558" t="s">
        <v>31</v>
      </c>
      <c r="E3558" t="s">
        <v>21</v>
      </c>
      <c r="F3558" s="1">
        <v>88</v>
      </c>
      <c r="G3558" t="s">
        <v>117</v>
      </c>
      <c r="H3558" t="s">
        <v>45</v>
      </c>
      <c r="I3558" t="s">
        <v>110</v>
      </c>
      <c r="J3558" t="s">
        <v>58</v>
      </c>
      <c r="K3558" s="2">
        <v>4.2</v>
      </c>
      <c r="L3558" t="s">
        <v>152</v>
      </c>
      <c r="M3558" t="s">
        <v>34</v>
      </c>
      <c r="N3558" t="s">
        <v>28</v>
      </c>
      <c r="O3558" t="s">
        <v>152</v>
      </c>
      <c r="P3558" t="s">
        <v>152</v>
      </c>
      <c r="Q3558" s="3">
        <v>43</v>
      </c>
      <c r="R3558" t="s">
        <v>35</v>
      </c>
      <c r="S3558" t="s">
        <v>77</v>
      </c>
    </row>
    <row r="3559" spans="1:19" x14ac:dyDescent="0.25">
      <c r="A3559">
        <v>3558</v>
      </c>
      <c r="B3559">
        <v>52</v>
      </c>
      <c r="C3559" t="s">
        <v>153</v>
      </c>
      <c r="D3559" t="s">
        <v>102</v>
      </c>
      <c r="E3559" t="s">
        <v>65</v>
      </c>
      <c r="F3559" s="1">
        <v>26</v>
      </c>
      <c r="G3559" t="s">
        <v>107</v>
      </c>
      <c r="H3559" t="s">
        <v>45</v>
      </c>
      <c r="I3559" t="s">
        <v>100</v>
      </c>
      <c r="J3559" t="s">
        <v>54</v>
      </c>
      <c r="K3559" s="2">
        <v>4.9000000000000004</v>
      </c>
      <c r="L3559" t="s">
        <v>152</v>
      </c>
      <c r="M3559" t="s">
        <v>46</v>
      </c>
      <c r="N3559" t="s">
        <v>47</v>
      </c>
      <c r="O3559" t="s">
        <v>152</v>
      </c>
      <c r="P3559" t="s">
        <v>152</v>
      </c>
      <c r="Q3559" s="3">
        <v>1</v>
      </c>
      <c r="R3559" t="s">
        <v>46</v>
      </c>
      <c r="S3559" t="s">
        <v>97</v>
      </c>
    </row>
    <row r="3560" spans="1:19" x14ac:dyDescent="0.25">
      <c r="A3560">
        <v>3559</v>
      </c>
      <c r="B3560">
        <v>68</v>
      </c>
      <c r="C3560" t="s">
        <v>153</v>
      </c>
      <c r="D3560" t="s">
        <v>132</v>
      </c>
      <c r="E3560" t="s">
        <v>69</v>
      </c>
      <c r="F3560" s="1">
        <v>94</v>
      </c>
      <c r="G3560" t="s">
        <v>120</v>
      </c>
      <c r="H3560" t="s">
        <v>23</v>
      </c>
      <c r="I3560" t="s">
        <v>136</v>
      </c>
      <c r="J3560" t="s">
        <v>54</v>
      </c>
      <c r="K3560" s="2">
        <v>4.8</v>
      </c>
      <c r="L3560" t="s">
        <v>152</v>
      </c>
      <c r="M3560" t="s">
        <v>27</v>
      </c>
      <c r="N3560" t="s">
        <v>55</v>
      </c>
      <c r="O3560" t="s">
        <v>152</v>
      </c>
      <c r="P3560" t="s">
        <v>152</v>
      </c>
      <c r="Q3560" s="3">
        <v>9</v>
      </c>
      <c r="R3560" t="s">
        <v>29</v>
      </c>
      <c r="S3560" t="s">
        <v>60</v>
      </c>
    </row>
    <row r="3561" spans="1:19" x14ac:dyDescent="0.25">
      <c r="A3561">
        <v>3560</v>
      </c>
      <c r="B3561">
        <v>18</v>
      </c>
      <c r="C3561" t="s">
        <v>153</v>
      </c>
      <c r="D3561" t="s">
        <v>61</v>
      </c>
      <c r="E3561" t="s">
        <v>21</v>
      </c>
      <c r="F3561" s="1">
        <v>25</v>
      </c>
      <c r="G3561" t="s">
        <v>140</v>
      </c>
      <c r="H3561" t="s">
        <v>45</v>
      </c>
      <c r="I3561" t="s">
        <v>118</v>
      </c>
      <c r="J3561" t="s">
        <v>58</v>
      </c>
      <c r="K3561" s="2">
        <v>3</v>
      </c>
      <c r="L3561" t="s">
        <v>152</v>
      </c>
      <c r="M3561" t="s">
        <v>59</v>
      </c>
      <c r="N3561" t="s">
        <v>47</v>
      </c>
      <c r="O3561" t="s">
        <v>152</v>
      </c>
      <c r="P3561" t="s">
        <v>152</v>
      </c>
      <c r="Q3561" s="3">
        <v>13</v>
      </c>
      <c r="R3561" t="s">
        <v>29</v>
      </c>
      <c r="S3561" t="s">
        <v>97</v>
      </c>
    </row>
    <row r="3562" spans="1:19" x14ac:dyDescent="0.25">
      <c r="A3562">
        <v>3561</v>
      </c>
      <c r="B3562">
        <v>18</v>
      </c>
      <c r="C3562" t="s">
        <v>153</v>
      </c>
      <c r="D3562" t="s">
        <v>125</v>
      </c>
      <c r="E3562" t="s">
        <v>21</v>
      </c>
      <c r="F3562" s="1">
        <v>96</v>
      </c>
      <c r="G3562" t="s">
        <v>111</v>
      </c>
      <c r="H3562" t="s">
        <v>92</v>
      </c>
      <c r="I3562" t="s">
        <v>84</v>
      </c>
      <c r="J3562" t="s">
        <v>58</v>
      </c>
      <c r="K3562" s="2">
        <v>3.5</v>
      </c>
      <c r="L3562" t="s">
        <v>152</v>
      </c>
      <c r="M3562" t="s">
        <v>35</v>
      </c>
      <c r="N3562" t="s">
        <v>28</v>
      </c>
      <c r="O3562" t="s">
        <v>152</v>
      </c>
      <c r="P3562" t="s">
        <v>152</v>
      </c>
      <c r="Q3562" s="3">
        <v>5</v>
      </c>
      <c r="R3562" t="s">
        <v>27</v>
      </c>
      <c r="S3562" t="s">
        <v>50</v>
      </c>
    </row>
    <row r="3563" spans="1:19" x14ac:dyDescent="0.25">
      <c r="A3563">
        <v>3562</v>
      </c>
      <c r="B3563">
        <v>63</v>
      </c>
      <c r="C3563" t="s">
        <v>153</v>
      </c>
      <c r="D3563" t="s">
        <v>51</v>
      </c>
      <c r="E3563" t="s">
        <v>43</v>
      </c>
      <c r="F3563" s="1">
        <v>29</v>
      </c>
      <c r="G3563" t="s">
        <v>98</v>
      </c>
      <c r="H3563" t="s">
        <v>23</v>
      </c>
      <c r="I3563" t="s">
        <v>94</v>
      </c>
      <c r="J3563" t="s">
        <v>39</v>
      </c>
      <c r="K3563" s="2">
        <v>3.4</v>
      </c>
      <c r="L3563" t="s">
        <v>152</v>
      </c>
      <c r="M3563" t="s">
        <v>35</v>
      </c>
      <c r="N3563" t="s">
        <v>55</v>
      </c>
      <c r="O3563" t="s">
        <v>152</v>
      </c>
      <c r="P3563" t="s">
        <v>152</v>
      </c>
      <c r="Q3563" s="3">
        <v>39</v>
      </c>
      <c r="R3563" t="s">
        <v>27</v>
      </c>
      <c r="S3563" t="s">
        <v>30</v>
      </c>
    </row>
    <row r="3564" spans="1:19" x14ac:dyDescent="0.25">
      <c r="A3564">
        <v>3563</v>
      </c>
      <c r="B3564">
        <v>47</v>
      </c>
      <c r="C3564" t="s">
        <v>153</v>
      </c>
      <c r="D3564" t="s">
        <v>51</v>
      </c>
      <c r="E3564" t="s">
        <v>43</v>
      </c>
      <c r="F3564" s="1">
        <v>36</v>
      </c>
      <c r="G3564" t="s">
        <v>128</v>
      </c>
      <c r="H3564" t="s">
        <v>45</v>
      </c>
      <c r="I3564" t="s">
        <v>109</v>
      </c>
      <c r="J3564" t="s">
        <v>25</v>
      </c>
      <c r="K3564" s="2">
        <v>3.4</v>
      </c>
      <c r="L3564" t="s">
        <v>152</v>
      </c>
      <c r="M3564" t="s">
        <v>46</v>
      </c>
      <c r="N3564" t="s">
        <v>40</v>
      </c>
      <c r="O3564" t="s">
        <v>152</v>
      </c>
      <c r="P3564" t="s">
        <v>152</v>
      </c>
      <c r="Q3564" s="3">
        <v>7</v>
      </c>
      <c r="R3564" t="s">
        <v>34</v>
      </c>
      <c r="S3564" t="s">
        <v>41</v>
      </c>
    </row>
    <row r="3565" spans="1:19" x14ac:dyDescent="0.25">
      <c r="A3565">
        <v>3564</v>
      </c>
      <c r="B3565">
        <v>43</v>
      </c>
      <c r="C3565" t="s">
        <v>153</v>
      </c>
      <c r="D3565" t="s">
        <v>20</v>
      </c>
      <c r="E3565" t="s">
        <v>21</v>
      </c>
      <c r="F3565" s="1">
        <v>90</v>
      </c>
      <c r="G3565" t="s">
        <v>32</v>
      </c>
      <c r="H3565" t="s">
        <v>45</v>
      </c>
      <c r="I3565" t="s">
        <v>96</v>
      </c>
      <c r="J3565" t="s">
        <v>54</v>
      </c>
      <c r="K3565" s="2">
        <v>4.9000000000000004</v>
      </c>
      <c r="L3565" t="s">
        <v>152</v>
      </c>
      <c r="M3565" t="s">
        <v>27</v>
      </c>
      <c r="N3565" t="s">
        <v>55</v>
      </c>
      <c r="O3565" t="s">
        <v>152</v>
      </c>
      <c r="P3565" t="s">
        <v>152</v>
      </c>
      <c r="Q3565" s="3">
        <v>8</v>
      </c>
      <c r="R3565" t="s">
        <v>27</v>
      </c>
      <c r="S3565" t="s">
        <v>97</v>
      </c>
    </row>
    <row r="3566" spans="1:19" x14ac:dyDescent="0.25">
      <c r="A3566">
        <v>3565</v>
      </c>
      <c r="B3566">
        <v>60</v>
      </c>
      <c r="C3566" t="s">
        <v>153</v>
      </c>
      <c r="D3566" t="s">
        <v>143</v>
      </c>
      <c r="E3566" t="s">
        <v>69</v>
      </c>
      <c r="F3566" s="1">
        <v>38</v>
      </c>
      <c r="G3566" t="s">
        <v>115</v>
      </c>
      <c r="H3566" t="s">
        <v>38</v>
      </c>
      <c r="I3566" t="s">
        <v>110</v>
      </c>
      <c r="J3566" t="s">
        <v>54</v>
      </c>
      <c r="K3566" s="2">
        <v>4.4000000000000004</v>
      </c>
      <c r="L3566" t="s">
        <v>152</v>
      </c>
      <c r="M3566" t="s">
        <v>46</v>
      </c>
      <c r="N3566" t="s">
        <v>40</v>
      </c>
      <c r="O3566" t="s">
        <v>152</v>
      </c>
      <c r="P3566" t="s">
        <v>152</v>
      </c>
      <c r="Q3566" s="3">
        <v>40</v>
      </c>
      <c r="R3566" t="s">
        <v>29</v>
      </c>
      <c r="S3566" t="s">
        <v>50</v>
      </c>
    </row>
    <row r="3567" spans="1:19" x14ac:dyDescent="0.25">
      <c r="A3567">
        <v>3566</v>
      </c>
      <c r="B3567">
        <v>49</v>
      </c>
      <c r="C3567" t="s">
        <v>153</v>
      </c>
      <c r="D3567" t="s">
        <v>68</v>
      </c>
      <c r="E3567" t="s">
        <v>69</v>
      </c>
      <c r="F3567" s="1">
        <v>52</v>
      </c>
      <c r="G3567" t="s">
        <v>138</v>
      </c>
      <c r="H3567" t="s">
        <v>38</v>
      </c>
      <c r="I3567" t="s">
        <v>24</v>
      </c>
      <c r="J3567" t="s">
        <v>39</v>
      </c>
      <c r="K3567" s="2">
        <v>4.2</v>
      </c>
      <c r="L3567" t="s">
        <v>152</v>
      </c>
      <c r="M3567" t="s">
        <v>35</v>
      </c>
      <c r="N3567" t="s">
        <v>76</v>
      </c>
      <c r="O3567" t="s">
        <v>152</v>
      </c>
      <c r="P3567" t="s">
        <v>152</v>
      </c>
      <c r="Q3567" s="3">
        <v>35</v>
      </c>
      <c r="R3567" t="s">
        <v>46</v>
      </c>
      <c r="S3567" t="s">
        <v>88</v>
      </c>
    </row>
    <row r="3568" spans="1:19" x14ac:dyDescent="0.25">
      <c r="A3568">
        <v>3567</v>
      </c>
      <c r="B3568">
        <v>28</v>
      </c>
      <c r="C3568" t="s">
        <v>153</v>
      </c>
      <c r="D3568" t="s">
        <v>36</v>
      </c>
      <c r="E3568" t="s">
        <v>21</v>
      </c>
      <c r="F3568" s="1">
        <v>88</v>
      </c>
      <c r="G3568" t="s">
        <v>120</v>
      </c>
      <c r="H3568" t="s">
        <v>38</v>
      </c>
      <c r="I3568" t="s">
        <v>121</v>
      </c>
      <c r="J3568" t="s">
        <v>39</v>
      </c>
      <c r="K3568" s="2">
        <v>3.1</v>
      </c>
      <c r="L3568" t="s">
        <v>152</v>
      </c>
      <c r="M3568" t="s">
        <v>27</v>
      </c>
      <c r="N3568" t="s">
        <v>47</v>
      </c>
      <c r="O3568" t="s">
        <v>152</v>
      </c>
      <c r="P3568" t="s">
        <v>152</v>
      </c>
      <c r="Q3568" s="3">
        <v>14</v>
      </c>
      <c r="R3568" t="s">
        <v>29</v>
      </c>
      <c r="S3568" t="s">
        <v>88</v>
      </c>
    </row>
    <row r="3569" spans="1:19" x14ac:dyDescent="0.25">
      <c r="A3569">
        <v>3568</v>
      </c>
      <c r="B3569">
        <v>32</v>
      </c>
      <c r="C3569" t="s">
        <v>153</v>
      </c>
      <c r="D3569" t="s">
        <v>119</v>
      </c>
      <c r="E3569" t="s">
        <v>69</v>
      </c>
      <c r="F3569" s="1">
        <v>56</v>
      </c>
      <c r="G3569" t="s">
        <v>130</v>
      </c>
      <c r="H3569" t="s">
        <v>38</v>
      </c>
      <c r="I3569" t="s">
        <v>67</v>
      </c>
      <c r="J3569" t="s">
        <v>54</v>
      </c>
      <c r="K3569" s="2">
        <v>4</v>
      </c>
      <c r="L3569" t="s">
        <v>152</v>
      </c>
      <c r="M3569" t="s">
        <v>29</v>
      </c>
      <c r="N3569" t="s">
        <v>47</v>
      </c>
      <c r="O3569" t="s">
        <v>152</v>
      </c>
      <c r="P3569" t="s">
        <v>152</v>
      </c>
      <c r="Q3569" s="3">
        <v>26</v>
      </c>
      <c r="R3569" t="s">
        <v>27</v>
      </c>
      <c r="S3569" t="s">
        <v>88</v>
      </c>
    </row>
    <row r="3570" spans="1:19" x14ac:dyDescent="0.25">
      <c r="A3570">
        <v>3569</v>
      </c>
      <c r="B3570">
        <v>29</v>
      </c>
      <c r="C3570" t="s">
        <v>153</v>
      </c>
      <c r="D3570" t="s">
        <v>42</v>
      </c>
      <c r="E3570" t="s">
        <v>43</v>
      </c>
      <c r="F3570" s="1">
        <v>71</v>
      </c>
      <c r="G3570" t="s">
        <v>74</v>
      </c>
      <c r="H3570" t="s">
        <v>45</v>
      </c>
      <c r="I3570" t="s">
        <v>75</v>
      </c>
      <c r="J3570" t="s">
        <v>39</v>
      </c>
      <c r="K3570" s="2">
        <v>4.8</v>
      </c>
      <c r="L3570" t="s">
        <v>152</v>
      </c>
      <c r="M3570" t="s">
        <v>35</v>
      </c>
      <c r="N3570" t="s">
        <v>47</v>
      </c>
      <c r="O3570" t="s">
        <v>152</v>
      </c>
      <c r="P3570" t="s">
        <v>152</v>
      </c>
      <c r="Q3570" s="3">
        <v>14</v>
      </c>
      <c r="R3570" t="s">
        <v>46</v>
      </c>
      <c r="S3570" t="s">
        <v>60</v>
      </c>
    </row>
    <row r="3571" spans="1:19" x14ac:dyDescent="0.25">
      <c r="A3571">
        <v>3570</v>
      </c>
      <c r="B3571">
        <v>35</v>
      </c>
      <c r="C3571" t="s">
        <v>153</v>
      </c>
      <c r="D3571" t="s">
        <v>42</v>
      </c>
      <c r="E3571" t="s">
        <v>43</v>
      </c>
      <c r="F3571" s="1">
        <v>94</v>
      </c>
      <c r="G3571" t="s">
        <v>120</v>
      </c>
      <c r="H3571" t="s">
        <v>45</v>
      </c>
      <c r="I3571" t="s">
        <v>79</v>
      </c>
      <c r="J3571" t="s">
        <v>58</v>
      </c>
      <c r="K3571" s="2">
        <v>3.3</v>
      </c>
      <c r="L3571" t="s">
        <v>152</v>
      </c>
      <c r="M3571" t="s">
        <v>27</v>
      </c>
      <c r="N3571" t="s">
        <v>28</v>
      </c>
      <c r="O3571" t="s">
        <v>152</v>
      </c>
      <c r="P3571" t="s">
        <v>152</v>
      </c>
      <c r="Q3571" s="3">
        <v>9</v>
      </c>
      <c r="R3571" t="s">
        <v>34</v>
      </c>
      <c r="S3571" t="s">
        <v>30</v>
      </c>
    </row>
    <row r="3572" spans="1:19" x14ac:dyDescent="0.25">
      <c r="A3572">
        <v>3571</v>
      </c>
      <c r="B3572">
        <v>23</v>
      </c>
      <c r="C3572" t="s">
        <v>153</v>
      </c>
      <c r="D3572" t="s">
        <v>82</v>
      </c>
      <c r="E3572" t="s">
        <v>21</v>
      </c>
      <c r="F3572" s="1">
        <v>97</v>
      </c>
      <c r="G3572" t="s">
        <v>62</v>
      </c>
      <c r="H3572" t="s">
        <v>92</v>
      </c>
      <c r="I3572" t="s">
        <v>86</v>
      </c>
      <c r="J3572" t="s">
        <v>25</v>
      </c>
      <c r="K3572" s="2">
        <v>4.7</v>
      </c>
      <c r="L3572" t="s">
        <v>152</v>
      </c>
      <c r="M3572" t="s">
        <v>46</v>
      </c>
      <c r="N3572" t="s">
        <v>55</v>
      </c>
      <c r="O3572" t="s">
        <v>152</v>
      </c>
      <c r="P3572" t="s">
        <v>152</v>
      </c>
      <c r="Q3572" s="3">
        <v>32</v>
      </c>
      <c r="R3572" t="s">
        <v>59</v>
      </c>
      <c r="S3572" t="s">
        <v>50</v>
      </c>
    </row>
    <row r="3573" spans="1:19" x14ac:dyDescent="0.25">
      <c r="A3573">
        <v>3572</v>
      </c>
      <c r="B3573">
        <v>70</v>
      </c>
      <c r="C3573" t="s">
        <v>153</v>
      </c>
      <c r="D3573" t="s">
        <v>87</v>
      </c>
      <c r="E3573" t="s">
        <v>21</v>
      </c>
      <c r="F3573" s="1">
        <v>27</v>
      </c>
      <c r="G3573" t="s">
        <v>114</v>
      </c>
      <c r="H3573" t="s">
        <v>45</v>
      </c>
      <c r="I3573" t="s">
        <v>53</v>
      </c>
      <c r="J3573" t="s">
        <v>54</v>
      </c>
      <c r="K3573" s="2">
        <v>3.2</v>
      </c>
      <c r="L3573" t="s">
        <v>152</v>
      </c>
      <c r="M3573" t="s">
        <v>35</v>
      </c>
      <c r="N3573" t="s">
        <v>55</v>
      </c>
      <c r="O3573" t="s">
        <v>152</v>
      </c>
      <c r="P3573" t="s">
        <v>152</v>
      </c>
      <c r="Q3573" s="3">
        <v>15</v>
      </c>
      <c r="R3573" t="s">
        <v>34</v>
      </c>
      <c r="S3573" t="s">
        <v>97</v>
      </c>
    </row>
    <row r="3574" spans="1:19" x14ac:dyDescent="0.25">
      <c r="A3574">
        <v>3573</v>
      </c>
      <c r="B3574">
        <v>23</v>
      </c>
      <c r="C3574" t="s">
        <v>153</v>
      </c>
      <c r="D3574" t="s">
        <v>61</v>
      </c>
      <c r="E3574" t="s">
        <v>21</v>
      </c>
      <c r="F3574" s="1">
        <v>28</v>
      </c>
      <c r="G3574" t="s">
        <v>44</v>
      </c>
      <c r="H3574" t="s">
        <v>45</v>
      </c>
      <c r="I3574" t="s">
        <v>94</v>
      </c>
      <c r="J3574" t="s">
        <v>39</v>
      </c>
      <c r="K3574" s="2">
        <v>5</v>
      </c>
      <c r="L3574" t="s">
        <v>152</v>
      </c>
      <c r="M3574" t="s">
        <v>34</v>
      </c>
      <c r="N3574" t="s">
        <v>55</v>
      </c>
      <c r="O3574" t="s">
        <v>152</v>
      </c>
      <c r="P3574" t="s">
        <v>152</v>
      </c>
      <c r="Q3574" s="3">
        <v>25</v>
      </c>
      <c r="R3574" t="s">
        <v>27</v>
      </c>
      <c r="S3574" t="s">
        <v>88</v>
      </c>
    </row>
    <row r="3575" spans="1:19" x14ac:dyDescent="0.25">
      <c r="A3575">
        <v>3574</v>
      </c>
      <c r="B3575">
        <v>43</v>
      </c>
      <c r="C3575" t="s">
        <v>153</v>
      </c>
      <c r="D3575" t="s">
        <v>36</v>
      </c>
      <c r="E3575" t="s">
        <v>21</v>
      </c>
      <c r="F3575" s="1">
        <v>67</v>
      </c>
      <c r="G3575" t="s">
        <v>139</v>
      </c>
      <c r="H3575" t="s">
        <v>23</v>
      </c>
      <c r="I3575" t="s">
        <v>33</v>
      </c>
      <c r="J3575" t="s">
        <v>58</v>
      </c>
      <c r="K3575" s="2">
        <v>4.9000000000000004</v>
      </c>
      <c r="L3575" t="s">
        <v>152</v>
      </c>
      <c r="M3575" t="s">
        <v>35</v>
      </c>
      <c r="N3575" t="s">
        <v>40</v>
      </c>
      <c r="O3575" t="s">
        <v>152</v>
      </c>
      <c r="P3575" t="s">
        <v>152</v>
      </c>
      <c r="Q3575" s="3">
        <v>27</v>
      </c>
      <c r="R3575" t="s">
        <v>46</v>
      </c>
      <c r="S3575" t="s">
        <v>88</v>
      </c>
    </row>
    <row r="3576" spans="1:19" x14ac:dyDescent="0.25">
      <c r="A3576">
        <v>3575</v>
      </c>
      <c r="B3576">
        <v>29</v>
      </c>
      <c r="C3576" t="s">
        <v>153</v>
      </c>
      <c r="D3576" t="s">
        <v>125</v>
      </c>
      <c r="E3576" t="s">
        <v>21</v>
      </c>
      <c r="F3576" s="1">
        <v>70</v>
      </c>
      <c r="G3576" t="s">
        <v>85</v>
      </c>
      <c r="H3576" t="s">
        <v>45</v>
      </c>
      <c r="I3576" t="s">
        <v>109</v>
      </c>
      <c r="J3576" t="s">
        <v>58</v>
      </c>
      <c r="K3576" s="2">
        <v>4.9000000000000004</v>
      </c>
      <c r="L3576" t="s">
        <v>152</v>
      </c>
      <c r="M3576" t="s">
        <v>35</v>
      </c>
      <c r="N3576" t="s">
        <v>28</v>
      </c>
      <c r="O3576" t="s">
        <v>152</v>
      </c>
      <c r="P3576" t="s">
        <v>152</v>
      </c>
      <c r="Q3576" s="3">
        <v>39</v>
      </c>
      <c r="R3576" t="s">
        <v>34</v>
      </c>
      <c r="S3576" t="s">
        <v>60</v>
      </c>
    </row>
    <row r="3577" spans="1:19" x14ac:dyDescent="0.25">
      <c r="A3577">
        <v>3576</v>
      </c>
      <c r="B3577">
        <v>61</v>
      </c>
      <c r="C3577" t="s">
        <v>153</v>
      </c>
      <c r="D3577" t="s">
        <v>64</v>
      </c>
      <c r="E3577" t="s">
        <v>65</v>
      </c>
      <c r="F3577" s="1">
        <v>95</v>
      </c>
      <c r="G3577" t="s">
        <v>22</v>
      </c>
      <c r="H3577" t="s">
        <v>45</v>
      </c>
      <c r="I3577" t="s">
        <v>84</v>
      </c>
      <c r="J3577" t="s">
        <v>58</v>
      </c>
      <c r="K3577" s="2">
        <v>3.7</v>
      </c>
      <c r="L3577" t="s">
        <v>152</v>
      </c>
      <c r="M3577" t="s">
        <v>35</v>
      </c>
      <c r="N3577" t="s">
        <v>28</v>
      </c>
      <c r="O3577" t="s">
        <v>152</v>
      </c>
      <c r="P3577" t="s">
        <v>152</v>
      </c>
      <c r="Q3577" s="3">
        <v>49</v>
      </c>
      <c r="R3577" t="s">
        <v>29</v>
      </c>
      <c r="S3577" t="s">
        <v>77</v>
      </c>
    </row>
    <row r="3578" spans="1:19" x14ac:dyDescent="0.25">
      <c r="A3578">
        <v>3577</v>
      </c>
      <c r="B3578">
        <v>29</v>
      </c>
      <c r="C3578" t="s">
        <v>153</v>
      </c>
      <c r="D3578" t="s">
        <v>137</v>
      </c>
      <c r="E3578" t="s">
        <v>43</v>
      </c>
      <c r="F3578" s="1">
        <v>24</v>
      </c>
      <c r="G3578" t="s">
        <v>32</v>
      </c>
      <c r="H3578" t="s">
        <v>23</v>
      </c>
      <c r="I3578" t="s">
        <v>134</v>
      </c>
      <c r="J3578" t="s">
        <v>39</v>
      </c>
      <c r="K3578" s="2">
        <v>3</v>
      </c>
      <c r="L3578" t="s">
        <v>152</v>
      </c>
      <c r="M3578" t="s">
        <v>35</v>
      </c>
      <c r="N3578" t="s">
        <v>28</v>
      </c>
      <c r="O3578" t="s">
        <v>152</v>
      </c>
      <c r="P3578" t="s">
        <v>152</v>
      </c>
      <c r="Q3578" s="3">
        <v>12</v>
      </c>
      <c r="R3578" t="s">
        <v>29</v>
      </c>
      <c r="S3578" t="s">
        <v>77</v>
      </c>
    </row>
    <row r="3579" spans="1:19" x14ac:dyDescent="0.25">
      <c r="A3579">
        <v>3578</v>
      </c>
      <c r="B3579">
        <v>66</v>
      </c>
      <c r="C3579" t="s">
        <v>153</v>
      </c>
      <c r="D3579" t="s">
        <v>133</v>
      </c>
      <c r="E3579" t="s">
        <v>69</v>
      </c>
      <c r="F3579" s="1">
        <v>35</v>
      </c>
      <c r="G3579" t="s">
        <v>70</v>
      </c>
      <c r="H3579" t="s">
        <v>38</v>
      </c>
      <c r="I3579" t="s">
        <v>134</v>
      </c>
      <c r="J3579" t="s">
        <v>25</v>
      </c>
      <c r="K3579" s="2">
        <v>2.6</v>
      </c>
      <c r="L3579" t="s">
        <v>152</v>
      </c>
      <c r="M3579" t="s">
        <v>46</v>
      </c>
      <c r="N3579" t="s">
        <v>55</v>
      </c>
      <c r="O3579" t="s">
        <v>152</v>
      </c>
      <c r="P3579" t="s">
        <v>152</v>
      </c>
      <c r="Q3579" s="3">
        <v>13</v>
      </c>
      <c r="R3579" t="s">
        <v>34</v>
      </c>
      <c r="S3579" t="s">
        <v>41</v>
      </c>
    </row>
    <row r="3580" spans="1:19" x14ac:dyDescent="0.25">
      <c r="A3580">
        <v>3579</v>
      </c>
      <c r="B3580">
        <v>46</v>
      </c>
      <c r="C3580" t="s">
        <v>153</v>
      </c>
      <c r="D3580" t="s">
        <v>73</v>
      </c>
      <c r="E3580" t="s">
        <v>43</v>
      </c>
      <c r="F3580" s="1">
        <v>22</v>
      </c>
      <c r="G3580" t="s">
        <v>142</v>
      </c>
      <c r="H3580" t="s">
        <v>23</v>
      </c>
      <c r="I3580" t="s">
        <v>79</v>
      </c>
      <c r="J3580" t="s">
        <v>25</v>
      </c>
      <c r="K3580" s="2">
        <v>2.6</v>
      </c>
      <c r="L3580" t="s">
        <v>152</v>
      </c>
      <c r="M3580" t="s">
        <v>27</v>
      </c>
      <c r="N3580" t="s">
        <v>55</v>
      </c>
      <c r="O3580" t="s">
        <v>152</v>
      </c>
      <c r="P3580" t="s">
        <v>152</v>
      </c>
      <c r="Q3580" s="3">
        <v>22</v>
      </c>
      <c r="R3580" t="s">
        <v>34</v>
      </c>
      <c r="S3580" t="s">
        <v>60</v>
      </c>
    </row>
    <row r="3581" spans="1:19" x14ac:dyDescent="0.25">
      <c r="A3581">
        <v>3580</v>
      </c>
      <c r="B3581">
        <v>34</v>
      </c>
      <c r="C3581" t="s">
        <v>153</v>
      </c>
      <c r="D3581" t="s">
        <v>119</v>
      </c>
      <c r="E3581" t="s">
        <v>69</v>
      </c>
      <c r="F3581" s="1">
        <v>66</v>
      </c>
      <c r="G3581" t="s">
        <v>117</v>
      </c>
      <c r="H3581" t="s">
        <v>23</v>
      </c>
      <c r="I3581" t="s">
        <v>79</v>
      </c>
      <c r="J3581" t="s">
        <v>58</v>
      </c>
      <c r="K3581" s="2">
        <v>4.8</v>
      </c>
      <c r="L3581" t="s">
        <v>152</v>
      </c>
      <c r="M3581" t="s">
        <v>34</v>
      </c>
      <c r="N3581" t="s">
        <v>55</v>
      </c>
      <c r="O3581" t="s">
        <v>152</v>
      </c>
      <c r="P3581" t="s">
        <v>152</v>
      </c>
      <c r="Q3581" s="3">
        <v>19</v>
      </c>
      <c r="R3581" t="s">
        <v>27</v>
      </c>
      <c r="S3581" t="s">
        <v>97</v>
      </c>
    </row>
    <row r="3582" spans="1:19" x14ac:dyDescent="0.25">
      <c r="A3582">
        <v>3581</v>
      </c>
      <c r="B3582">
        <v>51</v>
      </c>
      <c r="C3582" t="s">
        <v>153</v>
      </c>
      <c r="D3582" t="s">
        <v>20</v>
      </c>
      <c r="E3582" t="s">
        <v>21</v>
      </c>
      <c r="F3582" s="1">
        <v>83</v>
      </c>
      <c r="G3582" t="s">
        <v>83</v>
      </c>
      <c r="H3582" t="s">
        <v>45</v>
      </c>
      <c r="I3582" t="s">
        <v>136</v>
      </c>
      <c r="J3582" t="s">
        <v>54</v>
      </c>
      <c r="K3582" s="2">
        <v>3.2</v>
      </c>
      <c r="L3582" t="s">
        <v>152</v>
      </c>
      <c r="M3582" t="s">
        <v>34</v>
      </c>
      <c r="N3582" t="s">
        <v>72</v>
      </c>
      <c r="O3582" t="s">
        <v>152</v>
      </c>
      <c r="P3582" t="s">
        <v>152</v>
      </c>
      <c r="Q3582" s="3">
        <v>3</v>
      </c>
      <c r="R3582" t="s">
        <v>35</v>
      </c>
      <c r="S3582" t="s">
        <v>77</v>
      </c>
    </row>
    <row r="3583" spans="1:19" x14ac:dyDescent="0.25">
      <c r="A3583">
        <v>3582</v>
      </c>
      <c r="B3583">
        <v>26</v>
      </c>
      <c r="C3583" t="s">
        <v>153</v>
      </c>
      <c r="D3583" t="s">
        <v>82</v>
      </c>
      <c r="E3583" t="s">
        <v>21</v>
      </c>
      <c r="F3583" s="1">
        <v>95</v>
      </c>
      <c r="G3583" t="s">
        <v>142</v>
      </c>
      <c r="H3583" t="s">
        <v>45</v>
      </c>
      <c r="I3583" t="s">
        <v>121</v>
      </c>
      <c r="J3583" t="s">
        <v>58</v>
      </c>
      <c r="K3583" s="2">
        <v>4.9000000000000004</v>
      </c>
      <c r="L3583" t="s">
        <v>152</v>
      </c>
      <c r="M3583" t="s">
        <v>29</v>
      </c>
      <c r="N3583" t="s">
        <v>47</v>
      </c>
      <c r="O3583" t="s">
        <v>152</v>
      </c>
      <c r="P3583" t="s">
        <v>152</v>
      </c>
      <c r="Q3583" s="3">
        <v>50</v>
      </c>
      <c r="R3583" t="s">
        <v>27</v>
      </c>
      <c r="S3583" t="s">
        <v>41</v>
      </c>
    </row>
    <row r="3584" spans="1:19" x14ac:dyDescent="0.25">
      <c r="A3584">
        <v>3583</v>
      </c>
      <c r="B3584">
        <v>23</v>
      </c>
      <c r="C3584" t="s">
        <v>153</v>
      </c>
      <c r="D3584" t="s">
        <v>61</v>
      </c>
      <c r="E3584" t="s">
        <v>21</v>
      </c>
      <c r="F3584" s="1">
        <v>41</v>
      </c>
      <c r="G3584" t="s">
        <v>99</v>
      </c>
      <c r="H3584" t="s">
        <v>38</v>
      </c>
      <c r="I3584" t="s">
        <v>118</v>
      </c>
      <c r="J3584" t="s">
        <v>54</v>
      </c>
      <c r="K3584" s="2">
        <v>3.4</v>
      </c>
      <c r="L3584" t="s">
        <v>152</v>
      </c>
      <c r="M3584" t="s">
        <v>35</v>
      </c>
      <c r="N3584" t="s">
        <v>72</v>
      </c>
      <c r="O3584" t="s">
        <v>152</v>
      </c>
      <c r="P3584" t="s">
        <v>152</v>
      </c>
      <c r="Q3584" s="3">
        <v>15</v>
      </c>
      <c r="R3584" t="s">
        <v>46</v>
      </c>
      <c r="S3584" t="s">
        <v>50</v>
      </c>
    </row>
    <row r="3585" spans="1:19" x14ac:dyDescent="0.25">
      <c r="A3585">
        <v>3584</v>
      </c>
      <c r="B3585">
        <v>52</v>
      </c>
      <c r="C3585" t="s">
        <v>153</v>
      </c>
      <c r="D3585" t="s">
        <v>20</v>
      </c>
      <c r="E3585" t="s">
        <v>21</v>
      </c>
      <c r="F3585" s="1">
        <v>77</v>
      </c>
      <c r="G3585" t="s">
        <v>117</v>
      </c>
      <c r="H3585" t="s">
        <v>23</v>
      </c>
      <c r="I3585" t="s">
        <v>110</v>
      </c>
      <c r="J3585" t="s">
        <v>54</v>
      </c>
      <c r="K3585" s="2">
        <v>2.7</v>
      </c>
      <c r="L3585" t="s">
        <v>152</v>
      </c>
      <c r="M3585" t="s">
        <v>59</v>
      </c>
      <c r="N3585" t="s">
        <v>76</v>
      </c>
      <c r="O3585" t="s">
        <v>152</v>
      </c>
      <c r="P3585" t="s">
        <v>152</v>
      </c>
      <c r="Q3585" s="3">
        <v>44</v>
      </c>
      <c r="R3585" t="s">
        <v>27</v>
      </c>
      <c r="S3585" t="s">
        <v>97</v>
      </c>
    </row>
    <row r="3586" spans="1:19" x14ac:dyDescent="0.25">
      <c r="A3586">
        <v>3585</v>
      </c>
      <c r="B3586">
        <v>39</v>
      </c>
      <c r="C3586" t="s">
        <v>153</v>
      </c>
      <c r="D3586" t="s">
        <v>51</v>
      </c>
      <c r="E3586" t="s">
        <v>43</v>
      </c>
      <c r="F3586" s="1">
        <v>52</v>
      </c>
      <c r="G3586" t="s">
        <v>103</v>
      </c>
      <c r="H3586" t="s">
        <v>23</v>
      </c>
      <c r="I3586" t="s">
        <v>126</v>
      </c>
      <c r="J3586" t="s">
        <v>58</v>
      </c>
      <c r="K3586" s="2">
        <v>4.8</v>
      </c>
      <c r="L3586" t="s">
        <v>152</v>
      </c>
      <c r="M3586" t="s">
        <v>59</v>
      </c>
      <c r="N3586" t="s">
        <v>28</v>
      </c>
      <c r="O3586" t="s">
        <v>152</v>
      </c>
      <c r="P3586" t="s">
        <v>152</v>
      </c>
      <c r="Q3586" s="3">
        <v>48</v>
      </c>
      <c r="R3586" t="s">
        <v>59</v>
      </c>
      <c r="S3586" t="s">
        <v>88</v>
      </c>
    </row>
    <row r="3587" spans="1:19" x14ac:dyDescent="0.25">
      <c r="A3587">
        <v>3586</v>
      </c>
      <c r="B3587">
        <v>39</v>
      </c>
      <c r="C3587" t="s">
        <v>153</v>
      </c>
      <c r="D3587" t="s">
        <v>143</v>
      </c>
      <c r="E3587" t="s">
        <v>69</v>
      </c>
      <c r="F3587" s="1">
        <v>41</v>
      </c>
      <c r="G3587" t="s">
        <v>85</v>
      </c>
      <c r="H3587" t="s">
        <v>92</v>
      </c>
      <c r="I3587" t="s">
        <v>24</v>
      </c>
      <c r="J3587" t="s">
        <v>25</v>
      </c>
      <c r="K3587" s="2">
        <v>4.0999999999999996</v>
      </c>
      <c r="L3587" t="s">
        <v>152</v>
      </c>
      <c r="M3587" t="s">
        <v>35</v>
      </c>
      <c r="N3587" t="s">
        <v>55</v>
      </c>
      <c r="O3587" t="s">
        <v>152</v>
      </c>
      <c r="P3587" t="s">
        <v>152</v>
      </c>
      <c r="Q3587" s="3">
        <v>4</v>
      </c>
      <c r="R3587" t="s">
        <v>29</v>
      </c>
      <c r="S3587" t="s">
        <v>77</v>
      </c>
    </row>
    <row r="3588" spans="1:19" x14ac:dyDescent="0.25">
      <c r="A3588">
        <v>3587</v>
      </c>
      <c r="B3588">
        <v>33</v>
      </c>
      <c r="C3588" t="s">
        <v>153</v>
      </c>
      <c r="D3588" t="s">
        <v>104</v>
      </c>
      <c r="E3588" t="s">
        <v>21</v>
      </c>
      <c r="F3588" s="1">
        <v>28</v>
      </c>
      <c r="G3588" t="s">
        <v>135</v>
      </c>
      <c r="H3588" t="s">
        <v>45</v>
      </c>
      <c r="I3588" t="s">
        <v>134</v>
      </c>
      <c r="J3588" t="s">
        <v>25</v>
      </c>
      <c r="K3588" s="2">
        <v>4.5999999999999996</v>
      </c>
      <c r="L3588" t="s">
        <v>152</v>
      </c>
      <c r="M3588" t="s">
        <v>46</v>
      </c>
      <c r="N3588" t="s">
        <v>76</v>
      </c>
      <c r="O3588" t="s">
        <v>152</v>
      </c>
      <c r="P3588" t="s">
        <v>152</v>
      </c>
      <c r="Q3588" s="3">
        <v>12</v>
      </c>
      <c r="R3588" t="s">
        <v>46</v>
      </c>
      <c r="S3588" t="s">
        <v>77</v>
      </c>
    </row>
    <row r="3589" spans="1:19" x14ac:dyDescent="0.25">
      <c r="A3589">
        <v>3588</v>
      </c>
      <c r="B3589">
        <v>33</v>
      </c>
      <c r="C3589" t="s">
        <v>153</v>
      </c>
      <c r="D3589" t="s">
        <v>31</v>
      </c>
      <c r="E3589" t="s">
        <v>21</v>
      </c>
      <c r="F3589" s="1">
        <v>90</v>
      </c>
      <c r="G3589" t="s">
        <v>141</v>
      </c>
      <c r="H3589" t="s">
        <v>38</v>
      </c>
      <c r="I3589" t="s">
        <v>84</v>
      </c>
      <c r="J3589" t="s">
        <v>54</v>
      </c>
      <c r="K3589" s="2">
        <v>4.4000000000000004</v>
      </c>
      <c r="L3589" t="s">
        <v>152</v>
      </c>
      <c r="M3589" t="s">
        <v>59</v>
      </c>
      <c r="N3589" t="s">
        <v>55</v>
      </c>
      <c r="O3589" t="s">
        <v>152</v>
      </c>
      <c r="P3589" t="s">
        <v>152</v>
      </c>
      <c r="Q3589" s="3">
        <v>33</v>
      </c>
      <c r="R3589" t="s">
        <v>59</v>
      </c>
      <c r="S3589" t="s">
        <v>50</v>
      </c>
    </row>
    <row r="3590" spans="1:19" x14ac:dyDescent="0.25">
      <c r="A3590">
        <v>3589</v>
      </c>
      <c r="B3590">
        <v>23</v>
      </c>
      <c r="C3590" t="s">
        <v>153</v>
      </c>
      <c r="D3590" t="s">
        <v>89</v>
      </c>
      <c r="E3590" t="s">
        <v>69</v>
      </c>
      <c r="F3590" s="1">
        <v>55</v>
      </c>
      <c r="G3590" t="s">
        <v>151</v>
      </c>
      <c r="H3590" t="s">
        <v>45</v>
      </c>
      <c r="I3590" t="s">
        <v>136</v>
      </c>
      <c r="J3590" t="s">
        <v>39</v>
      </c>
      <c r="K3590" s="2">
        <v>3.5</v>
      </c>
      <c r="L3590" t="s">
        <v>152</v>
      </c>
      <c r="M3590" t="s">
        <v>34</v>
      </c>
      <c r="N3590" t="s">
        <v>72</v>
      </c>
      <c r="O3590" t="s">
        <v>152</v>
      </c>
      <c r="P3590" t="s">
        <v>152</v>
      </c>
      <c r="Q3590" s="3">
        <v>40</v>
      </c>
      <c r="R3590" t="s">
        <v>35</v>
      </c>
      <c r="S3590" t="s">
        <v>50</v>
      </c>
    </row>
    <row r="3591" spans="1:19" x14ac:dyDescent="0.25">
      <c r="A3591">
        <v>3590</v>
      </c>
      <c r="B3591">
        <v>31</v>
      </c>
      <c r="C3591" t="s">
        <v>153</v>
      </c>
      <c r="D3591" t="s">
        <v>133</v>
      </c>
      <c r="E3591" t="s">
        <v>69</v>
      </c>
      <c r="F3591" s="1">
        <v>73</v>
      </c>
      <c r="G3591" t="s">
        <v>83</v>
      </c>
      <c r="H3591" t="s">
        <v>45</v>
      </c>
      <c r="I3591" t="s">
        <v>144</v>
      </c>
      <c r="J3591" t="s">
        <v>39</v>
      </c>
      <c r="K3591" s="2">
        <v>4.8</v>
      </c>
      <c r="L3591" t="s">
        <v>152</v>
      </c>
      <c r="M3591" t="s">
        <v>35</v>
      </c>
      <c r="N3591" t="s">
        <v>47</v>
      </c>
      <c r="O3591" t="s">
        <v>152</v>
      </c>
      <c r="P3591" t="s">
        <v>152</v>
      </c>
      <c r="Q3591" s="3">
        <v>38</v>
      </c>
      <c r="R3591" t="s">
        <v>35</v>
      </c>
      <c r="S3591" t="s">
        <v>97</v>
      </c>
    </row>
    <row r="3592" spans="1:19" x14ac:dyDescent="0.25">
      <c r="A3592">
        <v>3591</v>
      </c>
      <c r="B3592">
        <v>27</v>
      </c>
      <c r="C3592" t="s">
        <v>153</v>
      </c>
      <c r="D3592" t="s">
        <v>82</v>
      </c>
      <c r="E3592" t="s">
        <v>21</v>
      </c>
      <c r="F3592" s="1">
        <v>87</v>
      </c>
      <c r="G3592" t="s">
        <v>147</v>
      </c>
      <c r="H3592" t="s">
        <v>45</v>
      </c>
      <c r="I3592" t="s">
        <v>24</v>
      </c>
      <c r="J3592" t="s">
        <v>58</v>
      </c>
      <c r="K3592" s="2">
        <v>2.9</v>
      </c>
      <c r="L3592" t="s">
        <v>152</v>
      </c>
      <c r="M3592" t="s">
        <v>46</v>
      </c>
      <c r="N3592" t="s">
        <v>72</v>
      </c>
      <c r="O3592" t="s">
        <v>152</v>
      </c>
      <c r="P3592" t="s">
        <v>152</v>
      </c>
      <c r="Q3592" s="3">
        <v>19</v>
      </c>
      <c r="R3592" t="s">
        <v>29</v>
      </c>
      <c r="S3592" t="s">
        <v>97</v>
      </c>
    </row>
    <row r="3593" spans="1:19" x14ac:dyDescent="0.25">
      <c r="A3593">
        <v>3592</v>
      </c>
      <c r="B3593">
        <v>48</v>
      </c>
      <c r="C3593" t="s">
        <v>153</v>
      </c>
      <c r="D3593" t="s">
        <v>102</v>
      </c>
      <c r="E3593" t="s">
        <v>65</v>
      </c>
      <c r="F3593" s="1">
        <v>89</v>
      </c>
      <c r="G3593" t="s">
        <v>147</v>
      </c>
      <c r="H3593" t="s">
        <v>45</v>
      </c>
      <c r="I3593" t="s">
        <v>81</v>
      </c>
      <c r="J3593" t="s">
        <v>25</v>
      </c>
      <c r="K3593" s="2">
        <v>3.2</v>
      </c>
      <c r="L3593" t="s">
        <v>152</v>
      </c>
      <c r="M3593" t="s">
        <v>35</v>
      </c>
      <c r="N3593" t="s">
        <v>72</v>
      </c>
      <c r="O3593" t="s">
        <v>152</v>
      </c>
      <c r="P3593" t="s">
        <v>152</v>
      </c>
      <c r="Q3593" s="3">
        <v>38</v>
      </c>
      <c r="R3593" t="s">
        <v>34</v>
      </c>
      <c r="S3593" t="s">
        <v>60</v>
      </c>
    </row>
    <row r="3594" spans="1:19" x14ac:dyDescent="0.25">
      <c r="A3594">
        <v>3593</v>
      </c>
      <c r="B3594">
        <v>61</v>
      </c>
      <c r="C3594" t="s">
        <v>153</v>
      </c>
      <c r="D3594" t="s">
        <v>137</v>
      </c>
      <c r="E3594" t="s">
        <v>43</v>
      </c>
      <c r="F3594" s="1">
        <v>82</v>
      </c>
      <c r="G3594" t="s">
        <v>127</v>
      </c>
      <c r="H3594" t="s">
        <v>23</v>
      </c>
      <c r="I3594" t="s">
        <v>93</v>
      </c>
      <c r="J3594" t="s">
        <v>39</v>
      </c>
      <c r="K3594" s="2">
        <v>4.4000000000000004</v>
      </c>
      <c r="L3594" t="s">
        <v>152</v>
      </c>
      <c r="M3594" t="s">
        <v>35</v>
      </c>
      <c r="N3594" t="s">
        <v>72</v>
      </c>
      <c r="O3594" t="s">
        <v>152</v>
      </c>
      <c r="P3594" t="s">
        <v>152</v>
      </c>
      <c r="Q3594" s="3">
        <v>18</v>
      </c>
      <c r="R3594" t="s">
        <v>29</v>
      </c>
      <c r="S3594" t="s">
        <v>30</v>
      </c>
    </row>
    <row r="3595" spans="1:19" x14ac:dyDescent="0.25">
      <c r="A3595">
        <v>3594</v>
      </c>
      <c r="B3595">
        <v>63</v>
      </c>
      <c r="C3595" t="s">
        <v>153</v>
      </c>
      <c r="D3595" t="s">
        <v>42</v>
      </c>
      <c r="E3595" t="s">
        <v>43</v>
      </c>
      <c r="F3595" s="1">
        <v>80</v>
      </c>
      <c r="G3595" t="s">
        <v>52</v>
      </c>
      <c r="H3595" t="s">
        <v>45</v>
      </c>
      <c r="I3595" t="s">
        <v>94</v>
      </c>
      <c r="J3595" t="s">
        <v>39</v>
      </c>
      <c r="K3595" s="2">
        <v>4.5999999999999996</v>
      </c>
      <c r="L3595" t="s">
        <v>152</v>
      </c>
      <c r="M3595" t="s">
        <v>34</v>
      </c>
      <c r="N3595" t="s">
        <v>47</v>
      </c>
      <c r="O3595" t="s">
        <v>152</v>
      </c>
      <c r="P3595" t="s">
        <v>152</v>
      </c>
      <c r="Q3595" s="3">
        <v>24</v>
      </c>
      <c r="R3595" t="s">
        <v>46</v>
      </c>
      <c r="S3595" t="s">
        <v>88</v>
      </c>
    </row>
    <row r="3596" spans="1:19" x14ac:dyDescent="0.25">
      <c r="A3596">
        <v>3595</v>
      </c>
      <c r="B3596">
        <v>19</v>
      </c>
      <c r="C3596" t="s">
        <v>153</v>
      </c>
      <c r="D3596" t="s">
        <v>119</v>
      </c>
      <c r="E3596" t="s">
        <v>69</v>
      </c>
      <c r="F3596" s="1">
        <v>87</v>
      </c>
      <c r="G3596" t="s">
        <v>90</v>
      </c>
      <c r="H3596" t="s">
        <v>23</v>
      </c>
      <c r="I3596" t="s">
        <v>63</v>
      </c>
      <c r="J3596" t="s">
        <v>54</v>
      </c>
      <c r="K3596" s="2">
        <v>2.6</v>
      </c>
      <c r="L3596" t="s">
        <v>152</v>
      </c>
      <c r="M3596" t="s">
        <v>46</v>
      </c>
      <c r="N3596" t="s">
        <v>72</v>
      </c>
      <c r="O3596" t="s">
        <v>152</v>
      </c>
      <c r="P3596" t="s">
        <v>152</v>
      </c>
      <c r="Q3596" s="3">
        <v>29</v>
      </c>
      <c r="R3596" t="s">
        <v>29</v>
      </c>
      <c r="S3596" t="s">
        <v>60</v>
      </c>
    </row>
    <row r="3597" spans="1:19" x14ac:dyDescent="0.25">
      <c r="A3597">
        <v>3596</v>
      </c>
      <c r="B3597">
        <v>21</v>
      </c>
      <c r="C3597" t="s">
        <v>153</v>
      </c>
      <c r="D3597" t="s">
        <v>20</v>
      </c>
      <c r="E3597" t="s">
        <v>21</v>
      </c>
      <c r="F3597" s="1">
        <v>41</v>
      </c>
      <c r="G3597" t="s">
        <v>147</v>
      </c>
      <c r="H3597" t="s">
        <v>45</v>
      </c>
      <c r="I3597" t="s">
        <v>84</v>
      </c>
      <c r="J3597" t="s">
        <v>39</v>
      </c>
      <c r="K3597" s="2">
        <v>3.1</v>
      </c>
      <c r="L3597" t="s">
        <v>152</v>
      </c>
      <c r="M3597" t="s">
        <v>35</v>
      </c>
      <c r="N3597" t="s">
        <v>76</v>
      </c>
      <c r="O3597" t="s">
        <v>152</v>
      </c>
      <c r="P3597" t="s">
        <v>152</v>
      </c>
      <c r="Q3597" s="3">
        <v>14</v>
      </c>
      <c r="R3597" t="s">
        <v>46</v>
      </c>
      <c r="S3597" t="s">
        <v>50</v>
      </c>
    </row>
    <row r="3598" spans="1:19" x14ac:dyDescent="0.25">
      <c r="A3598">
        <v>3597</v>
      </c>
      <c r="B3598">
        <v>28</v>
      </c>
      <c r="C3598" t="s">
        <v>153</v>
      </c>
      <c r="D3598" t="s">
        <v>104</v>
      </c>
      <c r="E3598" t="s">
        <v>21</v>
      </c>
      <c r="F3598" s="1">
        <v>83</v>
      </c>
      <c r="G3598" t="s">
        <v>131</v>
      </c>
      <c r="H3598" t="s">
        <v>45</v>
      </c>
      <c r="I3598" t="s">
        <v>63</v>
      </c>
      <c r="J3598" t="s">
        <v>39</v>
      </c>
      <c r="K3598" s="2">
        <v>4.3</v>
      </c>
      <c r="L3598" t="s">
        <v>152</v>
      </c>
      <c r="M3598" t="s">
        <v>34</v>
      </c>
      <c r="N3598" t="s">
        <v>55</v>
      </c>
      <c r="O3598" t="s">
        <v>152</v>
      </c>
      <c r="P3598" t="s">
        <v>152</v>
      </c>
      <c r="Q3598" s="3">
        <v>44</v>
      </c>
      <c r="R3598" t="s">
        <v>35</v>
      </c>
      <c r="S3598" t="s">
        <v>30</v>
      </c>
    </row>
    <row r="3599" spans="1:19" x14ac:dyDescent="0.25">
      <c r="A3599">
        <v>3598</v>
      </c>
      <c r="B3599">
        <v>29</v>
      </c>
      <c r="C3599" t="s">
        <v>153</v>
      </c>
      <c r="D3599" t="s">
        <v>89</v>
      </c>
      <c r="E3599" t="s">
        <v>69</v>
      </c>
      <c r="F3599" s="1">
        <v>71</v>
      </c>
      <c r="G3599" t="s">
        <v>130</v>
      </c>
      <c r="H3599" t="s">
        <v>45</v>
      </c>
      <c r="I3599" t="s">
        <v>33</v>
      </c>
      <c r="J3599" t="s">
        <v>54</v>
      </c>
      <c r="K3599" s="2">
        <v>3.1</v>
      </c>
      <c r="L3599" t="s">
        <v>152</v>
      </c>
      <c r="M3599" t="s">
        <v>35</v>
      </c>
      <c r="N3599" t="s">
        <v>55</v>
      </c>
      <c r="O3599" t="s">
        <v>152</v>
      </c>
      <c r="P3599" t="s">
        <v>152</v>
      </c>
      <c r="Q3599" s="3">
        <v>18</v>
      </c>
      <c r="R3599" t="s">
        <v>34</v>
      </c>
      <c r="S3599" t="s">
        <v>60</v>
      </c>
    </row>
    <row r="3600" spans="1:19" x14ac:dyDescent="0.25">
      <c r="A3600">
        <v>3599</v>
      </c>
      <c r="B3600">
        <v>23</v>
      </c>
      <c r="C3600" t="s">
        <v>153</v>
      </c>
      <c r="D3600" t="s">
        <v>104</v>
      </c>
      <c r="E3600" t="s">
        <v>21</v>
      </c>
      <c r="F3600" s="1">
        <v>76</v>
      </c>
      <c r="G3600" t="s">
        <v>139</v>
      </c>
      <c r="H3600" t="s">
        <v>92</v>
      </c>
      <c r="I3600" t="s">
        <v>75</v>
      </c>
      <c r="J3600" t="s">
        <v>39</v>
      </c>
      <c r="K3600" s="2">
        <v>4.5999999999999996</v>
      </c>
      <c r="L3600" t="s">
        <v>152</v>
      </c>
      <c r="M3600" t="s">
        <v>34</v>
      </c>
      <c r="N3600" t="s">
        <v>76</v>
      </c>
      <c r="O3600" t="s">
        <v>152</v>
      </c>
      <c r="P3600" t="s">
        <v>152</v>
      </c>
      <c r="Q3600" s="3">
        <v>19</v>
      </c>
      <c r="R3600" t="s">
        <v>34</v>
      </c>
      <c r="S3600" t="s">
        <v>77</v>
      </c>
    </row>
    <row r="3601" spans="1:19" x14ac:dyDescent="0.25">
      <c r="A3601">
        <v>3600</v>
      </c>
      <c r="B3601">
        <v>37</v>
      </c>
      <c r="C3601" t="s">
        <v>153</v>
      </c>
      <c r="D3601" t="s">
        <v>119</v>
      </c>
      <c r="E3601" t="s">
        <v>69</v>
      </c>
      <c r="F3601" s="1">
        <v>34</v>
      </c>
      <c r="G3601" t="s">
        <v>111</v>
      </c>
      <c r="H3601" t="s">
        <v>38</v>
      </c>
      <c r="I3601" t="s">
        <v>100</v>
      </c>
      <c r="J3601" t="s">
        <v>39</v>
      </c>
      <c r="K3601" s="2">
        <v>4.5999999999999996</v>
      </c>
      <c r="L3601" t="s">
        <v>152</v>
      </c>
      <c r="M3601" t="s">
        <v>35</v>
      </c>
      <c r="N3601" t="s">
        <v>28</v>
      </c>
      <c r="O3601" t="s">
        <v>152</v>
      </c>
      <c r="P3601" t="s">
        <v>152</v>
      </c>
      <c r="Q3601" s="3">
        <v>4</v>
      </c>
      <c r="R3601" t="s">
        <v>35</v>
      </c>
      <c r="S3601" t="s">
        <v>41</v>
      </c>
    </row>
    <row r="3602" spans="1:19" x14ac:dyDescent="0.25">
      <c r="A3602">
        <v>3601</v>
      </c>
      <c r="B3602">
        <v>67</v>
      </c>
      <c r="C3602" t="s">
        <v>153</v>
      </c>
      <c r="D3602" t="s">
        <v>82</v>
      </c>
      <c r="E3602" t="s">
        <v>21</v>
      </c>
      <c r="F3602" s="1">
        <v>81</v>
      </c>
      <c r="G3602" t="s">
        <v>131</v>
      </c>
      <c r="H3602" t="s">
        <v>92</v>
      </c>
      <c r="I3602" t="s">
        <v>79</v>
      </c>
      <c r="J3602" t="s">
        <v>39</v>
      </c>
      <c r="K3602" s="2">
        <v>2.7</v>
      </c>
      <c r="L3602" t="s">
        <v>152</v>
      </c>
      <c r="M3602" t="s">
        <v>46</v>
      </c>
      <c r="N3602" t="s">
        <v>40</v>
      </c>
      <c r="O3602" t="s">
        <v>152</v>
      </c>
      <c r="P3602" t="s">
        <v>152</v>
      </c>
      <c r="Q3602" s="3">
        <v>25</v>
      </c>
      <c r="R3602" t="s">
        <v>35</v>
      </c>
      <c r="S3602" t="s">
        <v>77</v>
      </c>
    </row>
    <row r="3603" spans="1:19" x14ac:dyDescent="0.25">
      <c r="A3603">
        <v>3602</v>
      </c>
      <c r="B3603">
        <v>34</v>
      </c>
      <c r="C3603" t="s">
        <v>153</v>
      </c>
      <c r="D3603" t="s">
        <v>113</v>
      </c>
      <c r="E3603" t="s">
        <v>21</v>
      </c>
      <c r="F3603" s="1">
        <v>47</v>
      </c>
      <c r="G3603" t="s">
        <v>98</v>
      </c>
      <c r="H3603" t="s">
        <v>45</v>
      </c>
      <c r="I3603" t="s">
        <v>126</v>
      </c>
      <c r="J3603" t="s">
        <v>54</v>
      </c>
      <c r="K3603" s="2">
        <v>3</v>
      </c>
      <c r="L3603" t="s">
        <v>152</v>
      </c>
      <c r="M3603" t="s">
        <v>59</v>
      </c>
      <c r="N3603" t="s">
        <v>47</v>
      </c>
      <c r="O3603" t="s">
        <v>152</v>
      </c>
      <c r="P3603" t="s">
        <v>152</v>
      </c>
      <c r="Q3603" s="3">
        <v>3</v>
      </c>
      <c r="R3603" t="s">
        <v>46</v>
      </c>
      <c r="S3603" t="s">
        <v>88</v>
      </c>
    </row>
    <row r="3604" spans="1:19" x14ac:dyDescent="0.25">
      <c r="A3604">
        <v>3603</v>
      </c>
      <c r="B3604">
        <v>58</v>
      </c>
      <c r="C3604" t="s">
        <v>153</v>
      </c>
      <c r="D3604" t="s">
        <v>87</v>
      </c>
      <c r="E3604" t="s">
        <v>21</v>
      </c>
      <c r="F3604" s="1">
        <v>36</v>
      </c>
      <c r="G3604" t="s">
        <v>52</v>
      </c>
      <c r="H3604" t="s">
        <v>38</v>
      </c>
      <c r="I3604" t="s">
        <v>136</v>
      </c>
      <c r="J3604" t="s">
        <v>54</v>
      </c>
      <c r="K3604" s="2">
        <v>3.3</v>
      </c>
      <c r="L3604" t="s">
        <v>152</v>
      </c>
      <c r="M3604" t="s">
        <v>34</v>
      </c>
      <c r="N3604" t="s">
        <v>76</v>
      </c>
      <c r="O3604" t="s">
        <v>152</v>
      </c>
      <c r="P3604" t="s">
        <v>152</v>
      </c>
      <c r="Q3604" s="3">
        <v>40</v>
      </c>
      <c r="R3604" t="s">
        <v>59</v>
      </c>
      <c r="S3604" t="s">
        <v>60</v>
      </c>
    </row>
    <row r="3605" spans="1:19" x14ac:dyDescent="0.25">
      <c r="A3605">
        <v>3604</v>
      </c>
      <c r="B3605">
        <v>45</v>
      </c>
      <c r="C3605" t="s">
        <v>153</v>
      </c>
      <c r="D3605" t="s">
        <v>36</v>
      </c>
      <c r="E3605" t="s">
        <v>21</v>
      </c>
      <c r="F3605" s="1">
        <v>51</v>
      </c>
      <c r="G3605" t="s">
        <v>62</v>
      </c>
      <c r="H3605" t="s">
        <v>45</v>
      </c>
      <c r="I3605" t="s">
        <v>81</v>
      </c>
      <c r="J3605" t="s">
        <v>39</v>
      </c>
      <c r="K3605" s="2">
        <v>2.7</v>
      </c>
      <c r="L3605" t="s">
        <v>152</v>
      </c>
      <c r="M3605" t="s">
        <v>59</v>
      </c>
      <c r="N3605" t="s">
        <v>40</v>
      </c>
      <c r="O3605" t="s">
        <v>152</v>
      </c>
      <c r="P3605" t="s">
        <v>152</v>
      </c>
      <c r="Q3605" s="3">
        <v>5</v>
      </c>
      <c r="R3605" t="s">
        <v>35</v>
      </c>
      <c r="S3605" t="s">
        <v>41</v>
      </c>
    </row>
    <row r="3606" spans="1:19" x14ac:dyDescent="0.25">
      <c r="A3606">
        <v>3605</v>
      </c>
      <c r="B3606">
        <v>63</v>
      </c>
      <c r="C3606" t="s">
        <v>153</v>
      </c>
      <c r="D3606" t="s">
        <v>104</v>
      </c>
      <c r="E3606" t="s">
        <v>21</v>
      </c>
      <c r="F3606" s="1">
        <v>86</v>
      </c>
      <c r="G3606" t="s">
        <v>62</v>
      </c>
      <c r="H3606" t="s">
        <v>45</v>
      </c>
      <c r="I3606" t="s">
        <v>121</v>
      </c>
      <c r="J3606" t="s">
        <v>58</v>
      </c>
      <c r="K3606" s="2">
        <v>3.3</v>
      </c>
      <c r="L3606" t="s">
        <v>152</v>
      </c>
      <c r="M3606" t="s">
        <v>34</v>
      </c>
      <c r="N3606" t="s">
        <v>55</v>
      </c>
      <c r="O3606" t="s">
        <v>152</v>
      </c>
      <c r="P3606" t="s">
        <v>152</v>
      </c>
      <c r="Q3606" s="3">
        <v>17</v>
      </c>
      <c r="R3606" t="s">
        <v>59</v>
      </c>
      <c r="S3606" t="s">
        <v>50</v>
      </c>
    </row>
    <row r="3607" spans="1:19" x14ac:dyDescent="0.25">
      <c r="A3607">
        <v>3606</v>
      </c>
      <c r="B3607">
        <v>68</v>
      </c>
      <c r="C3607" t="s">
        <v>153</v>
      </c>
      <c r="D3607" t="s">
        <v>36</v>
      </c>
      <c r="E3607" t="s">
        <v>21</v>
      </c>
      <c r="F3607" s="1">
        <v>41</v>
      </c>
      <c r="G3607" t="s">
        <v>90</v>
      </c>
      <c r="H3607" t="s">
        <v>45</v>
      </c>
      <c r="I3607" t="s">
        <v>81</v>
      </c>
      <c r="J3607" t="s">
        <v>58</v>
      </c>
      <c r="K3607" s="2">
        <v>4.3</v>
      </c>
      <c r="L3607" t="s">
        <v>152</v>
      </c>
      <c r="M3607" t="s">
        <v>29</v>
      </c>
      <c r="N3607" t="s">
        <v>76</v>
      </c>
      <c r="O3607" t="s">
        <v>152</v>
      </c>
      <c r="P3607" t="s">
        <v>152</v>
      </c>
      <c r="Q3607" s="3">
        <v>36</v>
      </c>
      <c r="R3607" t="s">
        <v>34</v>
      </c>
      <c r="S3607" t="s">
        <v>97</v>
      </c>
    </row>
    <row r="3608" spans="1:19" x14ac:dyDescent="0.25">
      <c r="A3608">
        <v>3607</v>
      </c>
      <c r="B3608">
        <v>41</v>
      </c>
      <c r="C3608" t="s">
        <v>153</v>
      </c>
      <c r="D3608" t="s">
        <v>42</v>
      </c>
      <c r="E3608" t="s">
        <v>43</v>
      </c>
      <c r="F3608" s="1">
        <v>90</v>
      </c>
      <c r="G3608" t="s">
        <v>148</v>
      </c>
      <c r="H3608" t="s">
        <v>92</v>
      </c>
      <c r="I3608" t="s">
        <v>75</v>
      </c>
      <c r="J3608" t="s">
        <v>58</v>
      </c>
      <c r="K3608" s="2">
        <v>4.8</v>
      </c>
      <c r="L3608" t="s">
        <v>152</v>
      </c>
      <c r="M3608" t="s">
        <v>35</v>
      </c>
      <c r="N3608" t="s">
        <v>28</v>
      </c>
      <c r="O3608" t="s">
        <v>152</v>
      </c>
      <c r="P3608" t="s">
        <v>152</v>
      </c>
      <c r="Q3608" s="3">
        <v>41</v>
      </c>
      <c r="R3608" t="s">
        <v>29</v>
      </c>
      <c r="S3608" t="s">
        <v>50</v>
      </c>
    </row>
    <row r="3609" spans="1:19" x14ac:dyDescent="0.25">
      <c r="A3609">
        <v>3608</v>
      </c>
      <c r="B3609">
        <v>50</v>
      </c>
      <c r="C3609" t="s">
        <v>153</v>
      </c>
      <c r="D3609" t="s">
        <v>124</v>
      </c>
      <c r="E3609" t="s">
        <v>69</v>
      </c>
      <c r="F3609" s="1">
        <v>93</v>
      </c>
      <c r="G3609" t="s">
        <v>130</v>
      </c>
      <c r="H3609" t="s">
        <v>23</v>
      </c>
      <c r="I3609" t="s">
        <v>63</v>
      </c>
      <c r="J3609" t="s">
        <v>58</v>
      </c>
      <c r="K3609" s="2">
        <v>3.3</v>
      </c>
      <c r="L3609" t="s">
        <v>152</v>
      </c>
      <c r="M3609" t="s">
        <v>59</v>
      </c>
      <c r="N3609" t="s">
        <v>55</v>
      </c>
      <c r="O3609" t="s">
        <v>152</v>
      </c>
      <c r="P3609" t="s">
        <v>152</v>
      </c>
      <c r="Q3609" s="3">
        <v>20</v>
      </c>
      <c r="R3609" t="s">
        <v>29</v>
      </c>
      <c r="S3609" t="s">
        <v>77</v>
      </c>
    </row>
    <row r="3610" spans="1:19" x14ac:dyDescent="0.25">
      <c r="A3610">
        <v>3609</v>
      </c>
      <c r="B3610">
        <v>24</v>
      </c>
      <c r="C3610" t="s">
        <v>153</v>
      </c>
      <c r="D3610" t="s">
        <v>143</v>
      </c>
      <c r="E3610" t="s">
        <v>69</v>
      </c>
      <c r="F3610" s="1">
        <v>56</v>
      </c>
      <c r="G3610" t="s">
        <v>122</v>
      </c>
      <c r="H3610" t="s">
        <v>45</v>
      </c>
      <c r="I3610" t="s">
        <v>109</v>
      </c>
      <c r="J3610" t="s">
        <v>58</v>
      </c>
      <c r="K3610" s="2">
        <v>4.3</v>
      </c>
      <c r="L3610" t="s">
        <v>152</v>
      </c>
      <c r="M3610" t="s">
        <v>34</v>
      </c>
      <c r="N3610" t="s">
        <v>47</v>
      </c>
      <c r="O3610" t="s">
        <v>152</v>
      </c>
      <c r="P3610" t="s">
        <v>152</v>
      </c>
      <c r="Q3610" s="3">
        <v>2</v>
      </c>
      <c r="R3610" t="s">
        <v>35</v>
      </c>
      <c r="S3610" t="s">
        <v>97</v>
      </c>
    </row>
    <row r="3611" spans="1:19" x14ac:dyDescent="0.25">
      <c r="A3611">
        <v>3610</v>
      </c>
      <c r="B3611">
        <v>21</v>
      </c>
      <c r="C3611" t="s">
        <v>153</v>
      </c>
      <c r="D3611" t="s">
        <v>125</v>
      </c>
      <c r="E3611" t="s">
        <v>21</v>
      </c>
      <c r="F3611" s="1">
        <v>39</v>
      </c>
      <c r="G3611" t="s">
        <v>130</v>
      </c>
      <c r="H3611" t="s">
        <v>45</v>
      </c>
      <c r="I3611" t="s">
        <v>109</v>
      </c>
      <c r="J3611" t="s">
        <v>54</v>
      </c>
      <c r="K3611" s="2">
        <v>3</v>
      </c>
      <c r="L3611" t="s">
        <v>152</v>
      </c>
      <c r="M3611" t="s">
        <v>59</v>
      </c>
      <c r="N3611" t="s">
        <v>72</v>
      </c>
      <c r="O3611" t="s">
        <v>152</v>
      </c>
      <c r="P3611" t="s">
        <v>152</v>
      </c>
      <c r="Q3611" s="3">
        <v>31</v>
      </c>
      <c r="R3611" t="s">
        <v>59</v>
      </c>
      <c r="S3611" t="s">
        <v>88</v>
      </c>
    </row>
    <row r="3612" spans="1:19" x14ac:dyDescent="0.25">
      <c r="A3612">
        <v>3611</v>
      </c>
      <c r="B3612">
        <v>18</v>
      </c>
      <c r="C3612" t="s">
        <v>153</v>
      </c>
      <c r="D3612" t="s">
        <v>102</v>
      </c>
      <c r="E3612" t="s">
        <v>65</v>
      </c>
      <c r="F3612" s="1">
        <v>86</v>
      </c>
      <c r="G3612" t="s">
        <v>105</v>
      </c>
      <c r="H3612" t="s">
        <v>92</v>
      </c>
      <c r="I3612" t="s">
        <v>96</v>
      </c>
      <c r="J3612" t="s">
        <v>58</v>
      </c>
      <c r="K3612" s="2">
        <v>4.8</v>
      </c>
      <c r="L3612" t="s">
        <v>152</v>
      </c>
      <c r="M3612" t="s">
        <v>27</v>
      </c>
      <c r="N3612" t="s">
        <v>72</v>
      </c>
      <c r="O3612" t="s">
        <v>152</v>
      </c>
      <c r="P3612" t="s">
        <v>152</v>
      </c>
      <c r="Q3612" s="3">
        <v>23</v>
      </c>
      <c r="R3612" t="s">
        <v>34</v>
      </c>
      <c r="S3612" t="s">
        <v>30</v>
      </c>
    </row>
    <row r="3613" spans="1:19" x14ac:dyDescent="0.25">
      <c r="A3613">
        <v>3612</v>
      </c>
      <c r="B3613">
        <v>63</v>
      </c>
      <c r="C3613" t="s">
        <v>153</v>
      </c>
      <c r="D3613" t="s">
        <v>113</v>
      </c>
      <c r="E3613" t="s">
        <v>21</v>
      </c>
      <c r="F3613" s="1">
        <v>82</v>
      </c>
      <c r="G3613" t="s">
        <v>149</v>
      </c>
      <c r="H3613" t="s">
        <v>45</v>
      </c>
      <c r="I3613" t="s">
        <v>67</v>
      </c>
      <c r="J3613" t="s">
        <v>39</v>
      </c>
      <c r="K3613" s="2">
        <v>2.9</v>
      </c>
      <c r="L3613" t="s">
        <v>152</v>
      </c>
      <c r="M3613" t="s">
        <v>46</v>
      </c>
      <c r="N3613" t="s">
        <v>55</v>
      </c>
      <c r="O3613" t="s">
        <v>152</v>
      </c>
      <c r="P3613" t="s">
        <v>152</v>
      </c>
      <c r="Q3613" s="3">
        <v>30</v>
      </c>
      <c r="R3613" t="s">
        <v>27</v>
      </c>
      <c r="S3613" t="s">
        <v>50</v>
      </c>
    </row>
    <row r="3614" spans="1:19" x14ac:dyDescent="0.25">
      <c r="A3614">
        <v>3613</v>
      </c>
      <c r="B3614">
        <v>47</v>
      </c>
      <c r="C3614" t="s">
        <v>153</v>
      </c>
      <c r="D3614" t="s">
        <v>42</v>
      </c>
      <c r="E3614" t="s">
        <v>43</v>
      </c>
      <c r="F3614" s="1">
        <v>29</v>
      </c>
      <c r="G3614" t="s">
        <v>151</v>
      </c>
      <c r="H3614" t="s">
        <v>45</v>
      </c>
      <c r="I3614" t="s">
        <v>86</v>
      </c>
      <c r="J3614" t="s">
        <v>54</v>
      </c>
      <c r="K3614" s="2">
        <v>3.6</v>
      </c>
      <c r="L3614" t="s">
        <v>152</v>
      </c>
      <c r="M3614" t="s">
        <v>27</v>
      </c>
      <c r="N3614" t="s">
        <v>55</v>
      </c>
      <c r="O3614" t="s">
        <v>152</v>
      </c>
      <c r="P3614" t="s">
        <v>152</v>
      </c>
      <c r="Q3614" s="3">
        <v>26</v>
      </c>
      <c r="R3614" t="s">
        <v>35</v>
      </c>
      <c r="S3614" t="s">
        <v>97</v>
      </c>
    </row>
    <row r="3615" spans="1:19" x14ac:dyDescent="0.25">
      <c r="A3615">
        <v>3614</v>
      </c>
      <c r="B3615">
        <v>58</v>
      </c>
      <c r="C3615" t="s">
        <v>153</v>
      </c>
      <c r="D3615" t="s">
        <v>124</v>
      </c>
      <c r="E3615" t="s">
        <v>69</v>
      </c>
      <c r="F3615" s="1">
        <v>27</v>
      </c>
      <c r="G3615" t="s">
        <v>148</v>
      </c>
      <c r="H3615" t="s">
        <v>45</v>
      </c>
      <c r="I3615" t="s">
        <v>136</v>
      </c>
      <c r="J3615" t="s">
        <v>58</v>
      </c>
      <c r="K3615" s="2">
        <v>3.5</v>
      </c>
      <c r="L3615" t="s">
        <v>152</v>
      </c>
      <c r="M3615" t="s">
        <v>35</v>
      </c>
      <c r="N3615" t="s">
        <v>76</v>
      </c>
      <c r="O3615" t="s">
        <v>152</v>
      </c>
      <c r="P3615" t="s">
        <v>152</v>
      </c>
      <c r="Q3615" s="3">
        <v>40</v>
      </c>
      <c r="R3615" t="s">
        <v>29</v>
      </c>
      <c r="S3615" t="s">
        <v>50</v>
      </c>
    </row>
    <row r="3616" spans="1:19" x14ac:dyDescent="0.25">
      <c r="A3616">
        <v>3615</v>
      </c>
      <c r="B3616">
        <v>46</v>
      </c>
      <c r="C3616" t="s">
        <v>153</v>
      </c>
      <c r="D3616" t="s">
        <v>143</v>
      </c>
      <c r="E3616" t="s">
        <v>69</v>
      </c>
      <c r="F3616" s="1">
        <v>25</v>
      </c>
      <c r="G3616" t="s">
        <v>80</v>
      </c>
      <c r="H3616" t="s">
        <v>23</v>
      </c>
      <c r="I3616" t="s">
        <v>33</v>
      </c>
      <c r="J3616" t="s">
        <v>39</v>
      </c>
      <c r="K3616" s="2">
        <v>4.7</v>
      </c>
      <c r="L3616" t="s">
        <v>152</v>
      </c>
      <c r="M3616" t="s">
        <v>34</v>
      </c>
      <c r="N3616" t="s">
        <v>72</v>
      </c>
      <c r="O3616" t="s">
        <v>152</v>
      </c>
      <c r="P3616" t="s">
        <v>152</v>
      </c>
      <c r="Q3616" s="3">
        <v>19</v>
      </c>
      <c r="R3616" t="s">
        <v>34</v>
      </c>
      <c r="S3616" t="s">
        <v>50</v>
      </c>
    </row>
    <row r="3617" spans="1:19" x14ac:dyDescent="0.25">
      <c r="A3617">
        <v>3616</v>
      </c>
      <c r="B3617">
        <v>35</v>
      </c>
      <c r="C3617" t="s">
        <v>153</v>
      </c>
      <c r="D3617" t="s">
        <v>82</v>
      </c>
      <c r="E3617" t="s">
        <v>21</v>
      </c>
      <c r="F3617" s="1">
        <v>31</v>
      </c>
      <c r="G3617" t="s">
        <v>99</v>
      </c>
      <c r="H3617" t="s">
        <v>45</v>
      </c>
      <c r="I3617" t="s">
        <v>81</v>
      </c>
      <c r="J3617" t="s">
        <v>25</v>
      </c>
      <c r="K3617" s="2">
        <v>4.4000000000000004</v>
      </c>
      <c r="L3617" t="s">
        <v>152</v>
      </c>
      <c r="M3617" t="s">
        <v>34</v>
      </c>
      <c r="N3617" t="s">
        <v>40</v>
      </c>
      <c r="O3617" t="s">
        <v>152</v>
      </c>
      <c r="P3617" t="s">
        <v>152</v>
      </c>
      <c r="Q3617" s="3">
        <v>4</v>
      </c>
      <c r="R3617" t="s">
        <v>27</v>
      </c>
      <c r="S3617" t="s">
        <v>88</v>
      </c>
    </row>
    <row r="3618" spans="1:19" x14ac:dyDescent="0.25">
      <c r="A3618">
        <v>3617</v>
      </c>
      <c r="B3618">
        <v>42</v>
      </c>
      <c r="C3618" t="s">
        <v>153</v>
      </c>
      <c r="D3618" t="s">
        <v>104</v>
      </c>
      <c r="E3618" t="s">
        <v>21</v>
      </c>
      <c r="F3618" s="1">
        <v>23</v>
      </c>
      <c r="G3618" t="s">
        <v>150</v>
      </c>
      <c r="H3618" t="s">
        <v>23</v>
      </c>
      <c r="I3618" t="s">
        <v>75</v>
      </c>
      <c r="J3618" t="s">
        <v>25</v>
      </c>
      <c r="K3618" s="2">
        <v>3.3</v>
      </c>
      <c r="L3618" t="s">
        <v>152</v>
      </c>
      <c r="M3618" t="s">
        <v>35</v>
      </c>
      <c r="N3618" t="s">
        <v>76</v>
      </c>
      <c r="O3618" t="s">
        <v>152</v>
      </c>
      <c r="P3618" t="s">
        <v>152</v>
      </c>
      <c r="Q3618" s="3">
        <v>33</v>
      </c>
      <c r="R3618" t="s">
        <v>59</v>
      </c>
      <c r="S3618" t="s">
        <v>30</v>
      </c>
    </row>
    <row r="3619" spans="1:19" x14ac:dyDescent="0.25">
      <c r="A3619">
        <v>3618</v>
      </c>
      <c r="B3619">
        <v>48</v>
      </c>
      <c r="C3619" t="s">
        <v>153</v>
      </c>
      <c r="D3619" t="s">
        <v>133</v>
      </c>
      <c r="E3619" t="s">
        <v>69</v>
      </c>
      <c r="F3619" s="1">
        <v>47</v>
      </c>
      <c r="G3619" t="s">
        <v>22</v>
      </c>
      <c r="H3619" t="s">
        <v>45</v>
      </c>
      <c r="I3619" t="s">
        <v>93</v>
      </c>
      <c r="J3619" t="s">
        <v>58</v>
      </c>
      <c r="K3619" s="2">
        <v>4.3</v>
      </c>
      <c r="L3619" t="s">
        <v>152</v>
      </c>
      <c r="M3619" t="s">
        <v>59</v>
      </c>
      <c r="N3619" t="s">
        <v>28</v>
      </c>
      <c r="O3619" t="s">
        <v>152</v>
      </c>
      <c r="P3619" t="s">
        <v>152</v>
      </c>
      <c r="Q3619" s="3">
        <v>29</v>
      </c>
      <c r="R3619" t="s">
        <v>59</v>
      </c>
      <c r="S3619" t="s">
        <v>88</v>
      </c>
    </row>
    <row r="3620" spans="1:19" x14ac:dyDescent="0.25">
      <c r="A3620">
        <v>3619</v>
      </c>
      <c r="B3620">
        <v>28</v>
      </c>
      <c r="C3620" t="s">
        <v>153</v>
      </c>
      <c r="D3620" t="s">
        <v>143</v>
      </c>
      <c r="E3620" t="s">
        <v>69</v>
      </c>
      <c r="F3620" s="1">
        <v>67</v>
      </c>
      <c r="G3620" t="s">
        <v>107</v>
      </c>
      <c r="H3620" t="s">
        <v>45</v>
      </c>
      <c r="I3620" t="s">
        <v>33</v>
      </c>
      <c r="J3620" t="s">
        <v>58</v>
      </c>
      <c r="K3620" s="2">
        <v>4</v>
      </c>
      <c r="L3620" t="s">
        <v>152</v>
      </c>
      <c r="M3620" t="s">
        <v>29</v>
      </c>
      <c r="N3620" t="s">
        <v>72</v>
      </c>
      <c r="O3620" t="s">
        <v>152</v>
      </c>
      <c r="P3620" t="s">
        <v>152</v>
      </c>
      <c r="Q3620" s="3">
        <v>47</v>
      </c>
      <c r="R3620" t="s">
        <v>46</v>
      </c>
      <c r="S3620" t="s">
        <v>77</v>
      </c>
    </row>
    <row r="3621" spans="1:19" x14ac:dyDescent="0.25">
      <c r="A3621">
        <v>3620</v>
      </c>
      <c r="B3621">
        <v>44</v>
      </c>
      <c r="C3621" t="s">
        <v>153</v>
      </c>
      <c r="D3621" t="s">
        <v>119</v>
      </c>
      <c r="E3621" t="s">
        <v>69</v>
      </c>
      <c r="F3621" s="1">
        <v>75</v>
      </c>
      <c r="G3621" t="s">
        <v>98</v>
      </c>
      <c r="H3621" t="s">
        <v>38</v>
      </c>
      <c r="I3621" t="s">
        <v>136</v>
      </c>
      <c r="J3621" t="s">
        <v>25</v>
      </c>
      <c r="K3621" s="2">
        <v>4.9000000000000004</v>
      </c>
      <c r="L3621" t="s">
        <v>152</v>
      </c>
      <c r="M3621" t="s">
        <v>35</v>
      </c>
      <c r="N3621" t="s">
        <v>72</v>
      </c>
      <c r="O3621" t="s">
        <v>152</v>
      </c>
      <c r="P3621" t="s">
        <v>152</v>
      </c>
      <c r="Q3621" s="3">
        <v>50</v>
      </c>
      <c r="R3621" t="s">
        <v>29</v>
      </c>
      <c r="S3621" t="s">
        <v>41</v>
      </c>
    </row>
    <row r="3622" spans="1:19" x14ac:dyDescent="0.25">
      <c r="A3622">
        <v>3621</v>
      </c>
      <c r="B3622">
        <v>60</v>
      </c>
      <c r="C3622" t="s">
        <v>153</v>
      </c>
      <c r="D3622" t="s">
        <v>42</v>
      </c>
      <c r="E3622" t="s">
        <v>43</v>
      </c>
      <c r="F3622" s="1">
        <v>82</v>
      </c>
      <c r="G3622" t="s">
        <v>62</v>
      </c>
      <c r="H3622" t="s">
        <v>45</v>
      </c>
      <c r="I3622" t="s">
        <v>49</v>
      </c>
      <c r="J3622" t="s">
        <v>54</v>
      </c>
      <c r="K3622" s="2">
        <v>2.9</v>
      </c>
      <c r="L3622" t="s">
        <v>152</v>
      </c>
      <c r="M3622" t="s">
        <v>27</v>
      </c>
      <c r="N3622" t="s">
        <v>28</v>
      </c>
      <c r="O3622" t="s">
        <v>152</v>
      </c>
      <c r="P3622" t="s">
        <v>152</v>
      </c>
      <c r="Q3622" s="3">
        <v>28</v>
      </c>
      <c r="R3622" t="s">
        <v>27</v>
      </c>
      <c r="S3622" t="s">
        <v>30</v>
      </c>
    </row>
    <row r="3623" spans="1:19" x14ac:dyDescent="0.25">
      <c r="A3623">
        <v>3622</v>
      </c>
      <c r="B3623">
        <v>38</v>
      </c>
      <c r="C3623" t="s">
        <v>153</v>
      </c>
      <c r="D3623" t="s">
        <v>51</v>
      </c>
      <c r="E3623" t="s">
        <v>43</v>
      </c>
      <c r="F3623" s="1">
        <v>32</v>
      </c>
      <c r="G3623" t="s">
        <v>127</v>
      </c>
      <c r="H3623" t="s">
        <v>92</v>
      </c>
      <c r="I3623" t="s">
        <v>67</v>
      </c>
      <c r="J3623" t="s">
        <v>54</v>
      </c>
      <c r="K3623" s="2">
        <v>4</v>
      </c>
      <c r="L3623" t="s">
        <v>152</v>
      </c>
      <c r="M3623" t="s">
        <v>29</v>
      </c>
      <c r="N3623" t="s">
        <v>72</v>
      </c>
      <c r="O3623" t="s">
        <v>152</v>
      </c>
      <c r="P3623" t="s">
        <v>152</v>
      </c>
      <c r="Q3623" s="3">
        <v>5</v>
      </c>
      <c r="R3623" t="s">
        <v>35</v>
      </c>
      <c r="S3623" t="s">
        <v>30</v>
      </c>
    </row>
    <row r="3624" spans="1:19" x14ac:dyDescent="0.25">
      <c r="A3624">
        <v>3623</v>
      </c>
      <c r="B3624">
        <v>46</v>
      </c>
      <c r="C3624" t="s">
        <v>153</v>
      </c>
      <c r="D3624" t="s">
        <v>82</v>
      </c>
      <c r="E3624" t="s">
        <v>21</v>
      </c>
      <c r="F3624" s="1">
        <v>41</v>
      </c>
      <c r="G3624" t="s">
        <v>150</v>
      </c>
      <c r="H3624" t="s">
        <v>45</v>
      </c>
      <c r="I3624" t="s">
        <v>75</v>
      </c>
      <c r="J3624" t="s">
        <v>58</v>
      </c>
      <c r="K3624" s="2">
        <v>4.3</v>
      </c>
      <c r="L3624" t="s">
        <v>152</v>
      </c>
      <c r="M3624" t="s">
        <v>34</v>
      </c>
      <c r="N3624" t="s">
        <v>76</v>
      </c>
      <c r="O3624" t="s">
        <v>152</v>
      </c>
      <c r="P3624" t="s">
        <v>152</v>
      </c>
      <c r="Q3624" s="3">
        <v>12</v>
      </c>
      <c r="R3624" t="s">
        <v>27</v>
      </c>
      <c r="S3624" t="s">
        <v>50</v>
      </c>
    </row>
    <row r="3625" spans="1:19" x14ac:dyDescent="0.25">
      <c r="A3625">
        <v>3624</v>
      </c>
      <c r="B3625">
        <v>39</v>
      </c>
      <c r="C3625" t="s">
        <v>153</v>
      </c>
      <c r="D3625" t="s">
        <v>106</v>
      </c>
      <c r="E3625" t="s">
        <v>69</v>
      </c>
      <c r="F3625" s="1">
        <v>89</v>
      </c>
      <c r="G3625" t="s">
        <v>74</v>
      </c>
      <c r="H3625" t="s">
        <v>45</v>
      </c>
      <c r="I3625" t="s">
        <v>84</v>
      </c>
      <c r="J3625" t="s">
        <v>25</v>
      </c>
      <c r="K3625" s="2">
        <v>2.7</v>
      </c>
      <c r="L3625" t="s">
        <v>152</v>
      </c>
      <c r="M3625" t="s">
        <v>29</v>
      </c>
      <c r="N3625" t="s">
        <v>72</v>
      </c>
      <c r="O3625" t="s">
        <v>152</v>
      </c>
      <c r="P3625" t="s">
        <v>152</v>
      </c>
      <c r="Q3625" s="3">
        <v>4</v>
      </c>
      <c r="R3625" t="s">
        <v>46</v>
      </c>
      <c r="S3625" t="s">
        <v>41</v>
      </c>
    </row>
    <row r="3626" spans="1:19" x14ac:dyDescent="0.25">
      <c r="A3626">
        <v>3625</v>
      </c>
      <c r="B3626">
        <v>22</v>
      </c>
      <c r="C3626" t="s">
        <v>153</v>
      </c>
      <c r="D3626" t="s">
        <v>124</v>
      </c>
      <c r="E3626" t="s">
        <v>69</v>
      </c>
      <c r="F3626" s="1">
        <v>82</v>
      </c>
      <c r="G3626" t="s">
        <v>105</v>
      </c>
      <c r="H3626" t="s">
        <v>92</v>
      </c>
      <c r="I3626" t="s">
        <v>100</v>
      </c>
      <c r="J3626" t="s">
        <v>58</v>
      </c>
      <c r="K3626" s="2">
        <v>5</v>
      </c>
      <c r="L3626" t="s">
        <v>152</v>
      </c>
      <c r="M3626" t="s">
        <v>46</v>
      </c>
      <c r="N3626" t="s">
        <v>76</v>
      </c>
      <c r="O3626" t="s">
        <v>152</v>
      </c>
      <c r="P3626" t="s">
        <v>152</v>
      </c>
      <c r="Q3626" s="3">
        <v>22</v>
      </c>
      <c r="R3626" t="s">
        <v>34</v>
      </c>
      <c r="S3626" t="s">
        <v>77</v>
      </c>
    </row>
    <row r="3627" spans="1:19" x14ac:dyDescent="0.25">
      <c r="A3627">
        <v>3626</v>
      </c>
      <c r="B3627">
        <v>44</v>
      </c>
      <c r="C3627" t="s">
        <v>153</v>
      </c>
      <c r="D3627" t="s">
        <v>119</v>
      </c>
      <c r="E3627" t="s">
        <v>69</v>
      </c>
      <c r="F3627" s="1">
        <v>99</v>
      </c>
      <c r="G3627" t="s">
        <v>115</v>
      </c>
      <c r="H3627" t="s">
        <v>23</v>
      </c>
      <c r="I3627" t="s">
        <v>96</v>
      </c>
      <c r="J3627" t="s">
        <v>25</v>
      </c>
      <c r="K3627" s="2">
        <v>4.4000000000000004</v>
      </c>
      <c r="L3627" t="s">
        <v>152</v>
      </c>
      <c r="M3627" t="s">
        <v>59</v>
      </c>
      <c r="N3627" t="s">
        <v>28</v>
      </c>
      <c r="O3627" t="s">
        <v>152</v>
      </c>
      <c r="P3627" t="s">
        <v>152</v>
      </c>
      <c r="Q3627" s="3">
        <v>32</v>
      </c>
      <c r="R3627" t="s">
        <v>46</v>
      </c>
      <c r="S3627" t="s">
        <v>41</v>
      </c>
    </row>
    <row r="3628" spans="1:19" x14ac:dyDescent="0.25">
      <c r="A3628">
        <v>3627</v>
      </c>
      <c r="B3628">
        <v>69</v>
      </c>
      <c r="C3628" t="s">
        <v>153</v>
      </c>
      <c r="D3628" t="s">
        <v>20</v>
      </c>
      <c r="E3628" t="s">
        <v>21</v>
      </c>
      <c r="F3628" s="1">
        <v>98</v>
      </c>
      <c r="G3628" t="s">
        <v>91</v>
      </c>
      <c r="H3628" t="s">
        <v>23</v>
      </c>
      <c r="I3628" t="s">
        <v>86</v>
      </c>
      <c r="J3628" t="s">
        <v>58</v>
      </c>
      <c r="K3628" s="2">
        <v>3.5</v>
      </c>
      <c r="L3628" t="s">
        <v>152</v>
      </c>
      <c r="M3628" t="s">
        <v>34</v>
      </c>
      <c r="N3628" t="s">
        <v>28</v>
      </c>
      <c r="O3628" t="s">
        <v>152</v>
      </c>
      <c r="P3628" t="s">
        <v>152</v>
      </c>
      <c r="Q3628" s="3">
        <v>32</v>
      </c>
      <c r="R3628" t="s">
        <v>29</v>
      </c>
      <c r="S3628" t="s">
        <v>60</v>
      </c>
    </row>
    <row r="3629" spans="1:19" x14ac:dyDescent="0.25">
      <c r="A3629">
        <v>3628</v>
      </c>
      <c r="B3629">
        <v>39</v>
      </c>
      <c r="C3629" t="s">
        <v>153</v>
      </c>
      <c r="D3629" t="s">
        <v>133</v>
      </c>
      <c r="E3629" t="s">
        <v>69</v>
      </c>
      <c r="F3629" s="1">
        <v>54</v>
      </c>
      <c r="G3629" t="s">
        <v>80</v>
      </c>
      <c r="H3629" t="s">
        <v>45</v>
      </c>
      <c r="I3629" t="s">
        <v>67</v>
      </c>
      <c r="J3629" t="s">
        <v>25</v>
      </c>
      <c r="K3629" s="2">
        <v>3.3</v>
      </c>
      <c r="L3629" t="s">
        <v>152</v>
      </c>
      <c r="M3629" t="s">
        <v>27</v>
      </c>
      <c r="N3629" t="s">
        <v>47</v>
      </c>
      <c r="O3629" t="s">
        <v>152</v>
      </c>
      <c r="P3629" t="s">
        <v>152</v>
      </c>
      <c r="Q3629" s="3">
        <v>48</v>
      </c>
      <c r="R3629" t="s">
        <v>35</v>
      </c>
      <c r="S3629" t="s">
        <v>97</v>
      </c>
    </row>
    <row r="3630" spans="1:19" x14ac:dyDescent="0.25">
      <c r="A3630">
        <v>3629</v>
      </c>
      <c r="B3630">
        <v>53</v>
      </c>
      <c r="C3630" t="s">
        <v>153</v>
      </c>
      <c r="D3630" t="s">
        <v>20</v>
      </c>
      <c r="E3630" t="s">
        <v>21</v>
      </c>
      <c r="F3630" s="1">
        <v>88</v>
      </c>
      <c r="G3630" t="s">
        <v>142</v>
      </c>
      <c r="H3630" t="s">
        <v>23</v>
      </c>
      <c r="I3630" t="s">
        <v>75</v>
      </c>
      <c r="J3630" t="s">
        <v>54</v>
      </c>
      <c r="K3630" s="2">
        <v>3.8</v>
      </c>
      <c r="L3630" t="s">
        <v>152</v>
      </c>
      <c r="M3630" t="s">
        <v>35</v>
      </c>
      <c r="N3630" t="s">
        <v>40</v>
      </c>
      <c r="O3630" t="s">
        <v>152</v>
      </c>
      <c r="P3630" t="s">
        <v>152</v>
      </c>
      <c r="Q3630" s="3">
        <v>35</v>
      </c>
      <c r="R3630" t="s">
        <v>27</v>
      </c>
      <c r="S3630" t="s">
        <v>88</v>
      </c>
    </row>
    <row r="3631" spans="1:19" x14ac:dyDescent="0.25">
      <c r="A3631">
        <v>3630</v>
      </c>
      <c r="B3631">
        <v>52</v>
      </c>
      <c r="C3631" t="s">
        <v>153</v>
      </c>
      <c r="D3631" t="s">
        <v>113</v>
      </c>
      <c r="E3631" t="s">
        <v>21</v>
      </c>
      <c r="F3631" s="1">
        <v>43</v>
      </c>
      <c r="G3631" t="s">
        <v>111</v>
      </c>
      <c r="H3631" t="s">
        <v>23</v>
      </c>
      <c r="I3631" t="s">
        <v>93</v>
      </c>
      <c r="J3631" t="s">
        <v>54</v>
      </c>
      <c r="K3631" s="2">
        <v>4.5</v>
      </c>
      <c r="L3631" t="s">
        <v>152</v>
      </c>
      <c r="M3631" t="s">
        <v>27</v>
      </c>
      <c r="N3631" t="s">
        <v>55</v>
      </c>
      <c r="O3631" t="s">
        <v>152</v>
      </c>
      <c r="P3631" t="s">
        <v>152</v>
      </c>
      <c r="Q3631" s="3">
        <v>44</v>
      </c>
      <c r="R3631" t="s">
        <v>59</v>
      </c>
      <c r="S3631" t="s">
        <v>30</v>
      </c>
    </row>
    <row r="3632" spans="1:19" x14ac:dyDescent="0.25">
      <c r="A3632">
        <v>3631</v>
      </c>
      <c r="B3632">
        <v>65</v>
      </c>
      <c r="C3632" t="s">
        <v>153</v>
      </c>
      <c r="D3632" t="s">
        <v>124</v>
      </c>
      <c r="E3632" t="s">
        <v>69</v>
      </c>
      <c r="F3632" s="1">
        <v>73</v>
      </c>
      <c r="G3632" t="s">
        <v>101</v>
      </c>
      <c r="H3632" t="s">
        <v>45</v>
      </c>
      <c r="I3632" t="s">
        <v>93</v>
      </c>
      <c r="J3632" t="s">
        <v>25</v>
      </c>
      <c r="K3632" s="2">
        <v>4.8</v>
      </c>
      <c r="L3632" t="s">
        <v>152</v>
      </c>
      <c r="M3632" t="s">
        <v>27</v>
      </c>
      <c r="N3632" t="s">
        <v>76</v>
      </c>
      <c r="O3632" t="s">
        <v>152</v>
      </c>
      <c r="P3632" t="s">
        <v>152</v>
      </c>
      <c r="Q3632" s="3">
        <v>29</v>
      </c>
      <c r="R3632" t="s">
        <v>35</v>
      </c>
      <c r="S3632" t="s">
        <v>41</v>
      </c>
    </row>
    <row r="3633" spans="1:19" x14ac:dyDescent="0.25">
      <c r="A3633">
        <v>3632</v>
      </c>
      <c r="B3633">
        <v>48</v>
      </c>
      <c r="C3633" t="s">
        <v>153</v>
      </c>
      <c r="D3633" t="s">
        <v>124</v>
      </c>
      <c r="E3633" t="s">
        <v>69</v>
      </c>
      <c r="F3633" s="1">
        <v>50</v>
      </c>
      <c r="G3633" t="s">
        <v>127</v>
      </c>
      <c r="H3633" t="s">
        <v>45</v>
      </c>
      <c r="I3633" t="s">
        <v>100</v>
      </c>
      <c r="J3633" t="s">
        <v>58</v>
      </c>
      <c r="K3633" s="2">
        <v>2.9</v>
      </c>
      <c r="L3633" t="s">
        <v>152</v>
      </c>
      <c r="M3633" t="s">
        <v>59</v>
      </c>
      <c r="N3633" t="s">
        <v>76</v>
      </c>
      <c r="O3633" t="s">
        <v>152</v>
      </c>
      <c r="P3633" t="s">
        <v>152</v>
      </c>
      <c r="Q3633" s="3">
        <v>26</v>
      </c>
      <c r="R3633" t="s">
        <v>27</v>
      </c>
      <c r="S3633" t="s">
        <v>88</v>
      </c>
    </row>
    <row r="3634" spans="1:19" x14ac:dyDescent="0.25">
      <c r="A3634">
        <v>3633</v>
      </c>
      <c r="B3634">
        <v>27</v>
      </c>
      <c r="C3634" t="s">
        <v>153</v>
      </c>
      <c r="D3634" t="s">
        <v>51</v>
      </c>
      <c r="E3634" t="s">
        <v>43</v>
      </c>
      <c r="F3634" s="1">
        <v>73</v>
      </c>
      <c r="G3634" t="s">
        <v>140</v>
      </c>
      <c r="H3634" t="s">
        <v>23</v>
      </c>
      <c r="I3634" t="s">
        <v>96</v>
      </c>
      <c r="J3634" t="s">
        <v>39</v>
      </c>
      <c r="K3634" s="2">
        <v>3.2</v>
      </c>
      <c r="L3634" t="s">
        <v>152</v>
      </c>
      <c r="M3634" t="s">
        <v>46</v>
      </c>
      <c r="N3634" t="s">
        <v>28</v>
      </c>
      <c r="O3634" t="s">
        <v>152</v>
      </c>
      <c r="P3634" t="s">
        <v>152</v>
      </c>
      <c r="Q3634" s="3">
        <v>3</v>
      </c>
      <c r="R3634" t="s">
        <v>59</v>
      </c>
      <c r="S3634" t="s">
        <v>60</v>
      </c>
    </row>
    <row r="3635" spans="1:19" x14ac:dyDescent="0.25">
      <c r="A3635">
        <v>3634</v>
      </c>
      <c r="B3635">
        <v>39</v>
      </c>
      <c r="C3635" t="s">
        <v>153</v>
      </c>
      <c r="D3635" t="s">
        <v>143</v>
      </c>
      <c r="E3635" t="s">
        <v>69</v>
      </c>
      <c r="F3635" s="1">
        <v>51</v>
      </c>
      <c r="G3635" t="s">
        <v>57</v>
      </c>
      <c r="H3635" t="s">
        <v>45</v>
      </c>
      <c r="I3635" t="s">
        <v>121</v>
      </c>
      <c r="J3635" t="s">
        <v>39</v>
      </c>
      <c r="K3635" s="2">
        <v>2.8</v>
      </c>
      <c r="L3635" t="s">
        <v>152</v>
      </c>
      <c r="M3635" t="s">
        <v>29</v>
      </c>
      <c r="N3635" t="s">
        <v>40</v>
      </c>
      <c r="O3635" t="s">
        <v>152</v>
      </c>
      <c r="P3635" t="s">
        <v>152</v>
      </c>
      <c r="Q3635" s="3">
        <v>1</v>
      </c>
      <c r="R3635" t="s">
        <v>34</v>
      </c>
      <c r="S3635" t="s">
        <v>77</v>
      </c>
    </row>
    <row r="3636" spans="1:19" x14ac:dyDescent="0.25">
      <c r="A3636">
        <v>3635</v>
      </c>
      <c r="B3636">
        <v>59</v>
      </c>
      <c r="C3636" t="s">
        <v>153</v>
      </c>
      <c r="D3636" t="s">
        <v>125</v>
      </c>
      <c r="E3636" t="s">
        <v>21</v>
      </c>
      <c r="F3636" s="1">
        <v>22</v>
      </c>
      <c r="G3636" t="s">
        <v>123</v>
      </c>
      <c r="H3636" t="s">
        <v>45</v>
      </c>
      <c r="I3636" t="s">
        <v>71</v>
      </c>
      <c r="J3636" t="s">
        <v>25</v>
      </c>
      <c r="K3636" s="2">
        <v>3.3</v>
      </c>
      <c r="L3636" t="s">
        <v>152</v>
      </c>
      <c r="M3636" t="s">
        <v>34</v>
      </c>
      <c r="N3636" t="s">
        <v>55</v>
      </c>
      <c r="O3636" t="s">
        <v>152</v>
      </c>
      <c r="P3636" t="s">
        <v>152</v>
      </c>
      <c r="Q3636" s="3">
        <v>17</v>
      </c>
      <c r="R3636" t="s">
        <v>46</v>
      </c>
      <c r="S3636" t="s">
        <v>50</v>
      </c>
    </row>
    <row r="3637" spans="1:19" x14ac:dyDescent="0.25">
      <c r="A3637">
        <v>3636</v>
      </c>
      <c r="B3637">
        <v>52</v>
      </c>
      <c r="C3637" t="s">
        <v>153</v>
      </c>
      <c r="D3637" t="s">
        <v>42</v>
      </c>
      <c r="E3637" t="s">
        <v>43</v>
      </c>
      <c r="F3637" s="1">
        <v>32</v>
      </c>
      <c r="G3637" t="s">
        <v>112</v>
      </c>
      <c r="H3637" t="s">
        <v>23</v>
      </c>
      <c r="I3637" t="s">
        <v>109</v>
      </c>
      <c r="J3637" t="s">
        <v>58</v>
      </c>
      <c r="K3637" s="2">
        <v>3.3</v>
      </c>
      <c r="L3637" t="s">
        <v>152</v>
      </c>
      <c r="M3637" t="s">
        <v>35</v>
      </c>
      <c r="N3637" t="s">
        <v>40</v>
      </c>
      <c r="O3637" t="s">
        <v>152</v>
      </c>
      <c r="P3637" t="s">
        <v>152</v>
      </c>
      <c r="Q3637" s="3">
        <v>17</v>
      </c>
      <c r="R3637" t="s">
        <v>27</v>
      </c>
      <c r="S3637" t="s">
        <v>30</v>
      </c>
    </row>
    <row r="3638" spans="1:19" x14ac:dyDescent="0.25">
      <c r="A3638">
        <v>3637</v>
      </c>
      <c r="B3638">
        <v>50</v>
      </c>
      <c r="C3638" t="s">
        <v>153</v>
      </c>
      <c r="D3638" t="s">
        <v>42</v>
      </c>
      <c r="E3638" t="s">
        <v>43</v>
      </c>
      <c r="F3638" s="1">
        <v>38</v>
      </c>
      <c r="G3638" t="s">
        <v>99</v>
      </c>
      <c r="H3638" t="s">
        <v>23</v>
      </c>
      <c r="I3638" t="s">
        <v>93</v>
      </c>
      <c r="J3638" t="s">
        <v>54</v>
      </c>
      <c r="K3638" s="2">
        <v>4.2</v>
      </c>
      <c r="L3638" t="s">
        <v>152</v>
      </c>
      <c r="M3638" t="s">
        <v>46</v>
      </c>
      <c r="N3638" t="s">
        <v>72</v>
      </c>
      <c r="O3638" t="s">
        <v>152</v>
      </c>
      <c r="P3638" t="s">
        <v>152</v>
      </c>
      <c r="Q3638" s="3">
        <v>36</v>
      </c>
      <c r="R3638" t="s">
        <v>35</v>
      </c>
      <c r="S3638" t="s">
        <v>41</v>
      </c>
    </row>
    <row r="3639" spans="1:19" x14ac:dyDescent="0.25">
      <c r="A3639">
        <v>3638</v>
      </c>
      <c r="B3639">
        <v>32</v>
      </c>
      <c r="C3639" t="s">
        <v>153</v>
      </c>
      <c r="D3639" t="s">
        <v>137</v>
      </c>
      <c r="E3639" t="s">
        <v>43</v>
      </c>
      <c r="F3639" s="1">
        <v>66</v>
      </c>
      <c r="G3639" t="s">
        <v>140</v>
      </c>
      <c r="H3639" t="s">
        <v>23</v>
      </c>
      <c r="I3639" t="s">
        <v>134</v>
      </c>
      <c r="J3639" t="s">
        <v>25</v>
      </c>
      <c r="K3639" s="2">
        <v>3.6</v>
      </c>
      <c r="L3639" t="s">
        <v>152</v>
      </c>
      <c r="M3639" t="s">
        <v>46</v>
      </c>
      <c r="N3639" t="s">
        <v>28</v>
      </c>
      <c r="O3639" t="s">
        <v>152</v>
      </c>
      <c r="P3639" t="s">
        <v>152</v>
      </c>
      <c r="Q3639" s="3">
        <v>32</v>
      </c>
      <c r="R3639" t="s">
        <v>27</v>
      </c>
      <c r="S3639" t="s">
        <v>30</v>
      </c>
    </row>
    <row r="3640" spans="1:19" x14ac:dyDescent="0.25">
      <c r="A3640">
        <v>3639</v>
      </c>
      <c r="B3640">
        <v>40</v>
      </c>
      <c r="C3640" t="s">
        <v>153</v>
      </c>
      <c r="D3640" t="s">
        <v>132</v>
      </c>
      <c r="E3640" t="s">
        <v>69</v>
      </c>
      <c r="F3640" s="1">
        <v>20</v>
      </c>
      <c r="G3640" t="s">
        <v>111</v>
      </c>
      <c r="H3640" t="s">
        <v>45</v>
      </c>
      <c r="I3640" t="s">
        <v>79</v>
      </c>
      <c r="J3640" t="s">
        <v>39</v>
      </c>
      <c r="K3640" s="2">
        <v>4.5999999999999996</v>
      </c>
      <c r="L3640" t="s">
        <v>152</v>
      </c>
      <c r="M3640" t="s">
        <v>27</v>
      </c>
      <c r="N3640" t="s">
        <v>28</v>
      </c>
      <c r="O3640" t="s">
        <v>152</v>
      </c>
      <c r="P3640" t="s">
        <v>152</v>
      </c>
      <c r="Q3640" s="3">
        <v>50</v>
      </c>
      <c r="R3640" t="s">
        <v>46</v>
      </c>
      <c r="S3640" t="s">
        <v>77</v>
      </c>
    </row>
    <row r="3641" spans="1:19" x14ac:dyDescent="0.25">
      <c r="A3641">
        <v>3640</v>
      </c>
      <c r="B3641">
        <v>26</v>
      </c>
      <c r="C3641" t="s">
        <v>153</v>
      </c>
      <c r="D3641" t="s">
        <v>64</v>
      </c>
      <c r="E3641" t="s">
        <v>65</v>
      </c>
      <c r="F3641" s="1">
        <v>44</v>
      </c>
      <c r="G3641" t="s">
        <v>115</v>
      </c>
      <c r="H3641" t="s">
        <v>45</v>
      </c>
      <c r="I3641" t="s">
        <v>110</v>
      </c>
      <c r="J3641" t="s">
        <v>54</v>
      </c>
      <c r="K3641" s="2">
        <v>3.6</v>
      </c>
      <c r="L3641" t="s">
        <v>152</v>
      </c>
      <c r="M3641" t="s">
        <v>29</v>
      </c>
      <c r="N3641" t="s">
        <v>72</v>
      </c>
      <c r="O3641" t="s">
        <v>152</v>
      </c>
      <c r="P3641" t="s">
        <v>152</v>
      </c>
      <c r="Q3641" s="3">
        <v>39</v>
      </c>
      <c r="R3641" t="s">
        <v>29</v>
      </c>
      <c r="S3641" t="s">
        <v>50</v>
      </c>
    </row>
    <row r="3642" spans="1:19" x14ac:dyDescent="0.25">
      <c r="A3642">
        <v>3641</v>
      </c>
      <c r="B3642">
        <v>47</v>
      </c>
      <c r="C3642" t="s">
        <v>153</v>
      </c>
      <c r="D3642" t="s">
        <v>89</v>
      </c>
      <c r="E3642" t="s">
        <v>69</v>
      </c>
      <c r="F3642" s="1">
        <v>31</v>
      </c>
      <c r="G3642" t="s">
        <v>148</v>
      </c>
      <c r="H3642" t="s">
        <v>23</v>
      </c>
      <c r="I3642" t="s">
        <v>71</v>
      </c>
      <c r="J3642" t="s">
        <v>39</v>
      </c>
      <c r="K3642" s="2">
        <v>4</v>
      </c>
      <c r="L3642" t="s">
        <v>152</v>
      </c>
      <c r="M3642" t="s">
        <v>27</v>
      </c>
      <c r="N3642" t="s">
        <v>47</v>
      </c>
      <c r="O3642" t="s">
        <v>152</v>
      </c>
      <c r="P3642" t="s">
        <v>152</v>
      </c>
      <c r="Q3642" s="3">
        <v>17</v>
      </c>
      <c r="R3642" t="s">
        <v>46</v>
      </c>
      <c r="S3642" t="s">
        <v>88</v>
      </c>
    </row>
    <row r="3643" spans="1:19" x14ac:dyDescent="0.25">
      <c r="A3643">
        <v>3642</v>
      </c>
      <c r="B3643">
        <v>51</v>
      </c>
      <c r="C3643" t="s">
        <v>153</v>
      </c>
      <c r="D3643" t="s">
        <v>102</v>
      </c>
      <c r="E3643" t="s">
        <v>65</v>
      </c>
      <c r="F3643" s="1">
        <v>45</v>
      </c>
      <c r="G3643" t="s">
        <v>85</v>
      </c>
      <c r="H3643" t="s">
        <v>45</v>
      </c>
      <c r="I3643" t="s">
        <v>109</v>
      </c>
      <c r="J3643" t="s">
        <v>58</v>
      </c>
      <c r="K3643" s="2">
        <v>2.7</v>
      </c>
      <c r="L3643" t="s">
        <v>152</v>
      </c>
      <c r="M3643" t="s">
        <v>59</v>
      </c>
      <c r="N3643" t="s">
        <v>40</v>
      </c>
      <c r="O3643" t="s">
        <v>152</v>
      </c>
      <c r="P3643" t="s">
        <v>152</v>
      </c>
      <c r="Q3643" s="3">
        <v>39</v>
      </c>
      <c r="R3643" t="s">
        <v>34</v>
      </c>
      <c r="S3643" t="s">
        <v>97</v>
      </c>
    </row>
    <row r="3644" spans="1:19" x14ac:dyDescent="0.25">
      <c r="A3644">
        <v>3643</v>
      </c>
      <c r="B3644">
        <v>47</v>
      </c>
      <c r="C3644" t="s">
        <v>153</v>
      </c>
      <c r="D3644" t="s">
        <v>82</v>
      </c>
      <c r="E3644" t="s">
        <v>21</v>
      </c>
      <c r="F3644" s="1">
        <v>71</v>
      </c>
      <c r="G3644" t="s">
        <v>117</v>
      </c>
      <c r="H3644" t="s">
        <v>23</v>
      </c>
      <c r="I3644" t="s">
        <v>33</v>
      </c>
      <c r="J3644" t="s">
        <v>54</v>
      </c>
      <c r="K3644" s="2">
        <v>4.4000000000000004</v>
      </c>
      <c r="L3644" t="s">
        <v>152</v>
      </c>
      <c r="M3644" t="s">
        <v>27</v>
      </c>
      <c r="N3644" t="s">
        <v>76</v>
      </c>
      <c r="O3644" t="s">
        <v>152</v>
      </c>
      <c r="P3644" t="s">
        <v>152</v>
      </c>
      <c r="Q3644" s="3">
        <v>5</v>
      </c>
      <c r="R3644" t="s">
        <v>46</v>
      </c>
      <c r="S3644" t="s">
        <v>50</v>
      </c>
    </row>
    <row r="3645" spans="1:19" x14ac:dyDescent="0.25">
      <c r="A3645">
        <v>3644</v>
      </c>
      <c r="B3645">
        <v>53</v>
      </c>
      <c r="C3645" t="s">
        <v>153</v>
      </c>
      <c r="D3645" t="s">
        <v>119</v>
      </c>
      <c r="E3645" t="s">
        <v>69</v>
      </c>
      <c r="F3645" s="1">
        <v>96</v>
      </c>
      <c r="G3645" t="s">
        <v>122</v>
      </c>
      <c r="H3645" t="s">
        <v>92</v>
      </c>
      <c r="I3645" t="s">
        <v>136</v>
      </c>
      <c r="J3645" t="s">
        <v>58</v>
      </c>
      <c r="K3645" s="2">
        <v>3.2</v>
      </c>
      <c r="L3645" t="s">
        <v>152</v>
      </c>
      <c r="M3645" t="s">
        <v>34</v>
      </c>
      <c r="N3645" t="s">
        <v>55</v>
      </c>
      <c r="O3645" t="s">
        <v>152</v>
      </c>
      <c r="P3645" t="s">
        <v>152</v>
      </c>
      <c r="Q3645" s="3">
        <v>47</v>
      </c>
      <c r="R3645" t="s">
        <v>59</v>
      </c>
      <c r="S3645" t="s">
        <v>50</v>
      </c>
    </row>
    <row r="3646" spans="1:19" x14ac:dyDescent="0.25">
      <c r="A3646">
        <v>3645</v>
      </c>
      <c r="B3646">
        <v>35</v>
      </c>
      <c r="C3646" t="s">
        <v>153</v>
      </c>
      <c r="D3646" t="s">
        <v>20</v>
      </c>
      <c r="E3646" t="s">
        <v>21</v>
      </c>
      <c r="F3646" s="1">
        <v>32</v>
      </c>
      <c r="G3646" t="s">
        <v>74</v>
      </c>
      <c r="H3646" t="s">
        <v>45</v>
      </c>
      <c r="I3646" t="s">
        <v>84</v>
      </c>
      <c r="J3646" t="s">
        <v>25</v>
      </c>
      <c r="K3646" s="2">
        <v>2.6</v>
      </c>
      <c r="L3646" t="s">
        <v>152</v>
      </c>
      <c r="M3646" t="s">
        <v>35</v>
      </c>
      <c r="N3646" t="s">
        <v>47</v>
      </c>
      <c r="O3646" t="s">
        <v>152</v>
      </c>
      <c r="P3646" t="s">
        <v>152</v>
      </c>
      <c r="Q3646" s="3">
        <v>18</v>
      </c>
      <c r="R3646" t="s">
        <v>29</v>
      </c>
      <c r="S3646" t="s">
        <v>41</v>
      </c>
    </row>
    <row r="3647" spans="1:19" x14ac:dyDescent="0.25">
      <c r="A3647">
        <v>3646</v>
      </c>
      <c r="B3647">
        <v>38</v>
      </c>
      <c r="C3647" t="s">
        <v>153</v>
      </c>
      <c r="D3647" t="s">
        <v>132</v>
      </c>
      <c r="E3647" t="s">
        <v>69</v>
      </c>
      <c r="F3647" s="1">
        <v>90</v>
      </c>
      <c r="G3647" t="s">
        <v>112</v>
      </c>
      <c r="H3647" t="s">
        <v>23</v>
      </c>
      <c r="I3647" t="s">
        <v>67</v>
      </c>
      <c r="J3647" t="s">
        <v>54</v>
      </c>
      <c r="K3647" s="2">
        <v>3.4</v>
      </c>
      <c r="L3647" t="s">
        <v>152</v>
      </c>
      <c r="M3647" t="s">
        <v>27</v>
      </c>
      <c r="N3647" t="s">
        <v>40</v>
      </c>
      <c r="O3647" t="s">
        <v>152</v>
      </c>
      <c r="P3647" t="s">
        <v>152</v>
      </c>
      <c r="Q3647" s="3">
        <v>31</v>
      </c>
      <c r="R3647" t="s">
        <v>27</v>
      </c>
      <c r="S3647" t="s">
        <v>97</v>
      </c>
    </row>
    <row r="3648" spans="1:19" x14ac:dyDescent="0.25">
      <c r="A3648">
        <v>3647</v>
      </c>
      <c r="B3648">
        <v>69</v>
      </c>
      <c r="C3648" t="s">
        <v>153</v>
      </c>
      <c r="D3648" t="s">
        <v>106</v>
      </c>
      <c r="E3648" t="s">
        <v>69</v>
      </c>
      <c r="F3648" s="1">
        <v>68</v>
      </c>
      <c r="G3648" t="s">
        <v>107</v>
      </c>
      <c r="H3648" t="s">
        <v>45</v>
      </c>
      <c r="I3648" t="s">
        <v>33</v>
      </c>
      <c r="J3648" t="s">
        <v>39</v>
      </c>
      <c r="K3648" s="2">
        <v>5</v>
      </c>
      <c r="L3648" t="s">
        <v>152</v>
      </c>
      <c r="M3648" t="s">
        <v>27</v>
      </c>
      <c r="N3648" t="s">
        <v>72</v>
      </c>
      <c r="O3648" t="s">
        <v>152</v>
      </c>
      <c r="P3648" t="s">
        <v>152</v>
      </c>
      <c r="Q3648" s="3">
        <v>39</v>
      </c>
      <c r="R3648" t="s">
        <v>59</v>
      </c>
      <c r="S3648" t="s">
        <v>30</v>
      </c>
    </row>
    <row r="3649" spans="1:19" x14ac:dyDescent="0.25">
      <c r="A3649">
        <v>3648</v>
      </c>
      <c r="B3649">
        <v>47</v>
      </c>
      <c r="C3649" t="s">
        <v>153</v>
      </c>
      <c r="D3649" t="s">
        <v>61</v>
      </c>
      <c r="E3649" t="s">
        <v>21</v>
      </c>
      <c r="F3649" s="1">
        <v>45</v>
      </c>
      <c r="G3649" t="s">
        <v>111</v>
      </c>
      <c r="H3649" t="s">
        <v>45</v>
      </c>
      <c r="I3649" t="s">
        <v>24</v>
      </c>
      <c r="J3649" t="s">
        <v>25</v>
      </c>
      <c r="K3649" s="2">
        <v>2.9</v>
      </c>
      <c r="L3649" t="s">
        <v>152</v>
      </c>
      <c r="M3649" t="s">
        <v>35</v>
      </c>
      <c r="N3649" t="s">
        <v>76</v>
      </c>
      <c r="O3649" t="s">
        <v>152</v>
      </c>
      <c r="P3649" t="s">
        <v>152</v>
      </c>
      <c r="Q3649" s="3">
        <v>12</v>
      </c>
      <c r="R3649" t="s">
        <v>34</v>
      </c>
      <c r="S3649" t="s">
        <v>41</v>
      </c>
    </row>
    <row r="3650" spans="1:19" x14ac:dyDescent="0.25">
      <c r="A3650">
        <v>3649</v>
      </c>
      <c r="B3650">
        <v>31</v>
      </c>
      <c r="C3650" t="s">
        <v>153</v>
      </c>
      <c r="D3650" t="s">
        <v>87</v>
      </c>
      <c r="E3650" t="s">
        <v>21</v>
      </c>
      <c r="F3650" s="1">
        <v>67</v>
      </c>
      <c r="G3650" t="s">
        <v>85</v>
      </c>
      <c r="H3650" t="s">
        <v>45</v>
      </c>
      <c r="I3650" t="s">
        <v>53</v>
      </c>
      <c r="J3650" t="s">
        <v>25</v>
      </c>
      <c r="K3650" s="2">
        <v>5</v>
      </c>
      <c r="L3650" t="s">
        <v>152</v>
      </c>
      <c r="M3650" t="s">
        <v>35</v>
      </c>
      <c r="N3650" t="s">
        <v>40</v>
      </c>
      <c r="O3650" t="s">
        <v>152</v>
      </c>
      <c r="P3650" t="s">
        <v>152</v>
      </c>
      <c r="Q3650" s="3">
        <v>45</v>
      </c>
      <c r="R3650" t="s">
        <v>35</v>
      </c>
      <c r="S3650" t="s">
        <v>77</v>
      </c>
    </row>
    <row r="3651" spans="1:19" x14ac:dyDescent="0.25">
      <c r="A3651">
        <v>3650</v>
      </c>
      <c r="B3651">
        <v>68</v>
      </c>
      <c r="C3651" t="s">
        <v>153</v>
      </c>
      <c r="D3651" t="s">
        <v>87</v>
      </c>
      <c r="E3651" t="s">
        <v>21</v>
      </c>
      <c r="F3651" s="1">
        <v>57</v>
      </c>
      <c r="G3651" t="s">
        <v>148</v>
      </c>
      <c r="H3651" t="s">
        <v>45</v>
      </c>
      <c r="I3651" t="s">
        <v>110</v>
      </c>
      <c r="J3651" t="s">
        <v>58</v>
      </c>
      <c r="K3651" s="2">
        <v>4.4000000000000004</v>
      </c>
      <c r="L3651" t="s">
        <v>152</v>
      </c>
      <c r="M3651" t="s">
        <v>59</v>
      </c>
      <c r="N3651" t="s">
        <v>55</v>
      </c>
      <c r="O3651" t="s">
        <v>152</v>
      </c>
      <c r="P3651" t="s">
        <v>152</v>
      </c>
      <c r="Q3651" s="3">
        <v>33</v>
      </c>
      <c r="R3651" t="s">
        <v>27</v>
      </c>
      <c r="S3651" t="s">
        <v>30</v>
      </c>
    </row>
    <row r="3652" spans="1:19" x14ac:dyDescent="0.25">
      <c r="A3652">
        <v>3651</v>
      </c>
      <c r="B3652">
        <v>51</v>
      </c>
      <c r="C3652" t="s">
        <v>153</v>
      </c>
      <c r="D3652" t="s">
        <v>36</v>
      </c>
      <c r="E3652" t="s">
        <v>21</v>
      </c>
      <c r="F3652" s="1">
        <v>60</v>
      </c>
      <c r="G3652" t="s">
        <v>123</v>
      </c>
      <c r="H3652" t="s">
        <v>45</v>
      </c>
      <c r="I3652" t="s">
        <v>67</v>
      </c>
      <c r="J3652" t="s">
        <v>54</v>
      </c>
      <c r="K3652" s="2">
        <v>3.5</v>
      </c>
      <c r="L3652" t="s">
        <v>152</v>
      </c>
      <c r="M3652" t="s">
        <v>35</v>
      </c>
      <c r="N3652" t="s">
        <v>72</v>
      </c>
      <c r="O3652" t="s">
        <v>152</v>
      </c>
      <c r="P3652" t="s">
        <v>152</v>
      </c>
      <c r="Q3652" s="3">
        <v>3</v>
      </c>
      <c r="R3652" t="s">
        <v>46</v>
      </c>
      <c r="S3652" t="s">
        <v>50</v>
      </c>
    </row>
    <row r="3653" spans="1:19" x14ac:dyDescent="0.25">
      <c r="A3653">
        <v>3652</v>
      </c>
      <c r="B3653">
        <v>20</v>
      </c>
      <c r="C3653" t="s">
        <v>153</v>
      </c>
      <c r="D3653" t="s">
        <v>68</v>
      </c>
      <c r="E3653" t="s">
        <v>69</v>
      </c>
      <c r="F3653" s="1">
        <v>32</v>
      </c>
      <c r="G3653" t="s">
        <v>117</v>
      </c>
      <c r="H3653" t="s">
        <v>45</v>
      </c>
      <c r="I3653" t="s">
        <v>134</v>
      </c>
      <c r="J3653" t="s">
        <v>39</v>
      </c>
      <c r="K3653" s="2">
        <v>3.8</v>
      </c>
      <c r="L3653" t="s">
        <v>152</v>
      </c>
      <c r="M3653" t="s">
        <v>34</v>
      </c>
      <c r="N3653" t="s">
        <v>28</v>
      </c>
      <c r="O3653" t="s">
        <v>152</v>
      </c>
      <c r="P3653" t="s">
        <v>152</v>
      </c>
      <c r="Q3653" s="3">
        <v>5</v>
      </c>
      <c r="R3653" t="s">
        <v>29</v>
      </c>
      <c r="S3653" t="s">
        <v>97</v>
      </c>
    </row>
    <row r="3654" spans="1:19" x14ac:dyDescent="0.25">
      <c r="A3654">
        <v>3653</v>
      </c>
      <c r="B3654">
        <v>27</v>
      </c>
      <c r="C3654" t="s">
        <v>153</v>
      </c>
      <c r="D3654" t="s">
        <v>68</v>
      </c>
      <c r="E3654" t="s">
        <v>69</v>
      </c>
      <c r="F3654" s="1">
        <v>29</v>
      </c>
      <c r="G3654" t="s">
        <v>22</v>
      </c>
      <c r="H3654" t="s">
        <v>38</v>
      </c>
      <c r="I3654" t="s">
        <v>136</v>
      </c>
      <c r="J3654" t="s">
        <v>58</v>
      </c>
      <c r="K3654" s="2">
        <v>3.8</v>
      </c>
      <c r="L3654" t="s">
        <v>152</v>
      </c>
      <c r="M3654" t="s">
        <v>29</v>
      </c>
      <c r="N3654" t="s">
        <v>76</v>
      </c>
      <c r="O3654" t="s">
        <v>152</v>
      </c>
      <c r="P3654" t="s">
        <v>152</v>
      </c>
      <c r="Q3654" s="3">
        <v>23</v>
      </c>
      <c r="R3654" t="s">
        <v>59</v>
      </c>
      <c r="S3654" t="s">
        <v>88</v>
      </c>
    </row>
    <row r="3655" spans="1:19" x14ac:dyDescent="0.25">
      <c r="A3655">
        <v>3654</v>
      </c>
      <c r="B3655">
        <v>67</v>
      </c>
      <c r="C3655" t="s">
        <v>153</v>
      </c>
      <c r="D3655" t="s">
        <v>64</v>
      </c>
      <c r="E3655" t="s">
        <v>65</v>
      </c>
      <c r="F3655" s="1">
        <v>20</v>
      </c>
      <c r="G3655" t="s">
        <v>148</v>
      </c>
      <c r="H3655" t="s">
        <v>45</v>
      </c>
      <c r="I3655" t="s">
        <v>144</v>
      </c>
      <c r="J3655" t="s">
        <v>39</v>
      </c>
      <c r="K3655" s="2">
        <v>3.9</v>
      </c>
      <c r="L3655" t="s">
        <v>152</v>
      </c>
      <c r="M3655" t="s">
        <v>59</v>
      </c>
      <c r="N3655" t="s">
        <v>47</v>
      </c>
      <c r="O3655" t="s">
        <v>152</v>
      </c>
      <c r="P3655" t="s">
        <v>152</v>
      </c>
      <c r="Q3655" s="3">
        <v>39</v>
      </c>
      <c r="R3655" t="s">
        <v>27</v>
      </c>
      <c r="S3655" t="s">
        <v>30</v>
      </c>
    </row>
    <row r="3656" spans="1:19" x14ac:dyDescent="0.25">
      <c r="A3656">
        <v>3655</v>
      </c>
      <c r="B3656">
        <v>21</v>
      </c>
      <c r="C3656" t="s">
        <v>153</v>
      </c>
      <c r="D3656" t="s">
        <v>106</v>
      </c>
      <c r="E3656" t="s">
        <v>69</v>
      </c>
      <c r="F3656" s="1">
        <v>98</v>
      </c>
      <c r="G3656" t="s">
        <v>74</v>
      </c>
      <c r="H3656" t="s">
        <v>45</v>
      </c>
      <c r="I3656" t="s">
        <v>96</v>
      </c>
      <c r="J3656" t="s">
        <v>25</v>
      </c>
      <c r="K3656" s="2">
        <v>3.3</v>
      </c>
      <c r="L3656" t="s">
        <v>152</v>
      </c>
      <c r="M3656" t="s">
        <v>59</v>
      </c>
      <c r="N3656" t="s">
        <v>47</v>
      </c>
      <c r="O3656" t="s">
        <v>152</v>
      </c>
      <c r="P3656" t="s">
        <v>152</v>
      </c>
      <c r="Q3656" s="3">
        <v>10</v>
      </c>
      <c r="R3656" t="s">
        <v>27</v>
      </c>
      <c r="S3656" t="s">
        <v>50</v>
      </c>
    </row>
    <row r="3657" spans="1:19" x14ac:dyDescent="0.25">
      <c r="A3657">
        <v>3656</v>
      </c>
      <c r="B3657">
        <v>20</v>
      </c>
      <c r="C3657" t="s">
        <v>153</v>
      </c>
      <c r="D3657" t="s">
        <v>31</v>
      </c>
      <c r="E3657" t="s">
        <v>21</v>
      </c>
      <c r="F3657" s="1">
        <v>27</v>
      </c>
      <c r="G3657" t="s">
        <v>52</v>
      </c>
      <c r="H3657" t="s">
        <v>45</v>
      </c>
      <c r="I3657" t="s">
        <v>134</v>
      </c>
      <c r="J3657" t="s">
        <v>58</v>
      </c>
      <c r="K3657" s="2">
        <v>2.9</v>
      </c>
      <c r="L3657" t="s">
        <v>152</v>
      </c>
      <c r="M3657" t="s">
        <v>29</v>
      </c>
      <c r="N3657" t="s">
        <v>47</v>
      </c>
      <c r="O3657" t="s">
        <v>152</v>
      </c>
      <c r="P3657" t="s">
        <v>152</v>
      </c>
      <c r="Q3657" s="3">
        <v>4</v>
      </c>
      <c r="R3657" t="s">
        <v>27</v>
      </c>
      <c r="S3657" t="s">
        <v>77</v>
      </c>
    </row>
    <row r="3658" spans="1:19" x14ac:dyDescent="0.25">
      <c r="A3658">
        <v>3657</v>
      </c>
      <c r="B3658">
        <v>35</v>
      </c>
      <c r="C3658" t="s">
        <v>153</v>
      </c>
      <c r="D3658" t="s">
        <v>102</v>
      </c>
      <c r="E3658" t="s">
        <v>65</v>
      </c>
      <c r="F3658" s="1">
        <v>67</v>
      </c>
      <c r="G3658" t="s">
        <v>114</v>
      </c>
      <c r="H3658" t="s">
        <v>92</v>
      </c>
      <c r="I3658" t="s">
        <v>109</v>
      </c>
      <c r="J3658" t="s">
        <v>39</v>
      </c>
      <c r="K3658" s="2">
        <v>3.7</v>
      </c>
      <c r="L3658" t="s">
        <v>152</v>
      </c>
      <c r="M3658" t="s">
        <v>59</v>
      </c>
      <c r="N3658" t="s">
        <v>72</v>
      </c>
      <c r="O3658" t="s">
        <v>152</v>
      </c>
      <c r="P3658" t="s">
        <v>152</v>
      </c>
      <c r="Q3658" s="3">
        <v>18</v>
      </c>
      <c r="R3658" t="s">
        <v>27</v>
      </c>
      <c r="S3658" t="s">
        <v>88</v>
      </c>
    </row>
    <row r="3659" spans="1:19" x14ac:dyDescent="0.25">
      <c r="A3659">
        <v>3658</v>
      </c>
      <c r="B3659">
        <v>58</v>
      </c>
      <c r="C3659" t="s">
        <v>153</v>
      </c>
      <c r="D3659" t="s">
        <v>73</v>
      </c>
      <c r="E3659" t="s">
        <v>43</v>
      </c>
      <c r="F3659" s="1">
        <v>82</v>
      </c>
      <c r="G3659" t="s">
        <v>90</v>
      </c>
      <c r="H3659" t="s">
        <v>23</v>
      </c>
      <c r="I3659" t="s">
        <v>81</v>
      </c>
      <c r="J3659" t="s">
        <v>25</v>
      </c>
      <c r="K3659" s="2">
        <v>3.7</v>
      </c>
      <c r="L3659" t="s">
        <v>152</v>
      </c>
      <c r="M3659" t="s">
        <v>34</v>
      </c>
      <c r="N3659" t="s">
        <v>28</v>
      </c>
      <c r="O3659" t="s">
        <v>152</v>
      </c>
      <c r="P3659" t="s">
        <v>152</v>
      </c>
      <c r="Q3659" s="3">
        <v>1</v>
      </c>
      <c r="R3659" t="s">
        <v>59</v>
      </c>
      <c r="S3659" t="s">
        <v>97</v>
      </c>
    </row>
    <row r="3660" spans="1:19" x14ac:dyDescent="0.25">
      <c r="A3660">
        <v>3659</v>
      </c>
      <c r="B3660">
        <v>28</v>
      </c>
      <c r="C3660" t="s">
        <v>153</v>
      </c>
      <c r="D3660" t="s">
        <v>113</v>
      </c>
      <c r="E3660" t="s">
        <v>21</v>
      </c>
      <c r="F3660" s="1">
        <v>72</v>
      </c>
      <c r="G3660" t="s">
        <v>91</v>
      </c>
      <c r="H3660" t="s">
        <v>45</v>
      </c>
      <c r="I3660" t="s">
        <v>136</v>
      </c>
      <c r="J3660" t="s">
        <v>58</v>
      </c>
      <c r="K3660" s="2">
        <v>4.5999999999999996</v>
      </c>
      <c r="L3660" t="s">
        <v>152</v>
      </c>
      <c r="M3660" t="s">
        <v>35</v>
      </c>
      <c r="N3660" t="s">
        <v>55</v>
      </c>
      <c r="O3660" t="s">
        <v>152</v>
      </c>
      <c r="P3660" t="s">
        <v>152</v>
      </c>
      <c r="Q3660" s="3">
        <v>18</v>
      </c>
      <c r="R3660" t="s">
        <v>46</v>
      </c>
      <c r="S3660" t="s">
        <v>30</v>
      </c>
    </row>
    <row r="3661" spans="1:19" x14ac:dyDescent="0.25">
      <c r="A3661">
        <v>3660</v>
      </c>
      <c r="B3661">
        <v>27</v>
      </c>
      <c r="C3661" t="s">
        <v>153</v>
      </c>
      <c r="D3661" t="s">
        <v>42</v>
      </c>
      <c r="E3661" t="s">
        <v>43</v>
      </c>
      <c r="F3661" s="1">
        <v>77</v>
      </c>
      <c r="G3661" t="s">
        <v>115</v>
      </c>
      <c r="H3661" t="s">
        <v>38</v>
      </c>
      <c r="I3661" t="s">
        <v>24</v>
      </c>
      <c r="J3661" t="s">
        <v>58</v>
      </c>
      <c r="K3661" s="2">
        <v>4.9000000000000004</v>
      </c>
      <c r="L3661" t="s">
        <v>152</v>
      </c>
      <c r="M3661" t="s">
        <v>34</v>
      </c>
      <c r="N3661" t="s">
        <v>76</v>
      </c>
      <c r="O3661" t="s">
        <v>152</v>
      </c>
      <c r="P3661" t="s">
        <v>152</v>
      </c>
      <c r="Q3661" s="3">
        <v>46</v>
      </c>
      <c r="R3661" t="s">
        <v>34</v>
      </c>
      <c r="S3661" t="s">
        <v>50</v>
      </c>
    </row>
    <row r="3662" spans="1:19" x14ac:dyDescent="0.25">
      <c r="A3662">
        <v>3661</v>
      </c>
      <c r="B3662">
        <v>19</v>
      </c>
      <c r="C3662" t="s">
        <v>153</v>
      </c>
      <c r="D3662" t="s">
        <v>73</v>
      </c>
      <c r="E3662" t="s">
        <v>43</v>
      </c>
      <c r="F3662" s="1">
        <v>74</v>
      </c>
      <c r="G3662" t="s">
        <v>74</v>
      </c>
      <c r="H3662" t="s">
        <v>23</v>
      </c>
      <c r="I3662" t="s">
        <v>126</v>
      </c>
      <c r="J3662" t="s">
        <v>25</v>
      </c>
      <c r="K3662" s="2">
        <v>3.1</v>
      </c>
      <c r="L3662" t="s">
        <v>152</v>
      </c>
      <c r="M3662" t="s">
        <v>29</v>
      </c>
      <c r="N3662" t="s">
        <v>72</v>
      </c>
      <c r="O3662" t="s">
        <v>152</v>
      </c>
      <c r="P3662" t="s">
        <v>152</v>
      </c>
      <c r="Q3662" s="3">
        <v>13</v>
      </c>
      <c r="R3662" t="s">
        <v>34</v>
      </c>
      <c r="S3662" t="s">
        <v>30</v>
      </c>
    </row>
    <row r="3663" spans="1:19" x14ac:dyDescent="0.25">
      <c r="A3663">
        <v>3662</v>
      </c>
      <c r="B3663">
        <v>63</v>
      </c>
      <c r="C3663" t="s">
        <v>153</v>
      </c>
      <c r="D3663" t="s">
        <v>42</v>
      </c>
      <c r="E3663" t="s">
        <v>43</v>
      </c>
      <c r="F3663" s="1">
        <v>39</v>
      </c>
      <c r="G3663" t="s">
        <v>111</v>
      </c>
      <c r="H3663" t="s">
        <v>38</v>
      </c>
      <c r="I3663" t="s">
        <v>53</v>
      </c>
      <c r="J3663" t="s">
        <v>25</v>
      </c>
      <c r="K3663" s="2">
        <v>3.5</v>
      </c>
      <c r="L3663" t="s">
        <v>152</v>
      </c>
      <c r="M3663" t="s">
        <v>35</v>
      </c>
      <c r="N3663" t="s">
        <v>47</v>
      </c>
      <c r="O3663" t="s">
        <v>152</v>
      </c>
      <c r="P3663" t="s">
        <v>152</v>
      </c>
      <c r="Q3663" s="3">
        <v>5</v>
      </c>
      <c r="R3663" t="s">
        <v>27</v>
      </c>
      <c r="S3663" t="s">
        <v>30</v>
      </c>
    </row>
    <row r="3664" spans="1:19" x14ac:dyDescent="0.25">
      <c r="A3664">
        <v>3663</v>
      </c>
      <c r="B3664">
        <v>69</v>
      </c>
      <c r="C3664" t="s">
        <v>153</v>
      </c>
      <c r="D3664" t="s">
        <v>61</v>
      </c>
      <c r="E3664" t="s">
        <v>21</v>
      </c>
      <c r="F3664" s="1">
        <v>80</v>
      </c>
      <c r="G3664" t="s">
        <v>44</v>
      </c>
      <c r="H3664" t="s">
        <v>45</v>
      </c>
      <c r="I3664" t="s">
        <v>126</v>
      </c>
      <c r="J3664" t="s">
        <v>39</v>
      </c>
      <c r="K3664" s="2">
        <v>4.9000000000000004</v>
      </c>
      <c r="L3664" t="s">
        <v>152</v>
      </c>
      <c r="M3664" t="s">
        <v>29</v>
      </c>
      <c r="N3664" t="s">
        <v>47</v>
      </c>
      <c r="O3664" t="s">
        <v>152</v>
      </c>
      <c r="P3664" t="s">
        <v>152</v>
      </c>
      <c r="Q3664" s="3">
        <v>11</v>
      </c>
      <c r="R3664" t="s">
        <v>59</v>
      </c>
      <c r="S3664" t="s">
        <v>41</v>
      </c>
    </row>
    <row r="3665" spans="1:19" x14ac:dyDescent="0.25">
      <c r="A3665">
        <v>3664</v>
      </c>
      <c r="B3665">
        <v>65</v>
      </c>
      <c r="C3665" t="s">
        <v>153</v>
      </c>
      <c r="D3665" t="s">
        <v>132</v>
      </c>
      <c r="E3665" t="s">
        <v>69</v>
      </c>
      <c r="F3665" s="1">
        <v>59</v>
      </c>
      <c r="G3665" t="s">
        <v>103</v>
      </c>
      <c r="H3665" t="s">
        <v>45</v>
      </c>
      <c r="I3665" t="s">
        <v>96</v>
      </c>
      <c r="J3665" t="s">
        <v>54</v>
      </c>
      <c r="K3665" s="2">
        <v>4.4000000000000004</v>
      </c>
      <c r="L3665" t="s">
        <v>152</v>
      </c>
      <c r="M3665" t="s">
        <v>35</v>
      </c>
      <c r="N3665" t="s">
        <v>28</v>
      </c>
      <c r="O3665" t="s">
        <v>152</v>
      </c>
      <c r="P3665" t="s">
        <v>152</v>
      </c>
      <c r="Q3665" s="3">
        <v>49</v>
      </c>
      <c r="R3665" t="s">
        <v>27</v>
      </c>
      <c r="S3665" t="s">
        <v>41</v>
      </c>
    </row>
    <row r="3666" spans="1:19" x14ac:dyDescent="0.25">
      <c r="A3666">
        <v>3665</v>
      </c>
      <c r="B3666">
        <v>63</v>
      </c>
      <c r="C3666" t="s">
        <v>153</v>
      </c>
      <c r="D3666" t="s">
        <v>102</v>
      </c>
      <c r="E3666" t="s">
        <v>65</v>
      </c>
      <c r="F3666" s="1">
        <v>68</v>
      </c>
      <c r="G3666" t="s">
        <v>70</v>
      </c>
      <c r="H3666" t="s">
        <v>45</v>
      </c>
      <c r="I3666" t="s">
        <v>49</v>
      </c>
      <c r="J3666" t="s">
        <v>58</v>
      </c>
      <c r="K3666" s="2">
        <v>4.4000000000000004</v>
      </c>
      <c r="L3666" t="s">
        <v>152</v>
      </c>
      <c r="M3666" t="s">
        <v>35</v>
      </c>
      <c r="N3666" t="s">
        <v>76</v>
      </c>
      <c r="O3666" t="s">
        <v>152</v>
      </c>
      <c r="P3666" t="s">
        <v>152</v>
      </c>
      <c r="Q3666" s="3">
        <v>1</v>
      </c>
      <c r="R3666" t="s">
        <v>59</v>
      </c>
      <c r="S3666" t="s">
        <v>30</v>
      </c>
    </row>
    <row r="3667" spans="1:19" x14ac:dyDescent="0.25">
      <c r="A3667">
        <v>3666</v>
      </c>
      <c r="B3667">
        <v>28</v>
      </c>
      <c r="C3667" t="s">
        <v>153</v>
      </c>
      <c r="D3667" t="s">
        <v>125</v>
      </c>
      <c r="E3667" t="s">
        <v>21</v>
      </c>
      <c r="F3667" s="1">
        <v>77</v>
      </c>
      <c r="G3667" t="s">
        <v>98</v>
      </c>
      <c r="H3667" t="s">
        <v>45</v>
      </c>
      <c r="I3667" t="s">
        <v>100</v>
      </c>
      <c r="J3667" t="s">
        <v>58</v>
      </c>
      <c r="K3667" s="2">
        <v>3.4</v>
      </c>
      <c r="L3667" t="s">
        <v>152</v>
      </c>
      <c r="M3667" t="s">
        <v>27</v>
      </c>
      <c r="N3667" t="s">
        <v>47</v>
      </c>
      <c r="O3667" t="s">
        <v>152</v>
      </c>
      <c r="P3667" t="s">
        <v>152</v>
      </c>
      <c r="Q3667" s="3">
        <v>11</v>
      </c>
      <c r="R3667" t="s">
        <v>27</v>
      </c>
      <c r="S3667" t="s">
        <v>60</v>
      </c>
    </row>
    <row r="3668" spans="1:19" x14ac:dyDescent="0.25">
      <c r="A3668">
        <v>3667</v>
      </c>
      <c r="B3668">
        <v>67</v>
      </c>
      <c r="C3668" t="s">
        <v>153</v>
      </c>
      <c r="D3668" t="s">
        <v>106</v>
      </c>
      <c r="E3668" t="s">
        <v>69</v>
      </c>
      <c r="F3668" s="1">
        <v>50</v>
      </c>
      <c r="G3668" t="s">
        <v>90</v>
      </c>
      <c r="H3668" t="s">
        <v>45</v>
      </c>
      <c r="I3668" t="s">
        <v>79</v>
      </c>
      <c r="J3668" t="s">
        <v>25</v>
      </c>
      <c r="K3668" s="2">
        <v>3</v>
      </c>
      <c r="L3668" t="s">
        <v>152</v>
      </c>
      <c r="M3668" t="s">
        <v>27</v>
      </c>
      <c r="N3668" t="s">
        <v>72</v>
      </c>
      <c r="O3668" t="s">
        <v>152</v>
      </c>
      <c r="P3668" t="s">
        <v>152</v>
      </c>
      <c r="Q3668" s="3">
        <v>47</v>
      </c>
      <c r="R3668" t="s">
        <v>35</v>
      </c>
      <c r="S3668" t="s">
        <v>97</v>
      </c>
    </row>
    <row r="3669" spans="1:19" x14ac:dyDescent="0.25">
      <c r="A3669">
        <v>3668</v>
      </c>
      <c r="B3669">
        <v>51</v>
      </c>
      <c r="C3669" t="s">
        <v>153</v>
      </c>
      <c r="D3669" t="s">
        <v>95</v>
      </c>
      <c r="E3669" t="s">
        <v>21</v>
      </c>
      <c r="F3669" s="1">
        <v>45</v>
      </c>
      <c r="G3669" t="s">
        <v>149</v>
      </c>
      <c r="H3669" t="s">
        <v>23</v>
      </c>
      <c r="I3669" t="s">
        <v>109</v>
      </c>
      <c r="J3669" t="s">
        <v>58</v>
      </c>
      <c r="K3669" s="2">
        <v>2.6</v>
      </c>
      <c r="L3669" t="s">
        <v>152</v>
      </c>
      <c r="M3669" t="s">
        <v>27</v>
      </c>
      <c r="N3669" t="s">
        <v>47</v>
      </c>
      <c r="O3669" t="s">
        <v>152</v>
      </c>
      <c r="P3669" t="s">
        <v>152</v>
      </c>
      <c r="Q3669" s="3">
        <v>20</v>
      </c>
      <c r="R3669" t="s">
        <v>29</v>
      </c>
      <c r="S3669" t="s">
        <v>88</v>
      </c>
    </row>
    <row r="3670" spans="1:19" x14ac:dyDescent="0.25">
      <c r="A3670">
        <v>3669</v>
      </c>
      <c r="B3670">
        <v>59</v>
      </c>
      <c r="C3670" t="s">
        <v>153</v>
      </c>
      <c r="D3670" t="s">
        <v>20</v>
      </c>
      <c r="E3670" t="s">
        <v>21</v>
      </c>
      <c r="F3670" s="1">
        <v>71</v>
      </c>
      <c r="G3670" t="s">
        <v>151</v>
      </c>
      <c r="H3670" t="s">
        <v>92</v>
      </c>
      <c r="I3670" t="s">
        <v>136</v>
      </c>
      <c r="J3670" t="s">
        <v>54</v>
      </c>
      <c r="K3670" s="2">
        <v>3.2</v>
      </c>
      <c r="L3670" t="s">
        <v>152</v>
      </c>
      <c r="M3670" t="s">
        <v>46</v>
      </c>
      <c r="N3670" t="s">
        <v>76</v>
      </c>
      <c r="O3670" t="s">
        <v>152</v>
      </c>
      <c r="P3670" t="s">
        <v>152</v>
      </c>
      <c r="Q3670" s="3">
        <v>18</v>
      </c>
      <c r="R3670" t="s">
        <v>29</v>
      </c>
      <c r="S3670" t="s">
        <v>50</v>
      </c>
    </row>
    <row r="3671" spans="1:19" x14ac:dyDescent="0.25">
      <c r="A3671">
        <v>3670</v>
      </c>
      <c r="B3671">
        <v>25</v>
      </c>
      <c r="C3671" t="s">
        <v>153</v>
      </c>
      <c r="D3671" t="s">
        <v>125</v>
      </c>
      <c r="E3671" t="s">
        <v>21</v>
      </c>
      <c r="F3671" s="1">
        <v>52</v>
      </c>
      <c r="G3671" t="s">
        <v>149</v>
      </c>
      <c r="H3671" t="s">
        <v>38</v>
      </c>
      <c r="I3671" t="s">
        <v>67</v>
      </c>
      <c r="J3671" t="s">
        <v>58</v>
      </c>
      <c r="K3671" s="2">
        <v>4.5999999999999996</v>
      </c>
      <c r="L3671" t="s">
        <v>152</v>
      </c>
      <c r="M3671" t="s">
        <v>27</v>
      </c>
      <c r="N3671" t="s">
        <v>76</v>
      </c>
      <c r="O3671" t="s">
        <v>152</v>
      </c>
      <c r="P3671" t="s">
        <v>152</v>
      </c>
      <c r="Q3671" s="3">
        <v>43</v>
      </c>
      <c r="R3671" t="s">
        <v>46</v>
      </c>
      <c r="S3671" t="s">
        <v>60</v>
      </c>
    </row>
    <row r="3672" spans="1:19" x14ac:dyDescent="0.25">
      <c r="A3672">
        <v>3671</v>
      </c>
      <c r="B3672">
        <v>31</v>
      </c>
      <c r="C3672" t="s">
        <v>153</v>
      </c>
      <c r="D3672" t="s">
        <v>73</v>
      </c>
      <c r="E3672" t="s">
        <v>43</v>
      </c>
      <c r="F3672" s="1">
        <v>50</v>
      </c>
      <c r="G3672" t="s">
        <v>129</v>
      </c>
      <c r="H3672" t="s">
        <v>38</v>
      </c>
      <c r="I3672" t="s">
        <v>53</v>
      </c>
      <c r="J3672" t="s">
        <v>25</v>
      </c>
      <c r="K3672" s="2">
        <v>3.8</v>
      </c>
      <c r="L3672" t="s">
        <v>152</v>
      </c>
      <c r="M3672" t="s">
        <v>35</v>
      </c>
      <c r="N3672" t="s">
        <v>40</v>
      </c>
      <c r="O3672" t="s">
        <v>152</v>
      </c>
      <c r="P3672" t="s">
        <v>152</v>
      </c>
      <c r="Q3672" s="3">
        <v>4</v>
      </c>
      <c r="R3672" t="s">
        <v>46</v>
      </c>
      <c r="S3672" t="s">
        <v>97</v>
      </c>
    </row>
    <row r="3673" spans="1:19" x14ac:dyDescent="0.25">
      <c r="A3673">
        <v>3672</v>
      </c>
      <c r="B3673">
        <v>62</v>
      </c>
      <c r="C3673" t="s">
        <v>153</v>
      </c>
      <c r="D3673" t="s">
        <v>68</v>
      </c>
      <c r="E3673" t="s">
        <v>69</v>
      </c>
      <c r="F3673" s="1">
        <v>66</v>
      </c>
      <c r="G3673" t="s">
        <v>115</v>
      </c>
      <c r="H3673" t="s">
        <v>23</v>
      </c>
      <c r="I3673" t="s">
        <v>71</v>
      </c>
      <c r="J3673" t="s">
        <v>54</v>
      </c>
      <c r="K3673" s="2">
        <v>4.8</v>
      </c>
      <c r="L3673" t="s">
        <v>152</v>
      </c>
      <c r="M3673" t="s">
        <v>34</v>
      </c>
      <c r="N3673" t="s">
        <v>72</v>
      </c>
      <c r="O3673" t="s">
        <v>152</v>
      </c>
      <c r="P3673" t="s">
        <v>152</v>
      </c>
      <c r="Q3673" s="3">
        <v>20</v>
      </c>
      <c r="R3673" t="s">
        <v>29</v>
      </c>
      <c r="S3673" t="s">
        <v>60</v>
      </c>
    </row>
    <row r="3674" spans="1:19" x14ac:dyDescent="0.25">
      <c r="A3674">
        <v>3673</v>
      </c>
      <c r="B3674">
        <v>51</v>
      </c>
      <c r="C3674" t="s">
        <v>153</v>
      </c>
      <c r="D3674" t="s">
        <v>42</v>
      </c>
      <c r="E3674" t="s">
        <v>43</v>
      </c>
      <c r="F3674" s="1">
        <v>81</v>
      </c>
      <c r="G3674" t="s">
        <v>85</v>
      </c>
      <c r="H3674" t="s">
        <v>38</v>
      </c>
      <c r="I3674" t="s">
        <v>71</v>
      </c>
      <c r="J3674" t="s">
        <v>58</v>
      </c>
      <c r="K3674" s="2">
        <v>4.5</v>
      </c>
      <c r="L3674" t="s">
        <v>152</v>
      </c>
      <c r="M3674" t="s">
        <v>29</v>
      </c>
      <c r="N3674" t="s">
        <v>40</v>
      </c>
      <c r="O3674" t="s">
        <v>152</v>
      </c>
      <c r="P3674" t="s">
        <v>152</v>
      </c>
      <c r="Q3674" s="3">
        <v>7</v>
      </c>
      <c r="R3674" t="s">
        <v>46</v>
      </c>
      <c r="S3674" t="s">
        <v>88</v>
      </c>
    </row>
    <row r="3675" spans="1:19" x14ac:dyDescent="0.25">
      <c r="A3675">
        <v>3674</v>
      </c>
      <c r="B3675">
        <v>32</v>
      </c>
      <c r="C3675" t="s">
        <v>153</v>
      </c>
      <c r="D3675" t="s">
        <v>125</v>
      </c>
      <c r="E3675" t="s">
        <v>21</v>
      </c>
      <c r="F3675" s="1">
        <v>28</v>
      </c>
      <c r="G3675" t="s">
        <v>44</v>
      </c>
      <c r="H3675" t="s">
        <v>45</v>
      </c>
      <c r="I3675" t="s">
        <v>71</v>
      </c>
      <c r="J3675" t="s">
        <v>54</v>
      </c>
      <c r="K3675" s="2">
        <v>4.2</v>
      </c>
      <c r="L3675" t="s">
        <v>152</v>
      </c>
      <c r="M3675" t="s">
        <v>59</v>
      </c>
      <c r="N3675" t="s">
        <v>72</v>
      </c>
      <c r="O3675" t="s">
        <v>152</v>
      </c>
      <c r="P3675" t="s">
        <v>152</v>
      </c>
      <c r="Q3675" s="3">
        <v>31</v>
      </c>
      <c r="R3675" t="s">
        <v>34</v>
      </c>
      <c r="S3675" t="s">
        <v>30</v>
      </c>
    </row>
    <row r="3676" spans="1:19" x14ac:dyDescent="0.25">
      <c r="A3676">
        <v>3675</v>
      </c>
      <c r="B3676">
        <v>35</v>
      </c>
      <c r="C3676" t="s">
        <v>153</v>
      </c>
      <c r="D3676" t="s">
        <v>68</v>
      </c>
      <c r="E3676" t="s">
        <v>69</v>
      </c>
      <c r="F3676" s="1">
        <v>65</v>
      </c>
      <c r="G3676" t="s">
        <v>149</v>
      </c>
      <c r="H3676" t="s">
        <v>45</v>
      </c>
      <c r="I3676" t="s">
        <v>144</v>
      </c>
      <c r="J3676" t="s">
        <v>25</v>
      </c>
      <c r="K3676" s="2">
        <v>2.7</v>
      </c>
      <c r="L3676" t="s">
        <v>152</v>
      </c>
      <c r="M3676" t="s">
        <v>29</v>
      </c>
      <c r="N3676" t="s">
        <v>72</v>
      </c>
      <c r="O3676" t="s">
        <v>152</v>
      </c>
      <c r="P3676" t="s">
        <v>152</v>
      </c>
      <c r="Q3676" s="3">
        <v>41</v>
      </c>
      <c r="R3676" t="s">
        <v>29</v>
      </c>
      <c r="S3676" t="s">
        <v>30</v>
      </c>
    </row>
    <row r="3677" spans="1:19" x14ac:dyDescent="0.25">
      <c r="A3677">
        <v>3676</v>
      </c>
      <c r="B3677">
        <v>70</v>
      </c>
      <c r="C3677" t="s">
        <v>153</v>
      </c>
      <c r="D3677" t="s">
        <v>124</v>
      </c>
      <c r="E3677" t="s">
        <v>69</v>
      </c>
      <c r="F3677" s="1">
        <v>80</v>
      </c>
      <c r="G3677" t="s">
        <v>141</v>
      </c>
      <c r="H3677" t="s">
        <v>45</v>
      </c>
      <c r="I3677" t="s">
        <v>53</v>
      </c>
      <c r="J3677" t="s">
        <v>25</v>
      </c>
      <c r="K3677" s="2">
        <v>4.5</v>
      </c>
      <c r="L3677" t="s">
        <v>152</v>
      </c>
      <c r="M3677" t="s">
        <v>35</v>
      </c>
      <c r="N3677" t="s">
        <v>28</v>
      </c>
      <c r="O3677" t="s">
        <v>152</v>
      </c>
      <c r="P3677" t="s">
        <v>152</v>
      </c>
      <c r="Q3677" s="3">
        <v>3</v>
      </c>
      <c r="R3677" t="s">
        <v>34</v>
      </c>
      <c r="S3677" t="s">
        <v>88</v>
      </c>
    </row>
    <row r="3678" spans="1:19" x14ac:dyDescent="0.25">
      <c r="A3678">
        <v>3677</v>
      </c>
      <c r="B3678">
        <v>19</v>
      </c>
      <c r="C3678" t="s">
        <v>153</v>
      </c>
      <c r="D3678" t="s">
        <v>106</v>
      </c>
      <c r="E3678" t="s">
        <v>69</v>
      </c>
      <c r="F3678" s="1">
        <v>94</v>
      </c>
      <c r="G3678" t="s">
        <v>150</v>
      </c>
      <c r="H3678" t="s">
        <v>38</v>
      </c>
      <c r="I3678" t="s">
        <v>86</v>
      </c>
      <c r="J3678" t="s">
        <v>39</v>
      </c>
      <c r="K3678" s="2">
        <v>4.9000000000000004</v>
      </c>
      <c r="L3678" t="s">
        <v>152</v>
      </c>
      <c r="M3678" t="s">
        <v>46</v>
      </c>
      <c r="N3678" t="s">
        <v>40</v>
      </c>
      <c r="O3678" t="s">
        <v>152</v>
      </c>
      <c r="P3678" t="s">
        <v>152</v>
      </c>
      <c r="Q3678" s="3">
        <v>16</v>
      </c>
      <c r="R3678" t="s">
        <v>46</v>
      </c>
      <c r="S3678" t="s">
        <v>88</v>
      </c>
    </row>
    <row r="3679" spans="1:19" x14ac:dyDescent="0.25">
      <c r="A3679">
        <v>3678</v>
      </c>
      <c r="B3679">
        <v>32</v>
      </c>
      <c r="C3679" t="s">
        <v>153</v>
      </c>
      <c r="D3679" t="s">
        <v>132</v>
      </c>
      <c r="E3679" t="s">
        <v>69</v>
      </c>
      <c r="F3679" s="1">
        <v>30</v>
      </c>
      <c r="G3679" t="s">
        <v>151</v>
      </c>
      <c r="H3679" t="s">
        <v>45</v>
      </c>
      <c r="I3679" t="s">
        <v>24</v>
      </c>
      <c r="J3679" t="s">
        <v>58</v>
      </c>
      <c r="K3679" s="2">
        <v>2.8</v>
      </c>
      <c r="L3679" t="s">
        <v>152</v>
      </c>
      <c r="M3679" t="s">
        <v>35</v>
      </c>
      <c r="N3679" t="s">
        <v>55</v>
      </c>
      <c r="O3679" t="s">
        <v>152</v>
      </c>
      <c r="P3679" t="s">
        <v>152</v>
      </c>
      <c r="Q3679" s="3">
        <v>43</v>
      </c>
      <c r="R3679" t="s">
        <v>35</v>
      </c>
      <c r="S3679" t="s">
        <v>50</v>
      </c>
    </row>
    <row r="3680" spans="1:19" x14ac:dyDescent="0.25">
      <c r="A3680">
        <v>3679</v>
      </c>
      <c r="B3680">
        <v>56</v>
      </c>
      <c r="C3680" t="s">
        <v>153</v>
      </c>
      <c r="D3680" t="s">
        <v>56</v>
      </c>
      <c r="E3680" t="s">
        <v>21</v>
      </c>
      <c r="F3680" s="1">
        <v>45</v>
      </c>
      <c r="G3680" t="s">
        <v>105</v>
      </c>
      <c r="H3680" t="s">
        <v>38</v>
      </c>
      <c r="I3680" t="s">
        <v>118</v>
      </c>
      <c r="J3680" t="s">
        <v>58</v>
      </c>
      <c r="K3680" s="2">
        <v>3.5</v>
      </c>
      <c r="L3680" t="s">
        <v>152</v>
      </c>
      <c r="M3680" t="s">
        <v>59</v>
      </c>
      <c r="N3680" t="s">
        <v>55</v>
      </c>
      <c r="O3680" t="s">
        <v>152</v>
      </c>
      <c r="P3680" t="s">
        <v>152</v>
      </c>
      <c r="Q3680" s="3">
        <v>29</v>
      </c>
      <c r="R3680" t="s">
        <v>34</v>
      </c>
      <c r="S3680" t="s">
        <v>30</v>
      </c>
    </row>
    <row r="3681" spans="1:19" x14ac:dyDescent="0.25">
      <c r="A3681">
        <v>3680</v>
      </c>
      <c r="B3681">
        <v>53</v>
      </c>
      <c r="C3681" t="s">
        <v>153</v>
      </c>
      <c r="D3681" t="s">
        <v>64</v>
      </c>
      <c r="E3681" t="s">
        <v>65</v>
      </c>
      <c r="F3681" s="1">
        <v>91</v>
      </c>
      <c r="G3681" t="s">
        <v>135</v>
      </c>
      <c r="H3681" t="s">
        <v>45</v>
      </c>
      <c r="I3681" t="s">
        <v>84</v>
      </c>
      <c r="J3681" t="s">
        <v>54</v>
      </c>
      <c r="K3681" s="2">
        <v>2.5</v>
      </c>
      <c r="L3681" t="s">
        <v>152</v>
      </c>
      <c r="M3681" t="s">
        <v>46</v>
      </c>
      <c r="N3681" t="s">
        <v>76</v>
      </c>
      <c r="O3681" t="s">
        <v>152</v>
      </c>
      <c r="P3681" t="s">
        <v>152</v>
      </c>
      <c r="Q3681" s="3">
        <v>5</v>
      </c>
      <c r="R3681" t="s">
        <v>35</v>
      </c>
      <c r="S3681" t="s">
        <v>77</v>
      </c>
    </row>
    <row r="3682" spans="1:19" x14ac:dyDescent="0.25">
      <c r="A3682">
        <v>3681</v>
      </c>
      <c r="B3682">
        <v>22</v>
      </c>
      <c r="C3682" t="s">
        <v>153</v>
      </c>
      <c r="D3682" t="s">
        <v>89</v>
      </c>
      <c r="E3682" t="s">
        <v>69</v>
      </c>
      <c r="F3682" s="1">
        <v>36</v>
      </c>
      <c r="G3682" t="s">
        <v>146</v>
      </c>
      <c r="H3682" t="s">
        <v>38</v>
      </c>
      <c r="I3682" t="s">
        <v>144</v>
      </c>
      <c r="J3682" t="s">
        <v>25</v>
      </c>
      <c r="K3682" s="2">
        <v>2.9</v>
      </c>
      <c r="L3682" t="s">
        <v>152</v>
      </c>
      <c r="M3682" t="s">
        <v>29</v>
      </c>
      <c r="N3682" t="s">
        <v>55</v>
      </c>
      <c r="O3682" t="s">
        <v>152</v>
      </c>
      <c r="P3682" t="s">
        <v>152</v>
      </c>
      <c r="Q3682" s="3">
        <v>30</v>
      </c>
      <c r="R3682" t="s">
        <v>59</v>
      </c>
      <c r="S3682" t="s">
        <v>60</v>
      </c>
    </row>
    <row r="3683" spans="1:19" x14ac:dyDescent="0.25">
      <c r="A3683">
        <v>3682</v>
      </c>
      <c r="B3683">
        <v>26</v>
      </c>
      <c r="C3683" t="s">
        <v>153</v>
      </c>
      <c r="D3683" t="s">
        <v>143</v>
      </c>
      <c r="E3683" t="s">
        <v>69</v>
      </c>
      <c r="F3683" s="1">
        <v>73</v>
      </c>
      <c r="G3683" t="s">
        <v>139</v>
      </c>
      <c r="H3683" t="s">
        <v>92</v>
      </c>
      <c r="I3683" t="s">
        <v>136</v>
      </c>
      <c r="J3683" t="s">
        <v>58</v>
      </c>
      <c r="K3683" s="2">
        <v>4.2</v>
      </c>
      <c r="L3683" t="s">
        <v>152</v>
      </c>
      <c r="M3683" t="s">
        <v>46</v>
      </c>
      <c r="N3683" t="s">
        <v>47</v>
      </c>
      <c r="O3683" t="s">
        <v>152</v>
      </c>
      <c r="P3683" t="s">
        <v>152</v>
      </c>
      <c r="Q3683" s="3">
        <v>33</v>
      </c>
      <c r="R3683" t="s">
        <v>59</v>
      </c>
      <c r="S3683" t="s">
        <v>88</v>
      </c>
    </row>
    <row r="3684" spans="1:19" x14ac:dyDescent="0.25">
      <c r="A3684">
        <v>3683</v>
      </c>
      <c r="B3684">
        <v>42</v>
      </c>
      <c r="C3684" t="s">
        <v>153</v>
      </c>
      <c r="D3684" t="s">
        <v>56</v>
      </c>
      <c r="E3684" t="s">
        <v>21</v>
      </c>
      <c r="F3684" s="1">
        <v>60</v>
      </c>
      <c r="G3684" t="s">
        <v>52</v>
      </c>
      <c r="H3684" t="s">
        <v>45</v>
      </c>
      <c r="I3684" t="s">
        <v>33</v>
      </c>
      <c r="J3684" t="s">
        <v>58</v>
      </c>
      <c r="K3684" s="2">
        <v>4.5999999999999996</v>
      </c>
      <c r="L3684" t="s">
        <v>152</v>
      </c>
      <c r="M3684" t="s">
        <v>29</v>
      </c>
      <c r="N3684" t="s">
        <v>76</v>
      </c>
      <c r="O3684" t="s">
        <v>152</v>
      </c>
      <c r="P3684" t="s">
        <v>152</v>
      </c>
      <c r="Q3684" s="3">
        <v>46</v>
      </c>
      <c r="R3684" t="s">
        <v>29</v>
      </c>
      <c r="S3684" t="s">
        <v>77</v>
      </c>
    </row>
    <row r="3685" spans="1:19" x14ac:dyDescent="0.25">
      <c r="A3685">
        <v>3684</v>
      </c>
      <c r="B3685">
        <v>30</v>
      </c>
      <c r="C3685" t="s">
        <v>153</v>
      </c>
      <c r="D3685" t="s">
        <v>125</v>
      </c>
      <c r="E3685" t="s">
        <v>21</v>
      </c>
      <c r="F3685" s="1">
        <v>77</v>
      </c>
      <c r="G3685" t="s">
        <v>91</v>
      </c>
      <c r="H3685" t="s">
        <v>45</v>
      </c>
      <c r="I3685" t="s">
        <v>75</v>
      </c>
      <c r="J3685" t="s">
        <v>25</v>
      </c>
      <c r="K3685" s="2">
        <v>3</v>
      </c>
      <c r="L3685" t="s">
        <v>152</v>
      </c>
      <c r="M3685" t="s">
        <v>34</v>
      </c>
      <c r="N3685" t="s">
        <v>40</v>
      </c>
      <c r="O3685" t="s">
        <v>152</v>
      </c>
      <c r="P3685" t="s">
        <v>152</v>
      </c>
      <c r="Q3685" s="3">
        <v>17</v>
      </c>
      <c r="R3685" t="s">
        <v>29</v>
      </c>
      <c r="S3685" t="s">
        <v>30</v>
      </c>
    </row>
    <row r="3686" spans="1:19" x14ac:dyDescent="0.25">
      <c r="A3686">
        <v>3685</v>
      </c>
      <c r="B3686">
        <v>29</v>
      </c>
      <c r="C3686" t="s">
        <v>153</v>
      </c>
      <c r="D3686" t="s">
        <v>87</v>
      </c>
      <c r="E3686" t="s">
        <v>21</v>
      </c>
      <c r="F3686" s="1">
        <v>86</v>
      </c>
      <c r="G3686" t="s">
        <v>138</v>
      </c>
      <c r="H3686" t="s">
        <v>23</v>
      </c>
      <c r="I3686" t="s">
        <v>63</v>
      </c>
      <c r="J3686" t="s">
        <v>39</v>
      </c>
      <c r="K3686" s="2">
        <v>4.4000000000000004</v>
      </c>
      <c r="L3686" t="s">
        <v>152</v>
      </c>
      <c r="M3686" t="s">
        <v>46</v>
      </c>
      <c r="N3686" t="s">
        <v>40</v>
      </c>
      <c r="O3686" t="s">
        <v>152</v>
      </c>
      <c r="P3686" t="s">
        <v>152</v>
      </c>
      <c r="Q3686" s="3">
        <v>47</v>
      </c>
      <c r="R3686" t="s">
        <v>27</v>
      </c>
      <c r="S3686" t="s">
        <v>77</v>
      </c>
    </row>
    <row r="3687" spans="1:19" x14ac:dyDescent="0.25">
      <c r="A3687">
        <v>3686</v>
      </c>
      <c r="B3687">
        <v>47</v>
      </c>
      <c r="C3687" t="s">
        <v>153</v>
      </c>
      <c r="D3687" t="s">
        <v>61</v>
      </c>
      <c r="E3687" t="s">
        <v>21</v>
      </c>
      <c r="F3687" s="1">
        <v>42</v>
      </c>
      <c r="G3687" t="s">
        <v>122</v>
      </c>
      <c r="H3687" t="s">
        <v>23</v>
      </c>
      <c r="I3687" t="s">
        <v>108</v>
      </c>
      <c r="J3687" t="s">
        <v>54</v>
      </c>
      <c r="K3687" s="2">
        <v>2.6</v>
      </c>
      <c r="L3687" t="s">
        <v>152</v>
      </c>
      <c r="M3687" t="s">
        <v>46</v>
      </c>
      <c r="N3687" t="s">
        <v>55</v>
      </c>
      <c r="O3687" t="s">
        <v>152</v>
      </c>
      <c r="P3687" t="s">
        <v>152</v>
      </c>
      <c r="Q3687" s="3">
        <v>17</v>
      </c>
      <c r="R3687" t="s">
        <v>35</v>
      </c>
      <c r="S3687" t="s">
        <v>77</v>
      </c>
    </row>
    <row r="3688" spans="1:19" x14ac:dyDescent="0.25">
      <c r="A3688">
        <v>3687</v>
      </c>
      <c r="B3688">
        <v>59</v>
      </c>
      <c r="C3688" t="s">
        <v>153</v>
      </c>
      <c r="D3688" t="s">
        <v>42</v>
      </c>
      <c r="E3688" t="s">
        <v>43</v>
      </c>
      <c r="F3688" s="1">
        <v>70</v>
      </c>
      <c r="G3688" t="s">
        <v>62</v>
      </c>
      <c r="H3688" t="s">
        <v>45</v>
      </c>
      <c r="I3688" t="s">
        <v>63</v>
      </c>
      <c r="J3688" t="s">
        <v>39</v>
      </c>
      <c r="K3688" s="2">
        <v>4.8</v>
      </c>
      <c r="L3688" t="s">
        <v>152</v>
      </c>
      <c r="M3688" t="s">
        <v>46</v>
      </c>
      <c r="N3688" t="s">
        <v>40</v>
      </c>
      <c r="O3688" t="s">
        <v>152</v>
      </c>
      <c r="P3688" t="s">
        <v>152</v>
      </c>
      <c r="Q3688" s="3">
        <v>17</v>
      </c>
      <c r="R3688" t="s">
        <v>35</v>
      </c>
      <c r="S3688" t="s">
        <v>77</v>
      </c>
    </row>
    <row r="3689" spans="1:19" x14ac:dyDescent="0.25">
      <c r="A3689">
        <v>3688</v>
      </c>
      <c r="B3689">
        <v>34</v>
      </c>
      <c r="C3689" t="s">
        <v>153</v>
      </c>
      <c r="D3689" t="s">
        <v>56</v>
      </c>
      <c r="E3689" t="s">
        <v>21</v>
      </c>
      <c r="F3689" s="1">
        <v>44</v>
      </c>
      <c r="G3689" t="s">
        <v>74</v>
      </c>
      <c r="H3689" t="s">
        <v>23</v>
      </c>
      <c r="I3689" t="s">
        <v>93</v>
      </c>
      <c r="J3689" t="s">
        <v>54</v>
      </c>
      <c r="K3689" s="2">
        <v>2.9</v>
      </c>
      <c r="L3689" t="s">
        <v>152</v>
      </c>
      <c r="M3689" t="s">
        <v>46</v>
      </c>
      <c r="N3689" t="s">
        <v>47</v>
      </c>
      <c r="O3689" t="s">
        <v>152</v>
      </c>
      <c r="P3689" t="s">
        <v>152</v>
      </c>
      <c r="Q3689" s="3">
        <v>28</v>
      </c>
      <c r="R3689" t="s">
        <v>34</v>
      </c>
      <c r="S3689" t="s">
        <v>97</v>
      </c>
    </row>
    <row r="3690" spans="1:19" x14ac:dyDescent="0.25">
      <c r="A3690">
        <v>3689</v>
      </c>
      <c r="B3690">
        <v>52</v>
      </c>
      <c r="C3690" t="s">
        <v>153</v>
      </c>
      <c r="D3690" t="s">
        <v>89</v>
      </c>
      <c r="E3690" t="s">
        <v>69</v>
      </c>
      <c r="F3690" s="1">
        <v>91</v>
      </c>
      <c r="G3690" t="s">
        <v>66</v>
      </c>
      <c r="H3690" t="s">
        <v>23</v>
      </c>
      <c r="I3690" t="s">
        <v>53</v>
      </c>
      <c r="J3690" t="s">
        <v>39</v>
      </c>
      <c r="K3690" s="2">
        <v>3</v>
      </c>
      <c r="L3690" t="s">
        <v>152</v>
      </c>
      <c r="M3690" t="s">
        <v>29</v>
      </c>
      <c r="N3690" t="s">
        <v>47</v>
      </c>
      <c r="O3690" t="s">
        <v>152</v>
      </c>
      <c r="P3690" t="s">
        <v>152</v>
      </c>
      <c r="Q3690" s="3">
        <v>8</v>
      </c>
      <c r="R3690" t="s">
        <v>35</v>
      </c>
      <c r="S3690" t="s">
        <v>88</v>
      </c>
    </row>
    <row r="3691" spans="1:19" x14ac:dyDescent="0.25">
      <c r="A3691">
        <v>3690</v>
      </c>
      <c r="B3691">
        <v>47</v>
      </c>
      <c r="C3691" t="s">
        <v>153</v>
      </c>
      <c r="D3691" t="s">
        <v>106</v>
      </c>
      <c r="E3691" t="s">
        <v>69</v>
      </c>
      <c r="F3691" s="1">
        <v>30</v>
      </c>
      <c r="G3691" t="s">
        <v>131</v>
      </c>
      <c r="H3691" t="s">
        <v>23</v>
      </c>
      <c r="I3691" t="s">
        <v>108</v>
      </c>
      <c r="J3691" t="s">
        <v>58</v>
      </c>
      <c r="K3691" s="2">
        <v>4.5</v>
      </c>
      <c r="L3691" t="s">
        <v>152</v>
      </c>
      <c r="M3691" t="s">
        <v>35</v>
      </c>
      <c r="N3691" t="s">
        <v>55</v>
      </c>
      <c r="O3691" t="s">
        <v>152</v>
      </c>
      <c r="P3691" t="s">
        <v>152</v>
      </c>
      <c r="Q3691" s="3">
        <v>8</v>
      </c>
      <c r="R3691" t="s">
        <v>34</v>
      </c>
      <c r="S3691" t="s">
        <v>60</v>
      </c>
    </row>
    <row r="3692" spans="1:19" x14ac:dyDescent="0.25">
      <c r="A3692">
        <v>3691</v>
      </c>
      <c r="B3692">
        <v>24</v>
      </c>
      <c r="C3692" t="s">
        <v>153</v>
      </c>
      <c r="D3692" t="s">
        <v>20</v>
      </c>
      <c r="E3692" t="s">
        <v>21</v>
      </c>
      <c r="F3692" s="1">
        <v>23</v>
      </c>
      <c r="G3692" t="s">
        <v>111</v>
      </c>
      <c r="H3692" t="s">
        <v>38</v>
      </c>
      <c r="I3692" t="s">
        <v>84</v>
      </c>
      <c r="J3692" t="s">
        <v>58</v>
      </c>
      <c r="K3692" s="2">
        <v>3.7</v>
      </c>
      <c r="L3692" t="s">
        <v>152</v>
      </c>
      <c r="M3692" t="s">
        <v>29</v>
      </c>
      <c r="N3692" t="s">
        <v>76</v>
      </c>
      <c r="O3692" t="s">
        <v>152</v>
      </c>
      <c r="P3692" t="s">
        <v>152</v>
      </c>
      <c r="Q3692" s="3">
        <v>4</v>
      </c>
      <c r="R3692" t="s">
        <v>34</v>
      </c>
      <c r="S3692" t="s">
        <v>77</v>
      </c>
    </row>
    <row r="3693" spans="1:19" x14ac:dyDescent="0.25">
      <c r="A3693">
        <v>3692</v>
      </c>
      <c r="B3693">
        <v>63</v>
      </c>
      <c r="C3693" t="s">
        <v>153</v>
      </c>
      <c r="D3693" t="s">
        <v>42</v>
      </c>
      <c r="E3693" t="s">
        <v>43</v>
      </c>
      <c r="F3693" s="1">
        <v>21</v>
      </c>
      <c r="G3693" t="s">
        <v>151</v>
      </c>
      <c r="H3693" t="s">
        <v>92</v>
      </c>
      <c r="I3693" t="s">
        <v>121</v>
      </c>
      <c r="J3693" t="s">
        <v>54</v>
      </c>
      <c r="K3693" s="2">
        <v>4.8</v>
      </c>
      <c r="L3693" t="s">
        <v>152</v>
      </c>
      <c r="M3693" t="s">
        <v>27</v>
      </c>
      <c r="N3693" t="s">
        <v>47</v>
      </c>
      <c r="O3693" t="s">
        <v>152</v>
      </c>
      <c r="P3693" t="s">
        <v>152</v>
      </c>
      <c r="Q3693" s="3">
        <v>24</v>
      </c>
      <c r="R3693" t="s">
        <v>46</v>
      </c>
      <c r="S3693" t="s">
        <v>41</v>
      </c>
    </row>
    <row r="3694" spans="1:19" x14ac:dyDescent="0.25">
      <c r="A3694">
        <v>3693</v>
      </c>
      <c r="B3694">
        <v>59</v>
      </c>
      <c r="C3694" t="s">
        <v>153</v>
      </c>
      <c r="D3694" t="s">
        <v>64</v>
      </c>
      <c r="E3694" t="s">
        <v>65</v>
      </c>
      <c r="F3694" s="1">
        <v>34</v>
      </c>
      <c r="G3694" t="s">
        <v>90</v>
      </c>
      <c r="H3694" t="s">
        <v>23</v>
      </c>
      <c r="I3694" t="s">
        <v>49</v>
      </c>
      <c r="J3694" t="s">
        <v>39</v>
      </c>
      <c r="K3694" s="2">
        <v>4.8</v>
      </c>
      <c r="L3694" t="s">
        <v>152</v>
      </c>
      <c r="M3694" t="s">
        <v>29</v>
      </c>
      <c r="N3694" t="s">
        <v>40</v>
      </c>
      <c r="O3694" t="s">
        <v>152</v>
      </c>
      <c r="P3694" t="s">
        <v>152</v>
      </c>
      <c r="Q3694" s="3">
        <v>29</v>
      </c>
      <c r="R3694" t="s">
        <v>35</v>
      </c>
      <c r="S3694" t="s">
        <v>30</v>
      </c>
    </row>
    <row r="3695" spans="1:19" x14ac:dyDescent="0.25">
      <c r="A3695">
        <v>3694</v>
      </c>
      <c r="B3695">
        <v>66</v>
      </c>
      <c r="C3695" t="s">
        <v>153</v>
      </c>
      <c r="D3695" t="s">
        <v>20</v>
      </c>
      <c r="E3695" t="s">
        <v>21</v>
      </c>
      <c r="F3695" s="1">
        <v>46</v>
      </c>
      <c r="G3695" t="s">
        <v>147</v>
      </c>
      <c r="H3695" t="s">
        <v>45</v>
      </c>
      <c r="I3695" t="s">
        <v>84</v>
      </c>
      <c r="J3695" t="s">
        <v>54</v>
      </c>
      <c r="K3695" s="2">
        <v>4.7</v>
      </c>
      <c r="L3695" t="s">
        <v>152</v>
      </c>
      <c r="M3695" t="s">
        <v>59</v>
      </c>
      <c r="N3695" t="s">
        <v>72</v>
      </c>
      <c r="O3695" t="s">
        <v>152</v>
      </c>
      <c r="P3695" t="s">
        <v>152</v>
      </c>
      <c r="Q3695" s="3">
        <v>10</v>
      </c>
      <c r="R3695" t="s">
        <v>29</v>
      </c>
      <c r="S3695" t="s">
        <v>41</v>
      </c>
    </row>
    <row r="3696" spans="1:19" x14ac:dyDescent="0.25">
      <c r="A3696">
        <v>3695</v>
      </c>
      <c r="B3696">
        <v>45</v>
      </c>
      <c r="C3696" t="s">
        <v>153</v>
      </c>
      <c r="D3696" t="s">
        <v>31</v>
      </c>
      <c r="E3696" t="s">
        <v>21</v>
      </c>
      <c r="F3696" s="1">
        <v>41</v>
      </c>
      <c r="G3696" t="s">
        <v>44</v>
      </c>
      <c r="H3696" t="s">
        <v>45</v>
      </c>
      <c r="I3696" t="s">
        <v>144</v>
      </c>
      <c r="J3696" t="s">
        <v>25</v>
      </c>
      <c r="K3696" s="2">
        <v>2.6</v>
      </c>
      <c r="L3696" t="s">
        <v>152</v>
      </c>
      <c r="M3696" t="s">
        <v>29</v>
      </c>
      <c r="N3696" t="s">
        <v>28</v>
      </c>
      <c r="O3696" t="s">
        <v>152</v>
      </c>
      <c r="P3696" t="s">
        <v>152</v>
      </c>
      <c r="Q3696" s="3">
        <v>11</v>
      </c>
      <c r="R3696" t="s">
        <v>46</v>
      </c>
      <c r="S3696" t="s">
        <v>77</v>
      </c>
    </row>
    <row r="3697" spans="1:19" x14ac:dyDescent="0.25">
      <c r="A3697">
        <v>3696</v>
      </c>
      <c r="B3697">
        <v>38</v>
      </c>
      <c r="C3697" t="s">
        <v>153</v>
      </c>
      <c r="D3697" t="s">
        <v>87</v>
      </c>
      <c r="E3697" t="s">
        <v>21</v>
      </c>
      <c r="F3697" s="1">
        <v>33</v>
      </c>
      <c r="G3697" t="s">
        <v>103</v>
      </c>
      <c r="H3697" t="s">
        <v>45</v>
      </c>
      <c r="I3697" t="s">
        <v>53</v>
      </c>
      <c r="J3697" t="s">
        <v>58</v>
      </c>
      <c r="K3697" s="2">
        <v>4.5999999999999996</v>
      </c>
      <c r="L3697" t="s">
        <v>152</v>
      </c>
      <c r="M3697" t="s">
        <v>34</v>
      </c>
      <c r="N3697" t="s">
        <v>55</v>
      </c>
      <c r="O3697" t="s">
        <v>152</v>
      </c>
      <c r="P3697" t="s">
        <v>152</v>
      </c>
      <c r="Q3697" s="3">
        <v>18</v>
      </c>
      <c r="R3697" t="s">
        <v>34</v>
      </c>
      <c r="S3697" t="s">
        <v>30</v>
      </c>
    </row>
    <row r="3698" spans="1:19" x14ac:dyDescent="0.25">
      <c r="A3698">
        <v>3697</v>
      </c>
      <c r="B3698">
        <v>63</v>
      </c>
      <c r="C3698" t="s">
        <v>153</v>
      </c>
      <c r="D3698" t="s">
        <v>20</v>
      </c>
      <c r="E3698" t="s">
        <v>21</v>
      </c>
      <c r="F3698" s="1">
        <v>48</v>
      </c>
      <c r="G3698" t="s">
        <v>139</v>
      </c>
      <c r="H3698" t="s">
        <v>23</v>
      </c>
      <c r="I3698" t="s">
        <v>49</v>
      </c>
      <c r="J3698" t="s">
        <v>58</v>
      </c>
      <c r="K3698" s="2">
        <v>3.4</v>
      </c>
      <c r="L3698" t="s">
        <v>152</v>
      </c>
      <c r="M3698" t="s">
        <v>29</v>
      </c>
      <c r="N3698" t="s">
        <v>47</v>
      </c>
      <c r="O3698" t="s">
        <v>152</v>
      </c>
      <c r="P3698" t="s">
        <v>152</v>
      </c>
      <c r="Q3698" s="3">
        <v>26</v>
      </c>
      <c r="R3698" t="s">
        <v>34</v>
      </c>
      <c r="S3698" t="s">
        <v>50</v>
      </c>
    </row>
    <row r="3699" spans="1:19" x14ac:dyDescent="0.25">
      <c r="A3699">
        <v>3698</v>
      </c>
      <c r="B3699">
        <v>55</v>
      </c>
      <c r="C3699" t="s">
        <v>153</v>
      </c>
      <c r="D3699" t="s">
        <v>104</v>
      </c>
      <c r="E3699" t="s">
        <v>21</v>
      </c>
      <c r="F3699" s="1">
        <v>66</v>
      </c>
      <c r="G3699" t="s">
        <v>138</v>
      </c>
      <c r="H3699" t="s">
        <v>23</v>
      </c>
      <c r="I3699" t="s">
        <v>71</v>
      </c>
      <c r="J3699" t="s">
        <v>25</v>
      </c>
      <c r="K3699" s="2">
        <v>3</v>
      </c>
      <c r="L3699" t="s">
        <v>152</v>
      </c>
      <c r="M3699" t="s">
        <v>46</v>
      </c>
      <c r="N3699" t="s">
        <v>55</v>
      </c>
      <c r="O3699" t="s">
        <v>152</v>
      </c>
      <c r="P3699" t="s">
        <v>152</v>
      </c>
      <c r="Q3699" s="3">
        <v>39</v>
      </c>
      <c r="R3699" t="s">
        <v>35</v>
      </c>
      <c r="S3699" t="s">
        <v>41</v>
      </c>
    </row>
    <row r="3700" spans="1:19" x14ac:dyDescent="0.25">
      <c r="A3700">
        <v>3699</v>
      </c>
      <c r="B3700">
        <v>25</v>
      </c>
      <c r="C3700" t="s">
        <v>153</v>
      </c>
      <c r="D3700" t="s">
        <v>87</v>
      </c>
      <c r="E3700" t="s">
        <v>21</v>
      </c>
      <c r="F3700" s="1">
        <v>54</v>
      </c>
      <c r="G3700" t="s">
        <v>99</v>
      </c>
      <c r="H3700" t="s">
        <v>92</v>
      </c>
      <c r="I3700" t="s">
        <v>33</v>
      </c>
      <c r="J3700" t="s">
        <v>39</v>
      </c>
      <c r="K3700" s="2">
        <v>4</v>
      </c>
      <c r="L3700" t="s">
        <v>152</v>
      </c>
      <c r="M3700" t="s">
        <v>27</v>
      </c>
      <c r="N3700" t="s">
        <v>72</v>
      </c>
      <c r="O3700" t="s">
        <v>152</v>
      </c>
      <c r="P3700" t="s">
        <v>152</v>
      </c>
      <c r="Q3700" s="3">
        <v>4</v>
      </c>
      <c r="R3700" t="s">
        <v>29</v>
      </c>
      <c r="S3700" t="s">
        <v>50</v>
      </c>
    </row>
    <row r="3701" spans="1:19" x14ac:dyDescent="0.25">
      <c r="A3701">
        <v>3700</v>
      </c>
      <c r="B3701">
        <v>51</v>
      </c>
      <c r="C3701" t="s">
        <v>153</v>
      </c>
      <c r="D3701" t="s">
        <v>132</v>
      </c>
      <c r="E3701" t="s">
        <v>69</v>
      </c>
      <c r="F3701" s="1">
        <v>55</v>
      </c>
      <c r="G3701" t="s">
        <v>101</v>
      </c>
      <c r="H3701" t="s">
        <v>45</v>
      </c>
      <c r="I3701" t="s">
        <v>79</v>
      </c>
      <c r="J3701" t="s">
        <v>58</v>
      </c>
      <c r="K3701" s="2">
        <v>2.6</v>
      </c>
      <c r="L3701" t="s">
        <v>152</v>
      </c>
      <c r="M3701" t="s">
        <v>35</v>
      </c>
      <c r="N3701" t="s">
        <v>76</v>
      </c>
      <c r="O3701" t="s">
        <v>152</v>
      </c>
      <c r="P3701" t="s">
        <v>152</v>
      </c>
      <c r="Q3701" s="3">
        <v>24</v>
      </c>
      <c r="R3701" t="s">
        <v>34</v>
      </c>
      <c r="S3701" t="s">
        <v>41</v>
      </c>
    </row>
    <row r="3702" spans="1:19" x14ac:dyDescent="0.25">
      <c r="A3702">
        <v>3701</v>
      </c>
      <c r="B3702">
        <v>28</v>
      </c>
      <c r="C3702" t="s">
        <v>153</v>
      </c>
      <c r="D3702" t="s">
        <v>68</v>
      </c>
      <c r="E3702" t="s">
        <v>69</v>
      </c>
      <c r="F3702" s="1">
        <v>84</v>
      </c>
      <c r="G3702" t="s">
        <v>114</v>
      </c>
      <c r="H3702" t="s">
        <v>92</v>
      </c>
      <c r="I3702" t="s">
        <v>63</v>
      </c>
      <c r="J3702" t="s">
        <v>54</v>
      </c>
      <c r="K3702" s="2">
        <v>3.4</v>
      </c>
      <c r="L3702" t="s">
        <v>152</v>
      </c>
      <c r="M3702" t="s">
        <v>27</v>
      </c>
      <c r="N3702" t="s">
        <v>76</v>
      </c>
      <c r="O3702" t="s">
        <v>152</v>
      </c>
      <c r="P3702" t="s">
        <v>152</v>
      </c>
      <c r="Q3702" s="3">
        <v>2</v>
      </c>
      <c r="R3702" t="s">
        <v>34</v>
      </c>
      <c r="S3702" t="s">
        <v>97</v>
      </c>
    </row>
    <row r="3703" spans="1:19" x14ac:dyDescent="0.25">
      <c r="A3703">
        <v>3702</v>
      </c>
      <c r="B3703">
        <v>46</v>
      </c>
      <c r="C3703" t="s">
        <v>153</v>
      </c>
      <c r="D3703" t="s">
        <v>42</v>
      </c>
      <c r="E3703" t="s">
        <v>43</v>
      </c>
      <c r="F3703" s="1">
        <v>66</v>
      </c>
      <c r="G3703" t="s">
        <v>130</v>
      </c>
      <c r="H3703" t="s">
        <v>45</v>
      </c>
      <c r="I3703" t="s">
        <v>63</v>
      </c>
      <c r="J3703" t="s">
        <v>39</v>
      </c>
      <c r="K3703" s="2">
        <v>4.5</v>
      </c>
      <c r="L3703" t="s">
        <v>152</v>
      </c>
      <c r="M3703" t="s">
        <v>35</v>
      </c>
      <c r="N3703" t="s">
        <v>76</v>
      </c>
      <c r="O3703" t="s">
        <v>152</v>
      </c>
      <c r="P3703" t="s">
        <v>152</v>
      </c>
      <c r="Q3703" s="3">
        <v>36</v>
      </c>
      <c r="R3703" t="s">
        <v>35</v>
      </c>
      <c r="S3703" t="s">
        <v>50</v>
      </c>
    </row>
    <row r="3704" spans="1:19" x14ac:dyDescent="0.25">
      <c r="A3704">
        <v>3703</v>
      </c>
      <c r="B3704">
        <v>58</v>
      </c>
      <c r="C3704" t="s">
        <v>153</v>
      </c>
      <c r="D3704" t="s">
        <v>73</v>
      </c>
      <c r="E3704" t="s">
        <v>43</v>
      </c>
      <c r="F3704" s="1">
        <v>65</v>
      </c>
      <c r="G3704" t="s">
        <v>131</v>
      </c>
      <c r="H3704" t="s">
        <v>45</v>
      </c>
      <c r="I3704" t="s">
        <v>126</v>
      </c>
      <c r="J3704" t="s">
        <v>39</v>
      </c>
      <c r="K3704" s="2">
        <v>2.7</v>
      </c>
      <c r="L3704" t="s">
        <v>152</v>
      </c>
      <c r="M3704" t="s">
        <v>46</v>
      </c>
      <c r="N3704" t="s">
        <v>76</v>
      </c>
      <c r="O3704" t="s">
        <v>152</v>
      </c>
      <c r="P3704" t="s">
        <v>152</v>
      </c>
      <c r="Q3704" s="3">
        <v>36</v>
      </c>
      <c r="R3704" t="s">
        <v>29</v>
      </c>
      <c r="S3704" t="s">
        <v>41</v>
      </c>
    </row>
    <row r="3705" spans="1:19" x14ac:dyDescent="0.25">
      <c r="A3705">
        <v>3704</v>
      </c>
      <c r="B3705">
        <v>30</v>
      </c>
      <c r="C3705" t="s">
        <v>153</v>
      </c>
      <c r="D3705" t="s">
        <v>42</v>
      </c>
      <c r="E3705" t="s">
        <v>43</v>
      </c>
      <c r="F3705" s="1">
        <v>83</v>
      </c>
      <c r="G3705" t="s">
        <v>151</v>
      </c>
      <c r="H3705" t="s">
        <v>38</v>
      </c>
      <c r="I3705" t="s">
        <v>86</v>
      </c>
      <c r="J3705" t="s">
        <v>58</v>
      </c>
      <c r="K3705" s="2">
        <v>2.9</v>
      </c>
      <c r="L3705" t="s">
        <v>152</v>
      </c>
      <c r="M3705" t="s">
        <v>34</v>
      </c>
      <c r="N3705" t="s">
        <v>55</v>
      </c>
      <c r="O3705" t="s">
        <v>152</v>
      </c>
      <c r="P3705" t="s">
        <v>152</v>
      </c>
      <c r="Q3705" s="3">
        <v>23</v>
      </c>
      <c r="R3705" t="s">
        <v>46</v>
      </c>
      <c r="S3705" t="s">
        <v>97</v>
      </c>
    </row>
    <row r="3706" spans="1:19" x14ac:dyDescent="0.25">
      <c r="A3706">
        <v>3705</v>
      </c>
      <c r="B3706">
        <v>68</v>
      </c>
      <c r="C3706" t="s">
        <v>153</v>
      </c>
      <c r="D3706" t="s">
        <v>89</v>
      </c>
      <c r="E3706" t="s">
        <v>69</v>
      </c>
      <c r="F3706" s="1">
        <v>61</v>
      </c>
      <c r="G3706" t="s">
        <v>70</v>
      </c>
      <c r="H3706" t="s">
        <v>23</v>
      </c>
      <c r="I3706" t="s">
        <v>94</v>
      </c>
      <c r="J3706" t="s">
        <v>25</v>
      </c>
      <c r="K3706" s="2">
        <v>4</v>
      </c>
      <c r="L3706" t="s">
        <v>152</v>
      </c>
      <c r="M3706" t="s">
        <v>46</v>
      </c>
      <c r="N3706" t="s">
        <v>76</v>
      </c>
      <c r="O3706" t="s">
        <v>152</v>
      </c>
      <c r="P3706" t="s">
        <v>152</v>
      </c>
      <c r="Q3706" s="3">
        <v>36</v>
      </c>
      <c r="R3706" t="s">
        <v>27</v>
      </c>
      <c r="S3706" t="s">
        <v>60</v>
      </c>
    </row>
    <row r="3707" spans="1:19" x14ac:dyDescent="0.25">
      <c r="A3707">
        <v>3706</v>
      </c>
      <c r="B3707">
        <v>28</v>
      </c>
      <c r="C3707" t="s">
        <v>153</v>
      </c>
      <c r="D3707" t="s">
        <v>87</v>
      </c>
      <c r="E3707" t="s">
        <v>21</v>
      </c>
      <c r="F3707" s="1">
        <v>65</v>
      </c>
      <c r="G3707" t="s">
        <v>112</v>
      </c>
      <c r="H3707" t="s">
        <v>23</v>
      </c>
      <c r="I3707" t="s">
        <v>86</v>
      </c>
      <c r="J3707" t="s">
        <v>54</v>
      </c>
      <c r="K3707" s="2">
        <v>3.2</v>
      </c>
      <c r="L3707" t="s">
        <v>152</v>
      </c>
      <c r="M3707" t="s">
        <v>46</v>
      </c>
      <c r="N3707" t="s">
        <v>40</v>
      </c>
      <c r="O3707" t="s">
        <v>152</v>
      </c>
      <c r="P3707" t="s">
        <v>152</v>
      </c>
      <c r="Q3707" s="3">
        <v>2</v>
      </c>
      <c r="R3707" t="s">
        <v>59</v>
      </c>
      <c r="S3707" t="s">
        <v>50</v>
      </c>
    </row>
    <row r="3708" spans="1:19" x14ac:dyDescent="0.25">
      <c r="A3708">
        <v>3707</v>
      </c>
      <c r="B3708">
        <v>26</v>
      </c>
      <c r="C3708" t="s">
        <v>153</v>
      </c>
      <c r="D3708" t="s">
        <v>42</v>
      </c>
      <c r="E3708" t="s">
        <v>43</v>
      </c>
      <c r="F3708" s="1">
        <v>55</v>
      </c>
      <c r="G3708" t="s">
        <v>111</v>
      </c>
      <c r="H3708" t="s">
        <v>45</v>
      </c>
      <c r="I3708" t="s">
        <v>96</v>
      </c>
      <c r="J3708" t="s">
        <v>39</v>
      </c>
      <c r="K3708" s="2">
        <v>4</v>
      </c>
      <c r="L3708" t="s">
        <v>152</v>
      </c>
      <c r="M3708" t="s">
        <v>27</v>
      </c>
      <c r="N3708" t="s">
        <v>76</v>
      </c>
      <c r="O3708" t="s">
        <v>152</v>
      </c>
      <c r="P3708" t="s">
        <v>152</v>
      </c>
      <c r="Q3708" s="3">
        <v>17</v>
      </c>
      <c r="R3708" t="s">
        <v>35</v>
      </c>
      <c r="S3708" t="s">
        <v>77</v>
      </c>
    </row>
    <row r="3709" spans="1:19" x14ac:dyDescent="0.25">
      <c r="A3709">
        <v>3708</v>
      </c>
      <c r="B3709">
        <v>35</v>
      </c>
      <c r="C3709" t="s">
        <v>153</v>
      </c>
      <c r="D3709" t="s">
        <v>143</v>
      </c>
      <c r="E3709" t="s">
        <v>69</v>
      </c>
      <c r="F3709" s="1">
        <v>79</v>
      </c>
      <c r="G3709" t="s">
        <v>115</v>
      </c>
      <c r="H3709" t="s">
        <v>45</v>
      </c>
      <c r="I3709" t="s">
        <v>81</v>
      </c>
      <c r="J3709" t="s">
        <v>58</v>
      </c>
      <c r="K3709" s="2">
        <v>3.4</v>
      </c>
      <c r="L3709" t="s">
        <v>152</v>
      </c>
      <c r="M3709" t="s">
        <v>34</v>
      </c>
      <c r="N3709" t="s">
        <v>72</v>
      </c>
      <c r="O3709" t="s">
        <v>152</v>
      </c>
      <c r="P3709" t="s">
        <v>152</v>
      </c>
      <c r="Q3709" s="3">
        <v>19</v>
      </c>
      <c r="R3709" t="s">
        <v>29</v>
      </c>
      <c r="S3709" t="s">
        <v>41</v>
      </c>
    </row>
    <row r="3710" spans="1:19" x14ac:dyDescent="0.25">
      <c r="A3710">
        <v>3709</v>
      </c>
      <c r="B3710">
        <v>40</v>
      </c>
      <c r="C3710" t="s">
        <v>153</v>
      </c>
      <c r="D3710" t="s">
        <v>104</v>
      </c>
      <c r="E3710" t="s">
        <v>21</v>
      </c>
      <c r="F3710" s="1">
        <v>96</v>
      </c>
      <c r="G3710" t="s">
        <v>131</v>
      </c>
      <c r="H3710" t="s">
        <v>45</v>
      </c>
      <c r="I3710" t="s">
        <v>108</v>
      </c>
      <c r="J3710" t="s">
        <v>58</v>
      </c>
      <c r="K3710" s="2">
        <v>4.9000000000000004</v>
      </c>
      <c r="L3710" t="s">
        <v>152</v>
      </c>
      <c r="M3710" t="s">
        <v>34</v>
      </c>
      <c r="N3710" t="s">
        <v>28</v>
      </c>
      <c r="O3710" t="s">
        <v>152</v>
      </c>
      <c r="P3710" t="s">
        <v>152</v>
      </c>
      <c r="Q3710" s="3">
        <v>41</v>
      </c>
      <c r="R3710" t="s">
        <v>46</v>
      </c>
      <c r="S3710" t="s">
        <v>88</v>
      </c>
    </row>
    <row r="3711" spans="1:19" x14ac:dyDescent="0.25">
      <c r="A3711">
        <v>3710</v>
      </c>
      <c r="B3711">
        <v>31</v>
      </c>
      <c r="C3711" t="s">
        <v>153</v>
      </c>
      <c r="D3711" t="s">
        <v>125</v>
      </c>
      <c r="E3711" t="s">
        <v>21</v>
      </c>
      <c r="F3711" s="1">
        <v>43</v>
      </c>
      <c r="G3711" t="s">
        <v>140</v>
      </c>
      <c r="H3711" t="s">
        <v>45</v>
      </c>
      <c r="I3711" t="s">
        <v>67</v>
      </c>
      <c r="J3711" t="s">
        <v>58</v>
      </c>
      <c r="K3711" s="2">
        <v>3.6</v>
      </c>
      <c r="L3711" t="s">
        <v>152</v>
      </c>
      <c r="M3711" t="s">
        <v>59</v>
      </c>
      <c r="N3711" t="s">
        <v>40</v>
      </c>
      <c r="O3711" t="s">
        <v>152</v>
      </c>
      <c r="P3711" t="s">
        <v>152</v>
      </c>
      <c r="Q3711" s="3">
        <v>27</v>
      </c>
      <c r="R3711" t="s">
        <v>46</v>
      </c>
      <c r="S3711" t="s">
        <v>60</v>
      </c>
    </row>
    <row r="3712" spans="1:19" x14ac:dyDescent="0.25">
      <c r="A3712">
        <v>3711</v>
      </c>
      <c r="B3712">
        <v>60</v>
      </c>
      <c r="C3712" t="s">
        <v>153</v>
      </c>
      <c r="D3712" t="s">
        <v>106</v>
      </c>
      <c r="E3712" t="s">
        <v>69</v>
      </c>
      <c r="F3712" s="1">
        <v>40</v>
      </c>
      <c r="G3712" t="s">
        <v>78</v>
      </c>
      <c r="H3712" t="s">
        <v>45</v>
      </c>
      <c r="I3712" t="s">
        <v>134</v>
      </c>
      <c r="J3712" t="s">
        <v>54</v>
      </c>
      <c r="K3712" s="2">
        <v>3.6</v>
      </c>
      <c r="L3712" t="s">
        <v>152</v>
      </c>
      <c r="M3712" t="s">
        <v>46</v>
      </c>
      <c r="N3712" t="s">
        <v>72</v>
      </c>
      <c r="O3712" t="s">
        <v>152</v>
      </c>
      <c r="P3712" t="s">
        <v>152</v>
      </c>
      <c r="Q3712" s="3">
        <v>32</v>
      </c>
      <c r="R3712" t="s">
        <v>34</v>
      </c>
      <c r="S3712" t="s">
        <v>30</v>
      </c>
    </row>
    <row r="3713" spans="1:19" x14ac:dyDescent="0.25">
      <c r="A3713">
        <v>3712</v>
      </c>
      <c r="B3713">
        <v>69</v>
      </c>
      <c r="C3713" t="s">
        <v>153</v>
      </c>
      <c r="D3713" t="s">
        <v>124</v>
      </c>
      <c r="E3713" t="s">
        <v>69</v>
      </c>
      <c r="F3713" s="1">
        <v>62</v>
      </c>
      <c r="G3713" t="s">
        <v>105</v>
      </c>
      <c r="H3713" t="s">
        <v>92</v>
      </c>
      <c r="I3713" t="s">
        <v>100</v>
      </c>
      <c r="J3713" t="s">
        <v>58</v>
      </c>
      <c r="K3713" s="2">
        <v>3.2</v>
      </c>
      <c r="L3713" t="s">
        <v>152</v>
      </c>
      <c r="M3713" t="s">
        <v>35</v>
      </c>
      <c r="N3713" t="s">
        <v>40</v>
      </c>
      <c r="O3713" t="s">
        <v>152</v>
      </c>
      <c r="P3713" t="s">
        <v>152</v>
      </c>
      <c r="Q3713" s="3">
        <v>33</v>
      </c>
      <c r="R3713" t="s">
        <v>35</v>
      </c>
      <c r="S3713" t="s">
        <v>50</v>
      </c>
    </row>
    <row r="3714" spans="1:19" x14ac:dyDescent="0.25">
      <c r="A3714">
        <v>3713</v>
      </c>
      <c r="B3714">
        <v>51</v>
      </c>
      <c r="C3714" t="s">
        <v>153</v>
      </c>
      <c r="D3714" t="s">
        <v>20</v>
      </c>
      <c r="E3714" t="s">
        <v>21</v>
      </c>
      <c r="F3714" s="1">
        <v>72</v>
      </c>
      <c r="G3714" t="s">
        <v>48</v>
      </c>
      <c r="H3714" t="s">
        <v>45</v>
      </c>
      <c r="I3714" t="s">
        <v>49</v>
      </c>
      <c r="J3714" t="s">
        <v>39</v>
      </c>
      <c r="K3714" s="2">
        <v>3.7</v>
      </c>
      <c r="L3714" t="s">
        <v>152</v>
      </c>
      <c r="M3714" t="s">
        <v>29</v>
      </c>
      <c r="N3714" t="s">
        <v>72</v>
      </c>
      <c r="O3714" t="s">
        <v>152</v>
      </c>
      <c r="P3714" t="s">
        <v>152</v>
      </c>
      <c r="Q3714" s="3">
        <v>24</v>
      </c>
      <c r="R3714" t="s">
        <v>46</v>
      </c>
      <c r="S3714" t="s">
        <v>60</v>
      </c>
    </row>
    <row r="3715" spans="1:19" x14ac:dyDescent="0.25">
      <c r="A3715">
        <v>3714</v>
      </c>
      <c r="B3715">
        <v>49</v>
      </c>
      <c r="C3715" t="s">
        <v>153</v>
      </c>
      <c r="D3715" t="s">
        <v>73</v>
      </c>
      <c r="E3715" t="s">
        <v>43</v>
      </c>
      <c r="F3715" s="1">
        <v>87</v>
      </c>
      <c r="G3715" t="s">
        <v>117</v>
      </c>
      <c r="H3715" t="s">
        <v>45</v>
      </c>
      <c r="I3715" t="s">
        <v>100</v>
      </c>
      <c r="J3715" t="s">
        <v>39</v>
      </c>
      <c r="K3715" s="2">
        <v>2.6</v>
      </c>
      <c r="L3715" t="s">
        <v>152</v>
      </c>
      <c r="M3715" t="s">
        <v>35</v>
      </c>
      <c r="N3715" t="s">
        <v>28</v>
      </c>
      <c r="O3715" t="s">
        <v>152</v>
      </c>
      <c r="P3715" t="s">
        <v>152</v>
      </c>
      <c r="Q3715" s="3">
        <v>31</v>
      </c>
      <c r="R3715" t="s">
        <v>59</v>
      </c>
      <c r="S3715" t="s">
        <v>97</v>
      </c>
    </row>
    <row r="3716" spans="1:19" x14ac:dyDescent="0.25">
      <c r="A3716">
        <v>3715</v>
      </c>
      <c r="B3716">
        <v>18</v>
      </c>
      <c r="C3716" t="s">
        <v>153</v>
      </c>
      <c r="D3716" t="s">
        <v>124</v>
      </c>
      <c r="E3716" t="s">
        <v>69</v>
      </c>
      <c r="F3716" s="1">
        <v>31</v>
      </c>
      <c r="G3716" t="s">
        <v>85</v>
      </c>
      <c r="H3716" t="s">
        <v>38</v>
      </c>
      <c r="I3716" t="s">
        <v>100</v>
      </c>
      <c r="J3716" t="s">
        <v>25</v>
      </c>
      <c r="K3716" s="2">
        <v>3.9</v>
      </c>
      <c r="L3716" t="s">
        <v>152</v>
      </c>
      <c r="M3716" t="s">
        <v>35</v>
      </c>
      <c r="N3716" t="s">
        <v>28</v>
      </c>
      <c r="O3716" t="s">
        <v>152</v>
      </c>
      <c r="P3716" t="s">
        <v>152</v>
      </c>
      <c r="Q3716" s="3">
        <v>35</v>
      </c>
      <c r="R3716" t="s">
        <v>27</v>
      </c>
      <c r="S3716" t="s">
        <v>41</v>
      </c>
    </row>
    <row r="3717" spans="1:19" x14ac:dyDescent="0.25">
      <c r="A3717">
        <v>3716</v>
      </c>
      <c r="B3717">
        <v>63</v>
      </c>
      <c r="C3717" t="s">
        <v>153</v>
      </c>
      <c r="D3717" t="s">
        <v>89</v>
      </c>
      <c r="E3717" t="s">
        <v>69</v>
      </c>
      <c r="F3717" s="1">
        <v>34</v>
      </c>
      <c r="G3717" t="s">
        <v>145</v>
      </c>
      <c r="H3717" t="s">
        <v>38</v>
      </c>
      <c r="I3717" t="s">
        <v>121</v>
      </c>
      <c r="J3717" t="s">
        <v>58</v>
      </c>
      <c r="K3717" s="2">
        <v>3.4</v>
      </c>
      <c r="L3717" t="s">
        <v>152</v>
      </c>
      <c r="M3717" t="s">
        <v>27</v>
      </c>
      <c r="N3717" t="s">
        <v>40</v>
      </c>
      <c r="O3717" t="s">
        <v>152</v>
      </c>
      <c r="P3717" t="s">
        <v>152</v>
      </c>
      <c r="Q3717" s="3">
        <v>2</v>
      </c>
      <c r="R3717" t="s">
        <v>34</v>
      </c>
      <c r="S3717" t="s">
        <v>88</v>
      </c>
    </row>
    <row r="3718" spans="1:19" x14ac:dyDescent="0.25">
      <c r="A3718">
        <v>3717</v>
      </c>
      <c r="B3718">
        <v>57</v>
      </c>
      <c r="C3718" t="s">
        <v>153</v>
      </c>
      <c r="D3718" t="s">
        <v>56</v>
      </c>
      <c r="E3718" t="s">
        <v>21</v>
      </c>
      <c r="F3718" s="1">
        <v>53</v>
      </c>
      <c r="G3718" t="s">
        <v>129</v>
      </c>
      <c r="H3718" t="s">
        <v>45</v>
      </c>
      <c r="I3718" t="s">
        <v>63</v>
      </c>
      <c r="J3718" t="s">
        <v>58</v>
      </c>
      <c r="K3718" s="2">
        <v>3.4</v>
      </c>
      <c r="L3718" t="s">
        <v>152</v>
      </c>
      <c r="M3718" t="s">
        <v>34</v>
      </c>
      <c r="N3718" t="s">
        <v>47</v>
      </c>
      <c r="O3718" t="s">
        <v>152</v>
      </c>
      <c r="P3718" t="s">
        <v>152</v>
      </c>
      <c r="Q3718" s="3">
        <v>42</v>
      </c>
      <c r="R3718" t="s">
        <v>59</v>
      </c>
      <c r="S3718" t="s">
        <v>97</v>
      </c>
    </row>
    <row r="3719" spans="1:19" x14ac:dyDescent="0.25">
      <c r="A3719">
        <v>3718</v>
      </c>
      <c r="B3719">
        <v>45</v>
      </c>
      <c r="C3719" t="s">
        <v>153</v>
      </c>
      <c r="D3719" t="s">
        <v>113</v>
      </c>
      <c r="E3719" t="s">
        <v>21</v>
      </c>
      <c r="F3719" s="1">
        <v>85</v>
      </c>
      <c r="G3719" t="s">
        <v>128</v>
      </c>
      <c r="H3719" t="s">
        <v>92</v>
      </c>
      <c r="I3719" t="s">
        <v>53</v>
      </c>
      <c r="J3719" t="s">
        <v>54</v>
      </c>
      <c r="K3719" s="2">
        <v>4.2</v>
      </c>
      <c r="L3719" t="s">
        <v>152</v>
      </c>
      <c r="M3719" t="s">
        <v>29</v>
      </c>
      <c r="N3719" t="s">
        <v>28</v>
      </c>
      <c r="O3719" t="s">
        <v>152</v>
      </c>
      <c r="P3719" t="s">
        <v>152</v>
      </c>
      <c r="Q3719" s="3">
        <v>47</v>
      </c>
      <c r="R3719" t="s">
        <v>34</v>
      </c>
      <c r="S3719" t="s">
        <v>97</v>
      </c>
    </row>
    <row r="3720" spans="1:19" x14ac:dyDescent="0.25">
      <c r="A3720">
        <v>3719</v>
      </c>
      <c r="B3720">
        <v>36</v>
      </c>
      <c r="C3720" t="s">
        <v>153</v>
      </c>
      <c r="D3720" t="s">
        <v>95</v>
      </c>
      <c r="E3720" t="s">
        <v>21</v>
      </c>
      <c r="F3720" s="1">
        <v>50</v>
      </c>
      <c r="G3720" t="s">
        <v>122</v>
      </c>
      <c r="H3720" t="s">
        <v>23</v>
      </c>
      <c r="I3720" t="s">
        <v>49</v>
      </c>
      <c r="J3720" t="s">
        <v>58</v>
      </c>
      <c r="K3720" s="2">
        <v>2.9</v>
      </c>
      <c r="L3720" t="s">
        <v>152</v>
      </c>
      <c r="M3720" t="s">
        <v>27</v>
      </c>
      <c r="N3720" t="s">
        <v>55</v>
      </c>
      <c r="O3720" t="s">
        <v>152</v>
      </c>
      <c r="P3720" t="s">
        <v>152</v>
      </c>
      <c r="Q3720" s="3">
        <v>44</v>
      </c>
      <c r="R3720" t="s">
        <v>34</v>
      </c>
      <c r="S3720" t="s">
        <v>77</v>
      </c>
    </row>
    <row r="3721" spans="1:19" x14ac:dyDescent="0.25">
      <c r="A3721">
        <v>3720</v>
      </c>
      <c r="B3721">
        <v>20</v>
      </c>
      <c r="C3721" t="s">
        <v>153</v>
      </c>
      <c r="D3721" t="s">
        <v>95</v>
      </c>
      <c r="E3721" t="s">
        <v>21</v>
      </c>
      <c r="F3721" s="1">
        <v>91</v>
      </c>
      <c r="G3721" t="s">
        <v>138</v>
      </c>
      <c r="H3721" t="s">
        <v>45</v>
      </c>
      <c r="I3721" t="s">
        <v>108</v>
      </c>
      <c r="J3721" t="s">
        <v>54</v>
      </c>
      <c r="K3721" s="2">
        <v>4.0999999999999996</v>
      </c>
      <c r="L3721" t="s">
        <v>152</v>
      </c>
      <c r="M3721" t="s">
        <v>35</v>
      </c>
      <c r="N3721" t="s">
        <v>40</v>
      </c>
      <c r="O3721" t="s">
        <v>152</v>
      </c>
      <c r="P3721" t="s">
        <v>152</v>
      </c>
      <c r="Q3721" s="3">
        <v>8</v>
      </c>
      <c r="R3721" t="s">
        <v>34</v>
      </c>
      <c r="S3721" t="s">
        <v>97</v>
      </c>
    </row>
    <row r="3722" spans="1:19" x14ac:dyDescent="0.25">
      <c r="A3722">
        <v>3721</v>
      </c>
      <c r="B3722">
        <v>21</v>
      </c>
      <c r="C3722" t="s">
        <v>153</v>
      </c>
      <c r="D3722" t="s">
        <v>124</v>
      </c>
      <c r="E3722" t="s">
        <v>69</v>
      </c>
      <c r="F3722" s="1">
        <v>56</v>
      </c>
      <c r="G3722" t="s">
        <v>131</v>
      </c>
      <c r="H3722" t="s">
        <v>45</v>
      </c>
      <c r="I3722" t="s">
        <v>100</v>
      </c>
      <c r="J3722" t="s">
        <v>58</v>
      </c>
      <c r="K3722" s="2">
        <v>3.6</v>
      </c>
      <c r="L3722" t="s">
        <v>152</v>
      </c>
      <c r="M3722" t="s">
        <v>59</v>
      </c>
      <c r="N3722" t="s">
        <v>40</v>
      </c>
      <c r="O3722" t="s">
        <v>152</v>
      </c>
      <c r="P3722" t="s">
        <v>152</v>
      </c>
      <c r="Q3722" s="3">
        <v>13</v>
      </c>
      <c r="R3722" t="s">
        <v>27</v>
      </c>
      <c r="S3722" t="s">
        <v>60</v>
      </c>
    </row>
    <row r="3723" spans="1:19" x14ac:dyDescent="0.25">
      <c r="A3723">
        <v>3722</v>
      </c>
      <c r="B3723">
        <v>62</v>
      </c>
      <c r="C3723" t="s">
        <v>153</v>
      </c>
      <c r="D3723" t="s">
        <v>64</v>
      </c>
      <c r="E3723" t="s">
        <v>65</v>
      </c>
      <c r="F3723" s="1">
        <v>60</v>
      </c>
      <c r="G3723" t="s">
        <v>139</v>
      </c>
      <c r="H3723" t="s">
        <v>23</v>
      </c>
      <c r="I3723" t="s">
        <v>71</v>
      </c>
      <c r="J3723" t="s">
        <v>58</v>
      </c>
      <c r="K3723" s="2">
        <v>4</v>
      </c>
      <c r="L3723" t="s">
        <v>152</v>
      </c>
      <c r="M3723" t="s">
        <v>27</v>
      </c>
      <c r="N3723" t="s">
        <v>47</v>
      </c>
      <c r="O3723" t="s">
        <v>152</v>
      </c>
      <c r="P3723" t="s">
        <v>152</v>
      </c>
      <c r="Q3723" s="3">
        <v>10</v>
      </c>
      <c r="R3723" t="s">
        <v>35</v>
      </c>
      <c r="S3723" t="s">
        <v>50</v>
      </c>
    </row>
    <row r="3724" spans="1:19" x14ac:dyDescent="0.25">
      <c r="A3724">
        <v>3723</v>
      </c>
      <c r="B3724">
        <v>23</v>
      </c>
      <c r="C3724" t="s">
        <v>153</v>
      </c>
      <c r="D3724" t="s">
        <v>102</v>
      </c>
      <c r="E3724" t="s">
        <v>65</v>
      </c>
      <c r="F3724" s="1">
        <v>34</v>
      </c>
      <c r="G3724" t="s">
        <v>22</v>
      </c>
      <c r="H3724" t="s">
        <v>92</v>
      </c>
      <c r="I3724" t="s">
        <v>134</v>
      </c>
      <c r="J3724" t="s">
        <v>58</v>
      </c>
      <c r="K3724" s="2">
        <v>4</v>
      </c>
      <c r="L3724" t="s">
        <v>152</v>
      </c>
      <c r="M3724" t="s">
        <v>46</v>
      </c>
      <c r="N3724" t="s">
        <v>55</v>
      </c>
      <c r="O3724" t="s">
        <v>152</v>
      </c>
      <c r="P3724" t="s">
        <v>152</v>
      </c>
      <c r="Q3724" s="3">
        <v>1</v>
      </c>
      <c r="R3724" t="s">
        <v>27</v>
      </c>
      <c r="S3724" t="s">
        <v>30</v>
      </c>
    </row>
    <row r="3725" spans="1:19" x14ac:dyDescent="0.25">
      <c r="A3725">
        <v>3724</v>
      </c>
      <c r="B3725">
        <v>26</v>
      </c>
      <c r="C3725" t="s">
        <v>153</v>
      </c>
      <c r="D3725" t="s">
        <v>42</v>
      </c>
      <c r="E3725" t="s">
        <v>43</v>
      </c>
      <c r="F3725" s="1">
        <v>30</v>
      </c>
      <c r="G3725" t="s">
        <v>44</v>
      </c>
      <c r="H3725" t="s">
        <v>45</v>
      </c>
      <c r="I3725" t="s">
        <v>118</v>
      </c>
      <c r="J3725" t="s">
        <v>39</v>
      </c>
      <c r="K3725" s="2">
        <v>3.6</v>
      </c>
      <c r="L3725" t="s">
        <v>152</v>
      </c>
      <c r="M3725" t="s">
        <v>29</v>
      </c>
      <c r="N3725" t="s">
        <v>40</v>
      </c>
      <c r="O3725" t="s">
        <v>152</v>
      </c>
      <c r="P3725" t="s">
        <v>152</v>
      </c>
      <c r="Q3725" s="3">
        <v>1</v>
      </c>
      <c r="R3725" t="s">
        <v>59</v>
      </c>
      <c r="S3725" t="s">
        <v>88</v>
      </c>
    </row>
    <row r="3726" spans="1:19" x14ac:dyDescent="0.25">
      <c r="A3726">
        <v>3725</v>
      </c>
      <c r="B3726">
        <v>30</v>
      </c>
      <c r="C3726" t="s">
        <v>153</v>
      </c>
      <c r="D3726" t="s">
        <v>143</v>
      </c>
      <c r="E3726" t="s">
        <v>69</v>
      </c>
      <c r="F3726" s="1">
        <v>71</v>
      </c>
      <c r="G3726" t="s">
        <v>112</v>
      </c>
      <c r="H3726" t="s">
        <v>23</v>
      </c>
      <c r="I3726" t="s">
        <v>96</v>
      </c>
      <c r="J3726" t="s">
        <v>25</v>
      </c>
      <c r="K3726" s="2">
        <v>3.1</v>
      </c>
      <c r="L3726" t="s">
        <v>152</v>
      </c>
      <c r="M3726" t="s">
        <v>46</v>
      </c>
      <c r="N3726" t="s">
        <v>28</v>
      </c>
      <c r="O3726" t="s">
        <v>152</v>
      </c>
      <c r="P3726" t="s">
        <v>152</v>
      </c>
      <c r="Q3726" s="3">
        <v>18</v>
      </c>
      <c r="R3726" t="s">
        <v>34</v>
      </c>
      <c r="S3726" t="s">
        <v>50</v>
      </c>
    </row>
    <row r="3727" spans="1:19" x14ac:dyDescent="0.25">
      <c r="A3727">
        <v>3726</v>
      </c>
      <c r="B3727">
        <v>18</v>
      </c>
      <c r="C3727" t="s">
        <v>153</v>
      </c>
      <c r="D3727" t="s">
        <v>82</v>
      </c>
      <c r="E3727" t="s">
        <v>21</v>
      </c>
      <c r="F3727" s="1">
        <v>100</v>
      </c>
      <c r="G3727" t="s">
        <v>101</v>
      </c>
      <c r="H3727" t="s">
        <v>38</v>
      </c>
      <c r="I3727" t="s">
        <v>49</v>
      </c>
      <c r="J3727" t="s">
        <v>25</v>
      </c>
      <c r="K3727" s="2">
        <v>4.4000000000000004</v>
      </c>
      <c r="L3727" t="s">
        <v>152</v>
      </c>
      <c r="M3727" t="s">
        <v>34</v>
      </c>
      <c r="N3727" t="s">
        <v>47</v>
      </c>
      <c r="O3727" t="s">
        <v>152</v>
      </c>
      <c r="P3727" t="s">
        <v>152</v>
      </c>
      <c r="Q3727" s="3">
        <v>2</v>
      </c>
      <c r="R3727" t="s">
        <v>46</v>
      </c>
      <c r="S3727" t="s">
        <v>50</v>
      </c>
    </row>
    <row r="3728" spans="1:19" x14ac:dyDescent="0.25">
      <c r="A3728">
        <v>3727</v>
      </c>
      <c r="B3728">
        <v>47</v>
      </c>
      <c r="C3728" t="s">
        <v>153</v>
      </c>
      <c r="D3728" t="s">
        <v>133</v>
      </c>
      <c r="E3728" t="s">
        <v>69</v>
      </c>
      <c r="F3728" s="1">
        <v>85</v>
      </c>
      <c r="G3728" t="s">
        <v>135</v>
      </c>
      <c r="H3728" t="s">
        <v>92</v>
      </c>
      <c r="I3728" t="s">
        <v>121</v>
      </c>
      <c r="J3728" t="s">
        <v>58</v>
      </c>
      <c r="K3728" s="2">
        <v>4.3</v>
      </c>
      <c r="L3728" t="s">
        <v>152</v>
      </c>
      <c r="M3728" t="s">
        <v>59</v>
      </c>
      <c r="N3728" t="s">
        <v>47</v>
      </c>
      <c r="O3728" t="s">
        <v>152</v>
      </c>
      <c r="P3728" t="s">
        <v>152</v>
      </c>
      <c r="Q3728" s="3">
        <v>36</v>
      </c>
      <c r="R3728" t="s">
        <v>59</v>
      </c>
      <c r="S3728" t="s">
        <v>97</v>
      </c>
    </row>
    <row r="3729" spans="1:19" x14ac:dyDescent="0.25">
      <c r="A3729">
        <v>3728</v>
      </c>
      <c r="B3729">
        <v>41</v>
      </c>
      <c r="C3729" t="s">
        <v>153</v>
      </c>
      <c r="D3729" t="s">
        <v>125</v>
      </c>
      <c r="E3729" t="s">
        <v>21</v>
      </c>
      <c r="F3729" s="1">
        <v>83</v>
      </c>
      <c r="G3729" t="s">
        <v>32</v>
      </c>
      <c r="H3729" t="s">
        <v>45</v>
      </c>
      <c r="I3729" t="s">
        <v>81</v>
      </c>
      <c r="J3729" t="s">
        <v>54</v>
      </c>
      <c r="K3729" s="2">
        <v>3.5</v>
      </c>
      <c r="L3729" t="s">
        <v>152</v>
      </c>
      <c r="M3729" t="s">
        <v>27</v>
      </c>
      <c r="N3729" t="s">
        <v>47</v>
      </c>
      <c r="O3729" t="s">
        <v>152</v>
      </c>
      <c r="P3729" t="s">
        <v>152</v>
      </c>
      <c r="Q3729" s="3">
        <v>17</v>
      </c>
      <c r="R3729" t="s">
        <v>59</v>
      </c>
      <c r="S3729" t="s">
        <v>77</v>
      </c>
    </row>
    <row r="3730" spans="1:19" x14ac:dyDescent="0.25">
      <c r="A3730">
        <v>3729</v>
      </c>
      <c r="B3730">
        <v>62</v>
      </c>
      <c r="C3730" t="s">
        <v>153</v>
      </c>
      <c r="D3730" t="s">
        <v>102</v>
      </c>
      <c r="E3730" t="s">
        <v>65</v>
      </c>
      <c r="F3730" s="1">
        <v>31</v>
      </c>
      <c r="G3730" t="s">
        <v>129</v>
      </c>
      <c r="H3730" t="s">
        <v>23</v>
      </c>
      <c r="I3730" t="s">
        <v>108</v>
      </c>
      <c r="J3730" t="s">
        <v>25</v>
      </c>
      <c r="K3730" s="2">
        <v>3</v>
      </c>
      <c r="L3730" t="s">
        <v>152</v>
      </c>
      <c r="M3730" t="s">
        <v>27</v>
      </c>
      <c r="N3730" t="s">
        <v>55</v>
      </c>
      <c r="O3730" t="s">
        <v>152</v>
      </c>
      <c r="P3730" t="s">
        <v>152</v>
      </c>
      <c r="Q3730" s="3">
        <v>1</v>
      </c>
      <c r="R3730" t="s">
        <v>59</v>
      </c>
      <c r="S3730" t="s">
        <v>50</v>
      </c>
    </row>
    <row r="3731" spans="1:19" x14ac:dyDescent="0.25">
      <c r="A3731">
        <v>3730</v>
      </c>
      <c r="B3731">
        <v>28</v>
      </c>
      <c r="C3731" t="s">
        <v>153</v>
      </c>
      <c r="D3731" t="s">
        <v>137</v>
      </c>
      <c r="E3731" t="s">
        <v>43</v>
      </c>
      <c r="F3731" s="1">
        <v>82</v>
      </c>
      <c r="G3731" t="s">
        <v>44</v>
      </c>
      <c r="H3731" t="s">
        <v>45</v>
      </c>
      <c r="I3731" t="s">
        <v>86</v>
      </c>
      <c r="J3731" t="s">
        <v>39</v>
      </c>
      <c r="K3731" s="2">
        <v>4.7</v>
      </c>
      <c r="L3731" t="s">
        <v>152</v>
      </c>
      <c r="M3731" t="s">
        <v>34</v>
      </c>
      <c r="N3731" t="s">
        <v>72</v>
      </c>
      <c r="O3731" t="s">
        <v>152</v>
      </c>
      <c r="P3731" t="s">
        <v>152</v>
      </c>
      <c r="Q3731" s="3">
        <v>50</v>
      </c>
      <c r="R3731" t="s">
        <v>35</v>
      </c>
      <c r="S3731" t="s">
        <v>60</v>
      </c>
    </row>
    <row r="3732" spans="1:19" x14ac:dyDescent="0.25">
      <c r="A3732">
        <v>3731</v>
      </c>
      <c r="B3732">
        <v>46</v>
      </c>
      <c r="C3732" t="s">
        <v>153</v>
      </c>
      <c r="D3732" t="s">
        <v>56</v>
      </c>
      <c r="E3732" t="s">
        <v>21</v>
      </c>
      <c r="F3732" s="1">
        <v>79</v>
      </c>
      <c r="G3732" t="s">
        <v>103</v>
      </c>
      <c r="H3732" t="s">
        <v>45</v>
      </c>
      <c r="I3732" t="s">
        <v>86</v>
      </c>
      <c r="J3732" t="s">
        <v>54</v>
      </c>
      <c r="K3732" s="2">
        <v>2.5</v>
      </c>
      <c r="L3732" t="s">
        <v>152</v>
      </c>
      <c r="M3732" t="s">
        <v>34</v>
      </c>
      <c r="N3732" t="s">
        <v>72</v>
      </c>
      <c r="O3732" t="s">
        <v>152</v>
      </c>
      <c r="P3732" t="s">
        <v>152</v>
      </c>
      <c r="Q3732" s="3">
        <v>3</v>
      </c>
      <c r="R3732" t="s">
        <v>27</v>
      </c>
      <c r="S3732" t="s">
        <v>77</v>
      </c>
    </row>
    <row r="3733" spans="1:19" x14ac:dyDescent="0.25">
      <c r="A3733">
        <v>3732</v>
      </c>
      <c r="B3733">
        <v>54</v>
      </c>
      <c r="C3733" t="s">
        <v>153</v>
      </c>
      <c r="D3733" t="s">
        <v>124</v>
      </c>
      <c r="E3733" t="s">
        <v>69</v>
      </c>
      <c r="F3733" s="1">
        <v>62</v>
      </c>
      <c r="G3733" t="s">
        <v>66</v>
      </c>
      <c r="H3733" t="s">
        <v>45</v>
      </c>
      <c r="I3733" t="s">
        <v>93</v>
      </c>
      <c r="J3733" t="s">
        <v>39</v>
      </c>
      <c r="K3733" s="2">
        <v>3.1</v>
      </c>
      <c r="L3733" t="s">
        <v>152</v>
      </c>
      <c r="M3733" t="s">
        <v>27</v>
      </c>
      <c r="N3733" t="s">
        <v>72</v>
      </c>
      <c r="O3733" t="s">
        <v>152</v>
      </c>
      <c r="P3733" t="s">
        <v>152</v>
      </c>
      <c r="Q3733" s="3">
        <v>45</v>
      </c>
      <c r="R3733" t="s">
        <v>46</v>
      </c>
      <c r="S3733" t="s">
        <v>60</v>
      </c>
    </row>
    <row r="3734" spans="1:19" x14ac:dyDescent="0.25">
      <c r="A3734">
        <v>3733</v>
      </c>
      <c r="B3734">
        <v>36</v>
      </c>
      <c r="C3734" t="s">
        <v>153</v>
      </c>
      <c r="D3734" t="s">
        <v>73</v>
      </c>
      <c r="E3734" t="s">
        <v>43</v>
      </c>
      <c r="F3734" s="1">
        <v>92</v>
      </c>
      <c r="G3734" t="s">
        <v>116</v>
      </c>
      <c r="H3734" t="s">
        <v>23</v>
      </c>
      <c r="I3734" t="s">
        <v>71</v>
      </c>
      <c r="J3734" t="s">
        <v>39</v>
      </c>
      <c r="K3734" s="2">
        <v>3.3</v>
      </c>
      <c r="L3734" t="s">
        <v>152</v>
      </c>
      <c r="M3734" t="s">
        <v>46</v>
      </c>
      <c r="N3734" t="s">
        <v>40</v>
      </c>
      <c r="O3734" t="s">
        <v>152</v>
      </c>
      <c r="P3734" t="s">
        <v>152</v>
      </c>
      <c r="Q3734" s="3">
        <v>28</v>
      </c>
      <c r="R3734" t="s">
        <v>46</v>
      </c>
      <c r="S3734" t="s">
        <v>50</v>
      </c>
    </row>
    <row r="3735" spans="1:19" x14ac:dyDescent="0.25">
      <c r="A3735">
        <v>3734</v>
      </c>
      <c r="B3735">
        <v>25</v>
      </c>
      <c r="C3735" t="s">
        <v>153</v>
      </c>
      <c r="D3735" t="s">
        <v>125</v>
      </c>
      <c r="E3735" t="s">
        <v>21</v>
      </c>
      <c r="F3735" s="1">
        <v>58</v>
      </c>
      <c r="G3735" t="s">
        <v>115</v>
      </c>
      <c r="H3735" t="s">
        <v>45</v>
      </c>
      <c r="I3735" t="s">
        <v>33</v>
      </c>
      <c r="J3735" t="s">
        <v>58</v>
      </c>
      <c r="K3735" s="2">
        <v>4.7</v>
      </c>
      <c r="L3735" t="s">
        <v>152</v>
      </c>
      <c r="M3735" t="s">
        <v>34</v>
      </c>
      <c r="N3735" t="s">
        <v>47</v>
      </c>
      <c r="O3735" t="s">
        <v>152</v>
      </c>
      <c r="P3735" t="s">
        <v>152</v>
      </c>
      <c r="Q3735" s="3">
        <v>6</v>
      </c>
      <c r="R3735" t="s">
        <v>59</v>
      </c>
      <c r="S3735" t="s">
        <v>97</v>
      </c>
    </row>
    <row r="3736" spans="1:19" x14ac:dyDescent="0.25">
      <c r="A3736">
        <v>3735</v>
      </c>
      <c r="B3736">
        <v>38</v>
      </c>
      <c r="C3736" t="s">
        <v>153</v>
      </c>
      <c r="D3736" t="s">
        <v>104</v>
      </c>
      <c r="E3736" t="s">
        <v>21</v>
      </c>
      <c r="F3736" s="1">
        <v>88</v>
      </c>
      <c r="G3736" t="s">
        <v>99</v>
      </c>
      <c r="H3736" t="s">
        <v>45</v>
      </c>
      <c r="I3736" t="s">
        <v>118</v>
      </c>
      <c r="J3736" t="s">
        <v>39</v>
      </c>
      <c r="K3736" s="2">
        <v>3.4</v>
      </c>
      <c r="L3736" t="s">
        <v>152</v>
      </c>
      <c r="M3736" t="s">
        <v>29</v>
      </c>
      <c r="N3736" t="s">
        <v>47</v>
      </c>
      <c r="O3736" t="s">
        <v>152</v>
      </c>
      <c r="P3736" t="s">
        <v>152</v>
      </c>
      <c r="Q3736" s="3">
        <v>33</v>
      </c>
      <c r="R3736" t="s">
        <v>59</v>
      </c>
      <c r="S3736" t="s">
        <v>97</v>
      </c>
    </row>
    <row r="3737" spans="1:19" x14ac:dyDescent="0.25">
      <c r="A3737">
        <v>3736</v>
      </c>
      <c r="B3737">
        <v>38</v>
      </c>
      <c r="C3737" t="s">
        <v>153</v>
      </c>
      <c r="D3737" t="s">
        <v>42</v>
      </c>
      <c r="E3737" t="s">
        <v>43</v>
      </c>
      <c r="F3737" s="1">
        <v>44</v>
      </c>
      <c r="G3737" t="s">
        <v>37</v>
      </c>
      <c r="H3737" t="s">
        <v>23</v>
      </c>
      <c r="I3737" t="s">
        <v>121</v>
      </c>
      <c r="J3737" t="s">
        <v>39</v>
      </c>
      <c r="K3737" s="2">
        <v>3.1</v>
      </c>
      <c r="L3737" t="s">
        <v>152</v>
      </c>
      <c r="M3737" t="s">
        <v>35</v>
      </c>
      <c r="N3737" t="s">
        <v>72</v>
      </c>
      <c r="O3737" t="s">
        <v>152</v>
      </c>
      <c r="P3737" t="s">
        <v>152</v>
      </c>
      <c r="Q3737" s="3">
        <v>29</v>
      </c>
      <c r="R3737" t="s">
        <v>46</v>
      </c>
      <c r="S3737" t="s">
        <v>50</v>
      </c>
    </row>
    <row r="3738" spans="1:19" x14ac:dyDescent="0.25">
      <c r="A3738">
        <v>3737</v>
      </c>
      <c r="B3738">
        <v>42</v>
      </c>
      <c r="C3738" t="s">
        <v>153</v>
      </c>
      <c r="D3738" t="s">
        <v>36</v>
      </c>
      <c r="E3738" t="s">
        <v>21</v>
      </c>
      <c r="F3738" s="1">
        <v>56</v>
      </c>
      <c r="G3738" t="s">
        <v>135</v>
      </c>
      <c r="H3738" t="s">
        <v>45</v>
      </c>
      <c r="I3738" t="s">
        <v>108</v>
      </c>
      <c r="J3738" t="s">
        <v>39</v>
      </c>
      <c r="K3738" s="2">
        <v>4.5999999999999996</v>
      </c>
      <c r="L3738" t="s">
        <v>152</v>
      </c>
      <c r="M3738" t="s">
        <v>35</v>
      </c>
      <c r="N3738" t="s">
        <v>76</v>
      </c>
      <c r="O3738" t="s">
        <v>152</v>
      </c>
      <c r="P3738" t="s">
        <v>152</v>
      </c>
      <c r="Q3738" s="3">
        <v>2</v>
      </c>
      <c r="R3738" t="s">
        <v>46</v>
      </c>
      <c r="S3738" t="s">
        <v>97</v>
      </c>
    </row>
    <row r="3739" spans="1:19" x14ac:dyDescent="0.25">
      <c r="A3739">
        <v>3738</v>
      </c>
      <c r="B3739">
        <v>19</v>
      </c>
      <c r="C3739" t="s">
        <v>153</v>
      </c>
      <c r="D3739" t="s">
        <v>106</v>
      </c>
      <c r="E3739" t="s">
        <v>69</v>
      </c>
      <c r="F3739" s="1">
        <v>23</v>
      </c>
      <c r="G3739" t="s">
        <v>22</v>
      </c>
      <c r="H3739" t="s">
        <v>38</v>
      </c>
      <c r="I3739" t="s">
        <v>33</v>
      </c>
      <c r="J3739" t="s">
        <v>25</v>
      </c>
      <c r="K3739" s="2">
        <v>4.9000000000000004</v>
      </c>
      <c r="L3739" t="s">
        <v>152</v>
      </c>
      <c r="M3739" t="s">
        <v>59</v>
      </c>
      <c r="N3739" t="s">
        <v>40</v>
      </c>
      <c r="O3739" t="s">
        <v>152</v>
      </c>
      <c r="P3739" t="s">
        <v>152</v>
      </c>
      <c r="Q3739" s="3">
        <v>43</v>
      </c>
      <c r="R3739" t="s">
        <v>46</v>
      </c>
      <c r="S3739" t="s">
        <v>77</v>
      </c>
    </row>
    <row r="3740" spans="1:19" x14ac:dyDescent="0.25">
      <c r="A3740">
        <v>3739</v>
      </c>
      <c r="B3740">
        <v>34</v>
      </c>
      <c r="C3740" t="s">
        <v>153</v>
      </c>
      <c r="D3740" t="s">
        <v>61</v>
      </c>
      <c r="E3740" t="s">
        <v>21</v>
      </c>
      <c r="F3740" s="1">
        <v>45</v>
      </c>
      <c r="G3740" t="s">
        <v>80</v>
      </c>
      <c r="H3740" t="s">
        <v>45</v>
      </c>
      <c r="I3740" t="s">
        <v>110</v>
      </c>
      <c r="J3740" t="s">
        <v>39</v>
      </c>
      <c r="K3740" s="2">
        <v>2.7</v>
      </c>
      <c r="L3740" t="s">
        <v>152</v>
      </c>
      <c r="M3740" t="s">
        <v>27</v>
      </c>
      <c r="N3740" t="s">
        <v>40</v>
      </c>
      <c r="O3740" t="s">
        <v>152</v>
      </c>
      <c r="P3740" t="s">
        <v>152</v>
      </c>
      <c r="Q3740" s="3">
        <v>48</v>
      </c>
      <c r="R3740" t="s">
        <v>35</v>
      </c>
      <c r="S3740" t="s">
        <v>30</v>
      </c>
    </row>
    <row r="3741" spans="1:19" x14ac:dyDescent="0.25">
      <c r="A3741">
        <v>3740</v>
      </c>
      <c r="B3741">
        <v>38</v>
      </c>
      <c r="C3741" t="s">
        <v>153</v>
      </c>
      <c r="D3741" t="s">
        <v>89</v>
      </c>
      <c r="E3741" t="s">
        <v>69</v>
      </c>
      <c r="F3741" s="1">
        <v>31</v>
      </c>
      <c r="G3741" t="s">
        <v>135</v>
      </c>
      <c r="H3741" t="s">
        <v>45</v>
      </c>
      <c r="I3741" t="s">
        <v>79</v>
      </c>
      <c r="J3741" t="s">
        <v>58</v>
      </c>
      <c r="K3741" s="2">
        <v>4.2</v>
      </c>
      <c r="L3741" t="s">
        <v>152</v>
      </c>
      <c r="M3741" t="s">
        <v>34</v>
      </c>
      <c r="N3741" t="s">
        <v>40</v>
      </c>
      <c r="O3741" t="s">
        <v>152</v>
      </c>
      <c r="P3741" t="s">
        <v>152</v>
      </c>
      <c r="Q3741" s="3">
        <v>43</v>
      </c>
      <c r="R3741" t="s">
        <v>27</v>
      </c>
      <c r="S3741" t="s">
        <v>41</v>
      </c>
    </row>
    <row r="3742" spans="1:19" x14ac:dyDescent="0.25">
      <c r="A3742">
        <v>3741</v>
      </c>
      <c r="B3742">
        <v>42</v>
      </c>
      <c r="C3742" t="s">
        <v>153</v>
      </c>
      <c r="D3742" t="s">
        <v>95</v>
      </c>
      <c r="E3742" t="s">
        <v>21</v>
      </c>
      <c r="F3742" s="1">
        <v>96</v>
      </c>
      <c r="G3742" t="s">
        <v>141</v>
      </c>
      <c r="H3742" t="s">
        <v>45</v>
      </c>
      <c r="I3742" t="s">
        <v>67</v>
      </c>
      <c r="J3742" t="s">
        <v>54</v>
      </c>
      <c r="K3742" s="2">
        <v>2.6</v>
      </c>
      <c r="L3742" t="s">
        <v>152</v>
      </c>
      <c r="M3742" t="s">
        <v>35</v>
      </c>
      <c r="N3742" t="s">
        <v>76</v>
      </c>
      <c r="O3742" t="s">
        <v>152</v>
      </c>
      <c r="P3742" t="s">
        <v>152</v>
      </c>
      <c r="Q3742" s="3">
        <v>26</v>
      </c>
      <c r="R3742" t="s">
        <v>59</v>
      </c>
      <c r="S3742" t="s">
        <v>77</v>
      </c>
    </row>
    <row r="3743" spans="1:19" x14ac:dyDescent="0.25">
      <c r="A3743">
        <v>3742</v>
      </c>
      <c r="B3743">
        <v>58</v>
      </c>
      <c r="C3743" t="s">
        <v>153</v>
      </c>
      <c r="D3743" t="s">
        <v>56</v>
      </c>
      <c r="E3743" t="s">
        <v>21</v>
      </c>
      <c r="F3743" s="1">
        <v>96</v>
      </c>
      <c r="G3743" t="s">
        <v>117</v>
      </c>
      <c r="H3743" t="s">
        <v>45</v>
      </c>
      <c r="I3743" t="s">
        <v>75</v>
      </c>
      <c r="J3743" t="s">
        <v>39</v>
      </c>
      <c r="K3743" s="2">
        <v>3.2</v>
      </c>
      <c r="L3743" t="s">
        <v>152</v>
      </c>
      <c r="M3743" t="s">
        <v>29</v>
      </c>
      <c r="N3743" t="s">
        <v>72</v>
      </c>
      <c r="O3743" t="s">
        <v>152</v>
      </c>
      <c r="P3743" t="s">
        <v>152</v>
      </c>
      <c r="Q3743" s="3">
        <v>26</v>
      </c>
      <c r="R3743" t="s">
        <v>59</v>
      </c>
      <c r="S3743" t="s">
        <v>77</v>
      </c>
    </row>
    <row r="3744" spans="1:19" x14ac:dyDescent="0.25">
      <c r="A3744">
        <v>3743</v>
      </c>
      <c r="B3744">
        <v>56</v>
      </c>
      <c r="C3744" t="s">
        <v>153</v>
      </c>
      <c r="D3744" t="s">
        <v>56</v>
      </c>
      <c r="E3744" t="s">
        <v>21</v>
      </c>
      <c r="F3744" s="1">
        <v>80</v>
      </c>
      <c r="G3744" t="s">
        <v>128</v>
      </c>
      <c r="H3744" t="s">
        <v>45</v>
      </c>
      <c r="I3744" t="s">
        <v>24</v>
      </c>
      <c r="J3744" t="s">
        <v>58</v>
      </c>
      <c r="K3744" s="2">
        <v>4.4000000000000004</v>
      </c>
      <c r="L3744" t="s">
        <v>152</v>
      </c>
      <c r="M3744" t="s">
        <v>59</v>
      </c>
      <c r="N3744" t="s">
        <v>55</v>
      </c>
      <c r="O3744" t="s">
        <v>152</v>
      </c>
      <c r="P3744" t="s">
        <v>152</v>
      </c>
      <c r="Q3744" s="3">
        <v>50</v>
      </c>
      <c r="R3744" t="s">
        <v>27</v>
      </c>
      <c r="S3744" t="s">
        <v>77</v>
      </c>
    </row>
    <row r="3745" spans="1:19" x14ac:dyDescent="0.25">
      <c r="A3745">
        <v>3744</v>
      </c>
      <c r="B3745">
        <v>62</v>
      </c>
      <c r="C3745" t="s">
        <v>153</v>
      </c>
      <c r="D3745" t="s">
        <v>95</v>
      </c>
      <c r="E3745" t="s">
        <v>21</v>
      </c>
      <c r="F3745" s="1">
        <v>28</v>
      </c>
      <c r="G3745" t="s">
        <v>135</v>
      </c>
      <c r="H3745" t="s">
        <v>23</v>
      </c>
      <c r="I3745" t="s">
        <v>109</v>
      </c>
      <c r="J3745" t="s">
        <v>58</v>
      </c>
      <c r="K3745" s="2">
        <v>3.6</v>
      </c>
      <c r="L3745" t="s">
        <v>152</v>
      </c>
      <c r="M3745" t="s">
        <v>27</v>
      </c>
      <c r="N3745" t="s">
        <v>40</v>
      </c>
      <c r="O3745" t="s">
        <v>152</v>
      </c>
      <c r="P3745" t="s">
        <v>152</v>
      </c>
      <c r="Q3745" s="3">
        <v>36</v>
      </c>
      <c r="R3745" t="s">
        <v>59</v>
      </c>
      <c r="S3745" t="s">
        <v>60</v>
      </c>
    </row>
    <row r="3746" spans="1:19" x14ac:dyDescent="0.25">
      <c r="A3746">
        <v>3745</v>
      </c>
      <c r="B3746">
        <v>24</v>
      </c>
      <c r="C3746" t="s">
        <v>153</v>
      </c>
      <c r="D3746" t="s">
        <v>104</v>
      </c>
      <c r="E3746" t="s">
        <v>21</v>
      </c>
      <c r="F3746" s="1">
        <v>51</v>
      </c>
      <c r="G3746" t="s">
        <v>127</v>
      </c>
      <c r="H3746" t="s">
        <v>45</v>
      </c>
      <c r="I3746" t="s">
        <v>24</v>
      </c>
      <c r="J3746" t="s">
        <v>54</v>
      </c>
      <c r="K3746" s="2">
        <v>2.7</v>
      </c>
      <c r="L3746" t="s">
        <v>152</v>
      </c>
      <c r="M3746" t="s">
        <v>29</v>
      </c>
      <c r="N3746" t="s">
        <v>47</v>
      </c>
      <c r="O3746" t="s">
        <v>152</v>
      </c>
      <c r="P3746" t="s">
        <v>152</v>
      </c>
      <c r="Q3746" s="3">
        <v>26</v>
      </c>
      <c r="R3746" t="s">
        <v>34</v>
      </c>
      <c r="S3746" t="s">
        <v>30</v>
      </c>
    </row>
    <row r="3747" spans="1:19" x14ac:dyDescent="0.25">
      <c r="A3747">
        <v>3746</v>
      </c>
      <c r="B3747">
        <v>60</v>
      </c>
      <c r="C3747" t="s">
        <v>153</v>
      </c>
      <c r="D3747" t="s">
        <v>125</v>
      </c>
      <c r="E3747" t="s">
        <v>21</v>
      </c>
      <c r="F3747" s="1">
        <v>41</v>
      </c>
      <c r="G3747" t="s">
        <v>149</v>
      </c>
      <c r="H3747" t="s">
        <v>23</v>
      </c>
      <c r="I3747" t="s">
        <v>81</v>
      </c>
      <c r="J3747" t="s">
        <v>39</v>
      </c>
      <c r="K3747" s="2">
        <v>4.3</v>
      </c>
      <c r="L3747" t="s">
        <v>152</v>
      </c>
      <c r="M3747" t="s">
        <v>34</v>
      </c>
      <c r="N3747" t="s">
        <v>28</v>
      </c>
      <c r="O3747" t="s">
        <v>152</v>
      </c>
      <c r="P3747" t="s">
        <v>152</v>
      </c>
      <c r="Q3747" s="3">
        <v>2</v>
      </c>
      <c r="R3747" t="s">
        <v>59</v>
      </c>
      <c r="S3747" t="s">
        <v>88</v>
      </c>
    </row>
    <row r="3748" spans="1:19" x14ac:dyDescent="0.25">
      <c r="A3748">
        <v>3747</v>
      </c>
      <c r="B3748">
        <v>53</v>
      </c>
      <c r="C3748" t="s">
        <v>153</v>
      </c>
      <c r="D3748" t="s">
        <v>64</v>
      </c>
      <c r="E3748" t="s">
        <v>65</v>
      </c>
      <c r="F3748" s="1">
        <v>99</v>
      </c>
      <c r="G3748" t="s">
        <v>135</v>
      </c>
      <c r="H3748" t="s">
        <v>92</v>
      </c>
      <c r="I3748" t="s">
        <v>109</v>
      </c>
      <c r="J3748" t="s">
        <v>54</v>
      </c>
      <c r="K3748" s="2">
        <v>2.6</v>
      </c>
      <c r="L3748" t="s">
        <v>152</v>
      </c>
      <c r="M3748" t="s">
        <v>59</v>
      </c>
      <c r="N3748" t="s">
        <v>47</v>
      </c>
      <c r="O3748" t="s">
        <v>152</v>
      </c>
      <c r="P3748" t="s">
        <v>152</v>
      </c>
      <c r="Q3748" s="3">
        <v>49</v>
      </c>
      <c r="R3748" t="s">
        <v>46</v>
      </c>
      <c r="S3748" t="s">
        <v>88</v>
      </c>
    </row>
    <row r="3749" spans="1:19" x14ac:dyDescent="0.25">
      <c r="A3749">
        <v>3748</v>
      </c>
      <c r="B3749">
        <v>26</v>
      </c>
      <c r="C3749" t="s">
        <v>153</v>
      </c>
      <c r="D3749" t="s">
        <v>31</v>
      </c>
      <c r="E3749" t="s">
        <v>21</v>
      </c>
      <c r="F3749" s="1">
        <v>53</v>
      </c>
      <c r="G3749" t="s">
        <v>44</v>
      </c>
      <c r="H3749" t="s">
        <v>23</v>
      </c>
      <c r="I3749" t="s">
        <v>79</v>
      </c>
      <c r="J3749" t="s">
        <v>39</v>
      </c>
      <c r="K3749" s="2">
        <v>4.3</v>
      </c>
      <c r="L3749" t="s">
        <v>152</v>
      </c>
      <c r="M3749" t="s">
        <v>27</v>
      </c>
      <c r="N3749" t="s">
        <v>76</v>
      </c>
      <c r="O3749" t="s">
        <v>152</v>
      </c>
      <c r="P3749" t="s">
        <v>152</v>
      </c>
      <c r="Q3749" s="3">
        <v>32</v>
      </c>
      <c r="R3749" t="s">
        <v>34</v>
      </c>
      <c r="S3749" t="s">
        <v>77</v>
      </c>
    </row>
    <row r="3750" spans="1:19" x14ac:dyDescent="0.25">
      <c r="A3750">
        <v>3749</v>
      </c>
      <c r="B3750">
        <v>34</v>
      </c>
      <c r="C3750" t="s">
        <v>153</v>
      </c>
      <c r="D3750" t="s">
        <v>132</v>
      </c>
      <c r="E3750" t="s">
        <v>69</v>
      </c>
      <c r="F3750" s="1">
        <v>25</v>
      </c>
      <c r="G3750" t="s">
        <v>80</v>
      </c>
      <c r="H3750" t="s">
        <v>45</v>
      </c>
      <c r="I3750" t="s">
        <v>84</v>
      </c>
      <c r="J3750" t="s">
        <v>58</v>
      </c>
      <c r="K3750" s="2">
        <v>3.9</v>
      </c>
      <c r="L3750" t="s">
        <v>152</v>
      </c>
      <c r="M3750" t="s">
        <v>46</v>
      </c>
      <c r="N3750" t="s">
        <v>72</v>
      </c>
      <c r="O3750" t="s">
        <v>152</v>
      </c>
      <c r="P3750" t="s">
        <v>152</v>
      </c>
      <c r="Q3750" s="3">
        <v>3</v>
      </c>
      <c r="R3750" t="s">
        <v>29</v>
      </c>
      <c r="S3750" t="s">
        <v>50</v>
      </c>
    </row>
    <row r="3751" spans="1:19" x14ac:dyDescent="0.25">
      <c r="A3751">
        <v>3750</v>
      </c>
      <c r="B3751">
        <v>24</v>
      </c>
      <c r="C3751" t="s">
        <v>153</v>
      </c>
      <c r="D3751" t="s">
        <v>20</v>
      </c>
      <c r="E3751" t="s">
        <v>21</v>
      </c>
      <c r="F3751" s="1">
        <v>95</v>
      </c>
      <c r="G3751" t="s">
        <v>120</v>
      </c>
      <c r="H3751" t="s">
        <v>23</v>
      </c>
      <c r="I3751" t="s">
        <v>134</v>
      </c>
      <c r="J3751" t="s">
        <v>25</v>
      </c>
      <c r="K3751" s="2">
        <v>2.9</v>
      </c>
      <c r="L3751" t="s">
        <v>152</v>
      </c>
      <c r="M3751" t="s">
        <v>59</v>
      </c>
      <c r="N3751" t="s">
        <v>72</v>
      </c>
      <c r="O3751" t="s">
        <v>152</v>
      </c>
      <c r="P3751" t="s">
        <v>152</v>
      </c>
      <c r="Q3751" s="3">
        <v>38</v>
      </c>
      <c r="R3751" t="s">
        <v>29</v>
      </c>
      <c r="S3751" t="s">
        <v>97</v>
      </c>
    </row>
    <row r="3752" spans="1:19" x14ac:dyDescent="0.25">
      <c r="A3752">
        <v>3751</v>
      </c>
      <c r="B3752">
        <v>42</v>
      </c>
      <c r="C3752" t="s">
        <v>153</v>
      </c>
      <c r="D3752" t="s">
        <v>104</v>
      </c>
      <c r="E3752" t="s">
        <v>21</v>
      </c>
      <c r="F3752" s="1">
        <v>88</v>
      </c>
      <c r="G3752" t="s">
        <v>117</v>
      </c>
      <c r="H3752" t="s">
        <v>45</v>
      </c>
      <c r="I3752" t="s">
        <v>81</v>
      </c>
      <c r="J3752" t="s">
        <v>58</v>
      </c>
      <c r="K3752" s="2">
        <v>3.1</v>
      </c>
      <c r="L3752" t="s">
        <v>152</v>
      </c>
      <c r="M3752" t="s">
        <v>59</v>
      </c>
      <c r="N3752" t="s">
        <v>40</v>
      </c>
      <c r="O3752" t="s">
        <v>152</v>
      </c>
      <c r="P3752" t="s">
        <v>152</v>
      </c>
      <c r="Q3752" s="3">
        <v>5</v>
      </c>
      <c r="R3752" t="s">
        <v>46</v>
      </c>
      <c r="S3752" t="s">
        <v>88</v>
      </c>
    </row>
    <row r="3753" spans="1:19" x14ac:dyDescent="0.25">
      <c r="A3753">
        <v>3752</v>
      </c>
      <c r="B3753">
        <v>36</v>
      </c>
      <c r="C3753" t="s">
        <v>153</v>
      </c>
      <c r="D3753" t="s">
        <v>106</v>
      </c>
      <c r="E3753" t="s">
        <v>69</v>
      </c>
      <c r="F3753" s="1">
        <v>97</v>
      </c>
      <c r="G3753" t="s">
        <v>90</v>
      </c>
      <c r="H3753" t="s">
        <v>38</v>
      </c>
      <c r="I3753" t="s">
        <v>67</v>
      </c>
      <c r="J3753" t="s">
        <v>58</v>
      </c>
      <c r="K3753" s="2">
        <v>4.2</v>
      </c>
      <c r="L3753" t="s">
        <v>152</v>
      </c>
      <c r="M3753" t="s">
        <v>35</v>
      </c>
      <c r="N3753" t="s">
        <v>40</v>
      </c>
      <c r="O3753" t="s">
        <v>152</v>
      </c>
      <c r="P3753" t="s">
        <v>152</v>
      </c>
      <c r="Q3753" s="3">
        <v>8</v>
      </c>
      <c r="R3753" t="s">
        <v>27</v>
      </c>
      <c r="S3753" t="s">
        <v>97</v>
      </c>
    </row>
    <row r="3754" spans="1:19" x14ac:dyDescent="0.25">
      <c r="A3754">
        <v>3753</v>
      </c>
      <c r="B3754">
        <v>24</v>
      </c>
      <c r="C3754" t="s">
        <v>153</v>
      </c>
      <c r="D3754" t="s">
        <v>64</v>
      </c>
      <c r="E3754" t="s">
        <v>65</v>
      </c>
      <c r="F3754" s="1">
        <v>81</v>
      </c>
      <c r="G3754" t="s">
        <v>149</v>
      </c>
      <c r="H3754" t="s">
        <v>23</v>
      </c>
      <c r="I3754" t="s">
        <v>71</v>
      </c>
      <c r="J3754" t="s">
        <v>25</v>
      </c>
      <c r="K3754" s="2">
        <v>4.0999999999999996</v>
      </c>
      <c r="L3754" t="s">
        <v>152</v>
      </c>
      <c r="M3754" t="s">
        <v>59</v>
      </c>
      <c r="N3754" t="s">
        <v>72</v>
      </c>
      <c r="O3754" t="s">
        <v>152</v>
      </c>
      <c r="P3754" t="s">
        <v>152</v>
      </c>
      <c r="Q3754" s="3">
        <v>43</v>
      </c>
      <c r="R3754" t="s">
        <v>29</v>
      </c>
      <c r="S3754" t="s">
        <v>41</v>
      </c>
    </row>
    <row r="3755" spans="1:19" x14ac:dyDescent="0.25">
      <c r="A3755">
        <v>3754</v>
      </c>
      <c r="B3755">
        <v>39</v>
      </c>
      <c r="C3755" t="s">
        <v>153</v>
      </c>
      <c r="D3755" t="s">
        <v>89</v>
      </c>
      <c r="E3755" t="s">
        <v>69</v>
      </c>
      <c r="F3755" s="1">
        <v>26</v>
      </c>
      <c r="G3755" t="s">
        <v>62</v>
      </c>
      <c r="H3755" t="s">
        <v>38</v>
      </c>
      <c r="I3755" t="s">
        <v>49</v>
      </c>
      <c r="J3755" t="s">
        <v>25</v>
      </c>
      <c r="K3755" s="2">
        <v>4.2</v>
      </c>
      <c r="L3755" t="s">
        <v>152</v>
      </c>
      <c r="M3755" t="s">
        <v>34</v>
      </c>
      <c r="N3755" t="s">
        <v>47</v>
      </c>
      <c r="O3755" t="s">
        <v>152</v>
      </c>
      <c r="P3755" t="s">
        <v>152</v>
      </c>
      <c r="Q3755" s="3">
        <v>22</v>
      </c>
      <c r="R3755" t="s">
        <v>34</v>
      </c>
      <c r="S3755" t="s">
        <v>30</v>
      </c>
    </row>
    <row r="3756" spans="1:19" x14ac:dyDescent="0.25">
      <c r="A3756">
        <v>3755</v>
      </c>
      <c r="B3756">
        <v>46</v>
      </c>
      <c r="C3756" t="s">
        <v>153</v>
      </c>
      <c r="D3756" t="s">
        <v>73</v>
      </c>
      <c r="E3756" t="s">
        <v>43</v>
      </c>
      <c r="F3756" s="1">
        <v>41</v>
      </c>
      <c r="G3756" t="s">
        <v>145</v>
      </c>
      <c r="H3756" t="s">
        <v>45</v>
      </c>
      <c r="I3756" t="s">
        <v>49</v>
      </c>
      <c r="J3756" t="s">
        <v>54</v>
      </c>
      <c r="K3756" s="2">
        <v>4.4000000000000004</v>
      </c>
      <c r="L3756" t="s">
        <v>152</v>
      </c>
      <c r="M3756" t="s">
        <v>46</v>
      </c>
      <c r="N3756" t="s">
        <v>28</v>
      </c>
      <c r="O3756" t="s">
        <v>152</v>
      </c>
      <c r="P3756" t="s">
        <v>152</v>
      </c>
      <c r="Q3756" s="3">
        <v>10</v>
      </c>
      <c r="R3756" t="s">
        <v>35</v>
      </c>
      <c r="S3756" t="s">
        <v>97</v>
      </c>
    </row>
    <row r="3757" spans="1:19" x14ac:dyDescent="0.25">
      <c r="A3757">
        <v>3756</v>
      </c>
      <c r="B3757">
        <v>64</v>
      </c>
      <c r="C3757" t="s">
        <v>153</v>
      </c>
      <c r="D3757" t="s">
        <v>87</v>
      </c>
      <c r="E3757" t="s">
        <v>21</v>
      </c>
      <c r="F3757" s="1">
        <v>93</v>
      </c>
      <c r="G3757" t="s">
        <v>138</v>
      </c>
      <c r="H3757" t="s">
        <v>45</v>
      </c>
      <c r="I3757" t="s">
        <v>100</v>
      </c>
      <c r="J3757" t="s">
        <v>58</v>
      </c>
      <c r="K3757" s="2">
        <v>3.4</v>
      </c>
      <c r="L3757" t="s">
        <v>152</v>
      </c>
      <c r="M3757" t="s">
        <v>34</v>
      </c>
      <c r="N3757" t="s">
        <v>40</v>
      </c>
      <c r="O3757" t="s">
        <v>152</v>
      </c>
      <c r="P3757" t="s">
        <v>152</v>
      </c>
      <c r="Q3757" s="3">
        <v>26</v>
      </c>
      <c r="R3757" t="s">
        <v>27</v>
      </c>
      <c r="S3757" t="s">
        <v>88</v>
      </c>
    </row>
    <row r="3758" spans="1:19" x14ac:dyDescent="0.25">
      <c r="A3758">
        <v>3757</v>
      </c>
      <c r="B3758">
        <v>64</v>
      </c>
      <c r="C3758" t="s">
        <v>153</v>
      </c>
      <c r="D3758" t="s">
        <v>87</v>
      </c>
      <c r="E3758" t="s">
        <v>21</v>
      </c>
      <c r="F3758" s="1">
        <v>69</v>
      </c>
      <c r="G3758" t="s">
        <v>131</v>
      </c>
      <c r="H3758" t="s">
        <v>23</v>
      </c>
      <c r="I3758" t="s">
        <v>86</v>
      </c>
      <c r="J3758" t="s">
        <v>39</v>
      </c>
      <c r="K3758" s="2">
        <v>4.8</v>
      </c>
      <c r="L3758" t="s">
        <v>152</v>
      </c>
      <c r="M3758" t="s">
        <v>27</v>
      </c>
      <c r="N3758" t="s">
        <v>28</v>
      </c>
      <c r="O3758" t="s">
        <v>152</v>
      </c>
      <c r="P3758" t="s">
        <v>152</v>
      </c>
      <c r="Q3758" s="3">
        <v>42</v>
      </c>
      <c r="R3758" t="s">
        <v>59</v>
      </c>
      <c r="S3758" t="s">
        <v>77</v>
      </c>
    </row>
    <row r="3759" spans="1:19" x14ac:dyDescent="0.25">
      <c r="A3759">
        <v>3758</v>
      </c>
      <c r="B3759">
        <v>61</v>
      </c>
      <c r="C3759" t="s">
        <v>153</v>
      </c>
      <c r="D3759" t="s">
        <v>87</v>
      </c>
      <c r="E3759" t="s">
        <v>21</v>
      </c>
      <c r="F3759" s="1">
        <v>44</v>
      </c>
      <c r="G3759" t="s">
        <v>99</v>
      </c>
      <c r="H3759" t="s">
        <v>23</v>
      </c>
      <c r="I3759" t="s">
        <v>108</v>
      </c>
      <c r="J3759" t="s">
        <v>58</v>
      </c>
      <c r="K3759" s="2">
        <v>4.5</v>
      </c>
      <c r="L3759" t="s">
        <v>152</v>
      </c>
      <c r="M3759" t="s">
        <v>59</v>
      </c>
      <c r="N3759" t="s">
        <v>72</v>
      </c>
      <c r="O3759" t="s">
        <v>152</v>
      </c>
      <c r="P3759" t="s">
        <v>152</v>
      </c>
      <c r="Q3759" s="3">
        <v>33</v>
      </c>
      <c r="R3759" t="s">
        <v>35</v>
      </c>
      <c r="S3759" t="s">
        <v>41</v>
      </c>
    </row>
    <row r="3760" spans="1:19" x14ac:dyDescent="0.25">
      <c r="A3760">
        <v>3759</v>
      </c>
      <c r="B3760">
        <v>61</v>
      </c>
      <c r="C3760" t="s">
        <v>153</v>
      </c>
      <c r="D3760" t="s">
        <v>42</v>
      </c>
      <c r="E3760" t="s">
        <v>43</v>
      </c>
      <c r="F3760" s="1">
        <v>54</v>
      </c>
      <c r="G3760" t="s">
        <v>116</v>
      </c>
      <c r="H3760" t="s">
        <v>38</v>
      </c>
      <c r="I3760" t="s">
        <v>94</v>
      </c>
      <c r="J3760" t="s">
        <v>39</v>
      </c>
      <c r="K3760" s="2">
        <v>2.7</v>
      </c>
      <c r="L3760" t="s">
        <v>152</v>
      </c>
      <c r="M3760" t="s">
        <v>35</v>
      </c>
      <c r="N3760" t="s">
        <v>76</v>
      </c>
      <c r="O3760" t="s">
        <v>152</v>
      </c>
      <c r="P3760" t="s">
        <v>152</v>
      </c>
      <c r="Q3760" s="3">
        <v>23</v>
      </c>
      <c r="R3760" t="s">
        <v>34</v>
      </c>
      <c r="S3760" t="s">
        <v>60</v>
      </c>
    </row>
    <row r="3761" spans="1:19" x14ac:dyDescent="0.25">
      <c r="A3761">
        <v>3760</v>
      </c>
      <c r="B3761">
        <v>44</v>
      </c>
      <c r="C3761" t="s">
        <v>153</v>
      </c>
      <c r="D3761" t="s">
        <v>51</v>
      </c>
      <c r="E3761" t="s">
        <v>43</v>
      </c>
      <c r="F3761" s="1">
        <v>61</v>
      </c>
      <c r="G3761" t="s">
        <v>70</v>
      </c>
      <c r="H3761" t="s">
        <v>45</v>
      </c>
      <c r="I3761" t="s">
        <v>71</v>
      </c>
      <c r="J3761" t="s">
        <v>39</v>
      </c>
      <c r="K3761" s="2">
        <v>3.5</v>
      </c>
      <c r="L3761" t="s">
        <v>152</v>
      </c>
      <c r="M3761" t="s">
        <v>27</v>
      </c>
      <c r="N3761" t="s">
        <v>76</v>
      </c>
      <c r="O3761" t="s">
        <v>152</v>
      </c>
      <c r="P3761" t="s">
        <v>152</v>
      </c>
      <c r="Q3761" s="3">
        <v>30</v>
      </c>
      <c r="R3761" t="s">
        <v>29</v>
      </c>
      <c r="S3761" t="s">
        <v>60</v>
      </c>
    </row>
    <row r="3762" spans="1:19" x14ac:dyDescent="0.25">
      <c r="A3762">
        <v>3761</v>
      </c>
      <c r="B3762">
        <v>65</v>
      </c>
      <c r="C3762" t="s">
        <v>153</v>
      </c>
      <c r="D3762" t="s">
        <v>125</v>
      </c>
      <c r="E3762" t="s">
        <v>21</v>
      </c>
      <c r="F3762" s="1">
        <v>80</v>
      </c>
      <c r="G3762" t="s">
        <v>139</v>
      </c>
      <c r="H3762" t="s">
        <v>45</v>
      </c>
      <c r="I3762" t="s">
        <v>100</v>
      </c>
      <c r="J3762" t="s">
        <v>58</v>
      </c>
      <c r="K3762" s="2">
        <v>3.1</v>
      </c>
      <c r="L3762" t="s">
        <v>152</v>
      </c>
      <c r="M3762" t="s">
        <v>46</v>
      </c>
      <c r="N3762" t="s">
        <v>47</v>
      </c>
      <c r="O3762" t="s">
        <v>152</v>
      </c>
      <c r="P3762" t="s">
        <v>152</v>
      </c>
      <c r="Q3762" s="3">
        <v>36</v>
      </c>
      <c r="R3762" t="s">
        <v>46</v>
      </c>
      <c r="S3762" t="s">
        <v>41</v>
      </c>
    </row>
    <row r="3763" spans="1:19" x14ac:dyDescent="0.25">
      <c r="A3763">
        <v>3762</v>
      </c>
      <c r="B3763">
        <v>60</v>
      </c>
      <c r="C3763" t="s">
        <v>153</v>
      </c>
      <c r="D3763" t="s">
        <v>132</v>
      </c>
      <c r="E3763" t="s">
        <v>69</v>
      </c>
      <c r="F3763" s="1">
        <v>30</v>
      </c>
      <c r="G3763" t="s">
        <v>107</v>
      </c>
      <c r="H3763" t="s">
        <v>45</v>
      </c>
      <c r="I3763" t="s">
        <v>96</v>
      </c>
      <c r="J3763" t="s">
        <v>54</v>
      </c>
      <c r="K3763" s="2">
        <v>2.8</v>
      </c>
      <c r="L3763" t="s">
        <v>152</v>
      </c>
      <c r="M3763" t="s">
        <v>29</v>
      </c>
      <c r="N3763" t="s">
        <v>47</v>
      </c>
      <c r="O3763" t="s">
        <v>152</v>
      </c>
      <c r="P3763" t="s">
        <v>152</v>
      </c>
      <c r="Q3763" s="3">
        <v>3</v>
      </c>
      <c r="R3763" t="s">
        <v>29</v>
      </c>
      <c r="S3763" t="s">
        <v>97</v>
      </c>
    </row>
    <row r="3764" spans="1:19" x14ac:dyDescent="0.25">
      <c r="A3764">
        <v>3763</v>
      </c>
      <c r="B3764">
        <v>65</v>
      </c>
      <c r="C3764" t="s">
        <v>153</v>
      </c>
      <c r="D3764" t="s">
        <v>61</v>
      </c>
      <c r="E3764" t="s">
        <v>21</v>
      </c>
      <c r="F3764" s="1">
        <v>94</v>
      </c>
      <c r="G3764" t="s">
        <v>85</v>
      </c>
      <c r="H3764" t="s">
        <v>23</v>
      </c>
      <c r="I3764" t="s">
        <v>96</v>
      </c>
      <c r="J3764" t="s">
        <v>58</v>
      </c>
      <c r="K3764" s="2">
        <v>2.9</v>
      </c>
      <c r="L3764" t="s">
        <v>152</v>
      </c>
      <c r="M3764" t="s">
        <v>29</v>
      </c>
      <c r="N3764" t="s">
        <v>76</v>
      </c>
      <c r="O3764" t="s">
        <v>152</v>
      </c>
      <c r="P3764" t="s">
        <v>152</v>
      </c>
      <c r="Q3764" s="3">
        <v>13</v>
      </c>
      <c r="R3764" t="s">
        <v>46</v>
      </c>
      <c r="S3764" t="s">
        <v>50</v>
      </c>
    </row>
    <row r="3765" spans="1:19" x14ac:dyDescent="0.25">
      <c r="A3765">
        <v>3764</v>
      </c>
      <c r="B3765">
        <v>27</v>
      </c>
      <c r="C3765" t="s">
        <v>153</v>
      </c>
      <c r="D3765" t="s">
        <v>56</v>
      </c>
      <c r="E3765" t="s">
        <v>21</v>
      </c>
      <c r="F3765" s="1">
        <v>24</v>
      </c>
      <c r="G3765" t="s">
        <v>101</v>
      </c>
      <c r="H3765" t="s">
        <v>92</v>
      </c>
      <c r="I3765" t="s">
        <v>108</v>
      </c>
      <c r="J3765" t="s">
        <v>25</v>
      </c>
      <c r="K3765" s="2">
        <v>4.5</v>
      </c>
      <c r="L3765" t="s">
        <v>152</v>
      </c>
      <c r="M3765" t="s">
        <v>46</v>
      </c>
      <c r="N3765" t="s">
        <v>55</v>
      </c>
      <c r="O3765" t="s">
        <v>152</v>
      </c>
      <c r="P3765" t="s">
        <v>152</v>
      </c>
      <c r="Q3765" s="3">
        <v>38</v>
      </c>
      <c r="R3765" t="s">
        <v>35</v>
      </c>
      <c r="S3765" t="s">
        <v>97</v>
      </c>
    </row>
    <row r="3766" spans="1:19" x14ac:dyDescent="0.25">
      <c r="A3766">
        <v>3765</v>
      </c>
      <c r="B3766">
        <v>36</v>
      </c>
      <c r="C3766" t="s">
        <v>153</v>
      </c>
      <c r="D3766" t="s">
        <v>125</v>
      </c>
      <c r="E3766" t="s">
        <v>21</v>
      </c>
      <c r="F3766" s="1">
        <v>21</v>
      </c>
      <c r="G3766" t="s">
        <v>147</v>
      </c>
      <c r="H3766" t="s">
        <v>45</v>
      </c>
      <c r="I3766" t="s">
        <v>33</v>
      </c>
      <c r="J3766" t="s">
        <v>58</v>
      </c>
      <c r="K3766" s="2">
        <v>3.5</v>
      </c>
      <c r="L3766" t="s">
        <v>152</v>
      </c>
      <c r="M3766" t="s">
        <v>46</v>
      </c>
      <c r="N3766" t="s">
        <v>47</v>
      </c>
      <c r="O3766" t="s">
        <v>152</v>
      </c>
      <c r="P3766" t="s">
        <v>152</v>
      </c>
      <c r="Q3766" s="3">
        <v>19</v>
      </c>
      <c r="R3766" t="s">
        <v>29</v>
      </c>
      <c r="S3766" t="s">
        <v>88</v>
      </c>
    </row>
    <row r="3767" spans="1:19" x14ac:dyDescent="0.25">
      <c r="A3767">
        <v>3766</v>
      </c>
      <c r="B3767">
        <v>22</v>
      </c>
      <c r="C3767" t="s">
        <v>153</v>
      </c>
      <c r="D3767" t="s">
        <v>106</v>
      </c>
      <c r="E3767" t="s">
        <v>69</v>
      </c>
      <c r="F3767" s="1">
        <v>52</v>
      </c>
      <c r="G3767" t="s">
        <v>70</v>
      </c>
      <c r="H3767" t="s">
        <v>45</v>
      </c>
      <c r="I3767" t="s">
        <v>96</v>
      </c>
      <c r="J3767" t="s">
        <v>54</v>
      </c>
      <c r="K3767" s="2">
        <v>4.3</v>
      </c>
      <c r="L3767" t="s">
        <v>152</v>
      </c>
      <c r="M3767" t="s">
        <v>35</v>
      </c>
      <c r="N3767" t="s">
        <v>55</v>
      </c>
      <c r="O3767" t="s">
        <v>152</v>
      </c>
      <c r="P3767" t="s">
        <v>152</v>
      </c>
      <c r="Q3767" s="3">
        <v>14</v>
      </c>
      <c r="R3767" t="s">
        <v>34</v>
      </c>
      <c r="S3767" t="s">
        <v>77</v>
      </c>
    </row>
    <row r="3768" spans="1:19" x14ac:dyDescent="0.25">
      <c r="A3768">
        <v>3767</v>
      </c>
      <c r="B3768">
        <v>62</v>
      </c>
      <c r="C3768" t="s">
        <v>153</v>
      </c>
      <c r="D3768" t="s">
        <v>68</v>
      </c>
      <c r="E3768" t="s">
        <v>69</v>
      </c>
      <c r="F3768" s="1">
        <v>59</v>
      </c>
      <c r="G3768" t="s">
        <v>105</v>
      </c>
      <c r="H3768" t="s">
        <v>45</v>
      </c>
      <c r="I3768" t="s">
        <v>94</v>
      </c>
      <c r="J3768" t="s">
        <v>58</v>
      </c>
      <c r="K3768" s="2">
        <v>4.9000000000000004</v>
      </c>
      <c r="L3768" t="s">
        <v>152</v>
      </c>
      <c r="M3768" t="s">
        <v>35</v>
      </c>
      <c r="N3768" t="s">
        <v>47</v>
      </c>
      <c r="O3768" t="s">
        <v>152</v>
      </c>
      <c r="P3768" t="s">
        <v>152</v>
      </c>
      <c r="Q3768" s="3">
        <v>43</v>
      </c>
      <c r="R3768" t="s">
        <v>59</v>
      </c>
      <c r="S3768" t="s">
        <v>50</v>
      </c>
    </row>
    <row r="3769" spans="1:19" x14ac:dyDescent="0.25">
      <c r="A3769">
        <v>3768</v>
      </c>
      <c r="B3769">
        <v>59</v>
      </c>
      <c r="C3769" t="s">
        <v>153</v>
      </c>
      <c r="D3769" t="s">
        <v>61</v>
      </c>
      <c r="E3769" t="s">
        <v>21</v>
      </c>
      <c r="F3769" s="1">
        <v>51</v>
      </c>
      <c r="G3769" t="s">
        <v>85</v>
      </c>
      <c r="H3769" t="s">
        <v>92</v>
      </c>
      <c r="I3769" t="s">
        <v>94</v>
      </c>
      <c r="J3769" t="s">
        <v>54</v>
      </c>
      <c r="K3769" s="2">
        <v>3.1</v>
      </c>
      <c r="L3769" t="s">
        <v>152</v>
      </c>
      <c r="M3769" t="s">
        <v>29</v>
      </c>
      <c r="N3769" t="s">
        <v>40</v>
      </c>
      <c r="O3769" t="s">
        <v>152</v>
      </c>
      <c r="P3769" t="s">
        <v>152</v>
      </c>
      <c r="Q3769" s="3">
        <v>10</v>
      </c>
      <c r="R3769" t="s">
        <v>34</v>
      </c>
      <c r="S3769" t="s">
        <v>30</v>
      </c>
    </row>
    <row r="3770" spans="1:19" x14ac:dyDescent="0.25">
      <c r="A3770">
        <v>3769</v>
      </c>
      <c r="B3770">
        <v>50</v>
      </c>
      <c r="C3770" t="s">
        <v>153</v>
      </c>
      <c r="D3770" t="s">
        <v>31</v>
      </c>
      <c r="E3770" t="s">
        <v>21</v>
      </c>
      <c r="F3770" s="1">
        <v>35</v>
      </c>
      <c r="G3770" t="s">
        <v>129</v>
      </c>
      <c r="H3770" t="s">
        <v>45</v>
      </c>
      <c r="I3770" t="s">
        <v>134</v>
      </c>
      <c r="J3770" t="s">
        <v>25</v>
      </c>
      <c r="K3770" s="2">
        <v>4</v>
      </c>
      <c r="L3770" t="s">
        <v>152</v>
      </c>
      <c r="M3770" t="s">
        <v>46</v>
      </c>
      <c r="N3770" t="s">
        <v>40</v>
      </c>
      <c r="O3770" t="s">
        <v>152</v>
      </c>
      <c r="P3770" t="s">
        <v>152</v>
      </c>
      <c r="Q3770" s="3">
        <v>34</v>
      </c>
      <c r="R3770" t="s">
        <v>34</v>
      </c>
      <c r="S3770" t="s">
        <v>60</v>
      </c>
    </row>
    <row r="3771" spans="1:19" x14ac:dyDescent="0.25">
      <c r="A3771">
        <v>3770</v>
      </c>
      <c r="B3771">
        <v>51</v>
      </c>
      <c r="C3771" t="s">
        <v>153</v>
      </c>
      <c r="D3771" t="s">
        <v>143</v>
      </c>
      <c r="E3771" t="s">
        <v>69</v>
      </c>
      <c r="F3771" s="1">
        <v>87</v>
      </c>
      <c r="G3771" t="s">
        <v>117</v>
      </c>
      <c r="H3771" t="s">
        <v>23</v>
      </c>
      <c r="I3771" t="s">
        <v>96</v>
      </c>
      <c r="J3771" t="s">
        <v>54</v>
      </c>
      <c r="K3771" s="2">
        <v>3.6</v>
      </c>
      <c r="L3771" t="s">
        <v>152</v>
      </c>
      <c r="M3771" t="s">
        <v>35</v>
      </c>
      <c r="N3771" t="s">
        <v>55</v>
      </c>
      <c r="O3771" t="s">
        <v>152</v>
      </c>
      <c r="P3771" t="s">
        <v>152</v>
      </c>
      <c r="Q3771" s="3">
        <v>31</v>
      </c>
      <c r="R3771" t="s">
        <v>29</v>
      </c>
      <c r="S3771" t="s">
        <v>50</v>
      </c>
    </row>
    <row r="3772" spans="1:19" x14ac:dyDescent="0.25">
      <c r="A3772">
        <v>3771</v>
      </c>
      <c r="B3772">
        <v>23</v>
      </c>
      <c r="C3772" t="s">
        <v>153</v>
      </c>
      <c r="D3772" t="s">
        <v>95</v>
      </c>
      <c r="E3772" t="s">
        <v>21</v>
      </c>
      <c r="F3772" s="1">
        <v>42</v>
      </c>
      <c r="G3772" t="s">
        <v>57</v>
      </c>
      <c r="H3772" t="s">
        <v>23</v>
      </c>
      <c r="I3772" t="s">
        <v>94</v>
      </c>
      <c r="J3772" t="s">
        <v>54</v>
      </c>
      <c r="K3772" s="2">
        <v>4</v>
      </c>
      <c r="L3772" t="s">
        <v>152</v>
      </c>
      <c r="M3772" t="s">
        <v>27</v>
      </c>
      <c r="N3772" t="s">
        <v>76</v>
      </c>
      <c r="O3772" t="s">
        <v>152</v>
      </c>
      <c r="P3772" t="s">
        <v>152</v>
      </c>
      <c r="Q3772" s="3">
        <v>34</v>
      </c>
      <c r="R3772" t="s">
        <v>34</v>
      </c>
      <c r="S3772" t="s">
        <v>41</v>
      </c>
    </row>
    <row r="3773" spans="1:19" x14ac:dyDescent="0.25">
      <c r="A3773">
        <v>3772</v>
      </c>
      <c r="B3773">
        <v>21</v>
      </c>
      <c r="C3773" t="s">
        <v>153</v>
      </c>
      <c r="D3773" t="s">
        <v>113</v>
      </c>
      <c r="E3773" t="s">
        <v>21</v>
      </c>
      <c r="F3773" s="1">
        <v>86</v>
      </c>
      <c r="G3773" t="s">
        <v>101</v>
      </c>
      <c r="H3773" t="s">
        <v>45</v>
      </c>
      <c r="I3773" t="s">
        <v>108</v>
      </c>
      <c r="J3773" t="s">
        <v>25</v>
      </c>
      <c r="K3773" s="2">
        <v>2.6</v>
      </c>
      <c r="L3773" t="s">
        <v>152</v>
      </c>
      <c r="M3773" t="s">
        <v>34</v>
      </c>
      <c r="N3773" t="s">
        <v>28</v>
      </c>
      <c r="O3773" t="s">
        <v>152</v>
      </c>
      <c r="P3773" t="s">
        <v>152</v>
      </c>
      <c r="Q3773" s="3">
        <v>28</v>
      </c>
      <c r="R3773" t="s">
        <v>29</v>
      </c>
      <c r="S3773" t="s">
        <v>77</v>
      </c>
    </row>
    <row r="3774" spans="1:19" x14ac:dyDescent="0.25">
      <c r="A3774">
        <v>3773</v>
      </c>
      <c r="B3774">
        <v>44</v>
      </c>
      <c r="C3774" t="s">
        <v>153</v>
      </c>
      <c r="D3774" t="s">
        <v>95</v>
      </c>
      <c r="E3774" t="s">
        <v>21</v>
      </c>
      <c r="F3774" s="1">
        <v>26</v>
      </c>
      <c r="G3774" t="s">
        <v>83</v>
      </c>
      <c r="H3774" t="s">
        <v>23</v>
      </c>
      <c r="I3774" t="s">
        <v>134</v>
      </c>
      <c r="J3774" t="s">
        <v>58</v>
      </c>
      <c r="K3774" s="2">
        <v>3.1</v>
      </c>
      <c r="L3774" t="s">
        <v>152</v>
      </c>
      <c r="M3774" t="s">
        <v>35</v>
      </c>
      <c r="N3774" t="s">
        <v>47</v>
      </c>
      <c r="O3774" t="s">
        <v>152</v>
      </c>
      <c r="P3774" t="s">
        <v>152</v>
      </c>
      <c r="Q3774" s="3">
        <v>35</v>
      </c>
      <c r="R3774" t="s">
        <v>35</v>
      </c>
      <c r="S3774" t="s">
        <v>50</v>
      </c>
    </row>
    <row r="3775" spans="1:19" x14ac:dyDescent="0.25">
      <c r="A3775">
        <v>3774</v>
      </c>
      <c r="B3775">
        <v>25</v>
      </c>
      <c r="C3775" t="s">
        <v>153</v>
      </c>
      <c r="D3775" t="s">
        <v>31</v>
      </c>
      <c r="E3775" t="s">
        <v>21</v>
      </c>
      <c r="F3775" s="1">
        <v>60</v>
      </c>
      <c r="G3775" t="s">
        <v>150</v>
      </c>
      <c r="H3775" t="s">
        <v>45</v>
      </c>
      <c r="I3775" t="s">
        <v>84</v>
      </c>
      <c r="J3775" t="s">
        <v>54</v>
      </c>
      <c r="K3775" s="2">
        <v>3.5</v>
      </c>
      <c r="L3775" t="s">
        <v>152</v>
      </c>
      <c r="M3775" t="s">
        <v>34</v>
      </c>
      <c r="N3775" t="s">
        <v>76</v>
      </c>
      <c r="O3775" t="s">
        <v>152</v>
      </c>
      <c r="P3775" t="s">
        <v>152</v>
      </c>
      <c r="Q3775" s="3">
        <v>41</v>
      </c>
      <c r="R3775" t="s">
        <v>35</v>
      </c>
      <c r="S3775" t="s">
        <v>60</v>
      </c>
    </row>
    <row r="3776" spans="1:19" x14ac:dyDescent="0.25">
      <c r="A3776">
        <v>3775</v>
      </c>
      <c r="B3776">
        <v>57</v>
      </c>
      <c r="C3776" t="s">
        <v>153</v>
      </c>
      <c r="D3776" t="s">
        <v>143</v>
      </c>
      <c r="E3776" t="s">
        <v>69</v>
      </c>
      <c r="F3776" s="1">
        <v>83</v>
      </c>
      <c r="G3776" t="s">
        <v>120</v>
      </c>
      <c r="H3776" t="s">
        <v>38</v>
      </c>
      <c r="I3776" t="s">
        <v>109</v>
      </c>
      <c r="J3776" t="s">
        <v>25</v>
      </c>
      <c r="K3776" s="2">
        <v>3.9</v>
      </c>
      <c r="L3776" t="s">
        <v>152</v>
      </c>
      <c r="M3776" t="s">
        <v>29</v>
      </c>
      <c r="N3776" t="s">
        <v>55</v>
      </c>
      <c r="O3776" t="s">
        <v>152</v>
      </c>
      <c r="P3776" t="s">
        <v>152</v>
      </c>
      <c r="Q3776" s="3">
        <v>48</v>
      </c>
      <c r="R3776" t="s">
        <v>46</v>
      </c>
      <c r="S3776" t="s">
        <v>30</v>
      </c>
    </row>
    <row r="3777" spans="1:19" x14ac:dyDescent="0.25">
      <c r="A3777">
        <v>3776</v>
      </c>
      <c r="B3777">
        <v>41</v>
      </c>
      <c r="C3777" t="s">
        <v>153</v>
      </c>
      <c r="D3777" t="s">
        <v>133</v>
      </c>
      <c r="E3777" t="s">
        <v>69</v>
      </c>
      <c r="F3777" s="1">
        <v>63</v>
      </c>
      <c r="G3777" t="s">
        <v>147</v>
      </c>
      <c r="H3777" t="s">
        <v>38</v>
      </c>
      <c r="I3777" t="s">
        <v>71</v>
      </c>
      <c r="J3777" t="s">
        <v>39</v>
      </c>
      <c r="K3777" s="2">
        <v>2.7</v>
      </c>
      <c r="L3777" t="s">
        <v>152</v>
      </c>
      <c r="M3777" t="s">
        <v>59</v>
      </c>
      <c r="N3777" t="s">
        <v>72</v>
      </c>
      <c r="O3777" t="s">
        <v>152</v>
      </c>
      <c r="P3777" t="s">
        <v>152</v>
      </c>
      <c r="Q3777" s="3">
        <v>45</v>
      </c>
      <c r="R3777" t="s">
        <v>35</v>
      </c>
      <c r="S3777" t="s">
        <v>60</v>
      </c>
    </row>
    <row r="3778" spans="1:19" x14ac:dyDescent="0.25">
      <c r="A3778">
        <v>3777</v>
      </c>
      <c r="B3778">
        <v>19</v>
      </c>
      <c r="C3778" t="s">
        <v>153</v>
      </c>
      <c r="D3778" t="s">
        <v>51</v>
      </c>
      <c r="E3778" t="s">
        <v>43</v>
      </c>
      <c r="F3778" s="1">
        <v>25</v>
      </c>
      <c r="G3778" t="s">
        <v>120</v>
      </c>
      <c r="H3778" t="s">
        <v>23</v>
      </c>
      <c r="I3778" t="s">
        <v>79</v>
      </c>
      <c r="J3778" t="s">
        <v>39</v>
      </c>
      <c r="K3778" s="2">
        <v>4.0999999999999996</v>
      </c>
      <c r="L3778" t="s">
        <v>152</v>
      </c>
      <c r="M3778" t="s">
        <v>59</v>
      </c>
      <c r="N3778" t="s">
        <v>55</v>
      </c>
      <c r="O3778" t="s">
        <v>152</v>
      </c>
      <c r="P3778" t="s">
        <v>152</v>
      </c>
      <c r="Q3778" s="3">
        <v>10</v>
      </c>
      <c r="R3778" t="s">
        <v>27</v>
      </c>
      <c r="S3778" t="s">
        <v>30</v>
      </c>
    </row>
    <row r="3779" spans="1:19" x14ac:dyDescent="0.25">
      <c r="A3779">
        <v>3778</v>
      </c>
      <c r="B3779">
        <v>43</v>
      </c>
      <c r="C3779" t="s">
        <v>153</v>
      </c>
      <c r="D3779" t="s">
        <v>61</v>
      </c>
      <c r="E3779" t="s">
        <v>21</v>
      </c>
      <c r="F3779" s="1">
        <v>65</v>
      </c>
      <c r="G3779" t="s">
        <v>140</v>
      </c>
      <c r="H3779" t="s">
        <v>45</v>
      </c>
      <c r="I3779" t="s">
        <v>33</v>
      </c>
      <c r="J3779" t="s">
        <v>58</v>
      </c>
      <c r="K3779" s="2">
        <v>4.3</v>
      </c>
      <c r="L3779" t="s">
        <v>152</v>
      </c>
      <c r="M3779" t="s">
        <v>59</v>
      </c>
      <c r="N3779" t="s">
        <v>28</v>
      </c>
      <c r="O3779" t="s">
        <v>152</v>
      </c>
      <c r="P3779" t="s">
        <v>152</v>
      </c>
      <c r="Q3779" s="3">
        <v>9</v>
      </c>
      <c r="R3779" t="s">
        <v>35</v>
      </c>
      <c r="S3779" t="s">
        <v>41</v>
      </c>
    </row>
    <row r="3780" spans="1:19" x14ac:dyDescent="0.25">
      <c r="A3780">
        <v>3779</v>
      </c>
      <c r="B3780">
        <v>25</v>
      </c>
      <c r="C3780" t="s">
        <v>153</v>
      </c>
      <c r="D3780" t="s">
        <v>51</v>
      </c>
      <c r="E3780" t="s">
        <v>43</v>
      </c>
      <c r="F3780" s="1">
        <v>60</v>
      </c>
      <c r="G3780" t="s">
        <v>147</v>
      </c>
      <c r="H3780" t="s">
        <v>45</v>
      </c>
      <c r="I3780" t="s">
        <v>109</v>
      </c>
      <c r="J3780" t="s">
        <v>58</v>
      </c>
      <c r="K3780" s="2">
        <v>2.9</v>
      </c>
      <c r="L3780" t="s">
        <v>152</v>
      </c>
      <c r="M3780" t="s">
        <v>46</v>
      </c>
      <c r="N3780" t="s">
        <v>40</v>
      </c>
      <c r="O3780" t="s">
        <v>152</v>
      </c>
      <c r="P3780" t="s">
        <v>152</v>
      </c>
      <c r="Q3780" s="3">
        <v>30</v>
      </c>
      <c r="R3780" t="s">
        <v>59</v>
      </c>
      <c r="S3780" t="s">
        <v>50</v>
      </c>
    </row>
    <row r="3781" spans="1:19" x14ac:dyDescent="0.25">
      <c r="A3781">
        <v>3780</v>
      </c>
      <c r="B3781">
        <v>60</v>
      </c>
      <c r="C3781" t="s">
        <v>153</v>
      </c>
      <c r="D3781" t="s">
        <v>36</v>
      </c>
      <c r="E3781" t="s">
        <v>21</v>
      </c>
      <c r="F3781" s="1">
        <v>75</v>
      </c>
      <c r="G3781" t="s">
        <v>99</v>
      </c>
      <c r="H3781" t="s">
        <v>92</v>
      </c>
      <c r="I3781" t="s">
        <v>93</v>
      </c>
      <c r="J3781" t="s">
        <v>39</v>
      </c>
      <c r="K3781" s="2">
        <v>4</v>
      </c>
      <c r="L3781" t="s">
        <v>152</v>
      </c>
      <c r="M3781" t="s">
        <v>29</v>
      </c>
      <c r="N3781" t="s">
        <v>28</v>
      </c>
      <c r="O3781" t="s">
        <v>152</v>
      </c>
      <c r="P3781" t="s">
        <v>152</v>
      </c>
      <c r="Q3781" s="3">
        <v>45</v>
      </c>
      <c r="R3781" t="s">
        <v>46</v>
      </c>
      <c r="S3781" t="s">
        <v>50</v>
      </c>
    </row>
    <row r="3782" spans="1:19" x14ac:dyDescent="0.25">
      <c r="A3782">
        <v>3781</v>
      </c>
      <c r="B3782">
        <v>54</v>
      </c>
      <c r="C3782" t="s">
        <v>153</v>
      </c>
      <c r="D3782" t="s">
        <v>51</v>
      </c>
      <c r="E3782" t="s">
        <v>43</v>
      </c>
      <c r="F3782" s="1">
        <v>57</v>
      </c>
      <c r="G3782" t="s">
        <v>91</v>
      </c>
      <c r="H3782" t="s">
        <v>23</v>
      </c>
      <c r="I3782" t="s">
        <v>134</v>
      </c>
      <c r="J3782" t="s">
        <v>58</v>
      </c>
      <c r="K3782" s="2">
        <v>4.0999999999999996</v>
      </c>
      <c r="L3782" t="s">
        <v>152</v>
      </c>
      <c r="M3782" t="s">
        <v>34</v>
      </c>
      <c r="N3782" t="s">
        <v>40</v>
      </c>
      <c r="O3782" t="s">
        <v>152</v>
      </c>
      <c r="P3782" t="s">
        <v>152</v>
      </c>
      <c r="Q3782" s="3">
        <v>41</v>
      </c>
      <c r="R3782" t="s">
        <v>29</v>
      </c>
      <c r="S3782" t="s">
        <v>60</v>
      </c>
    </row>
    <row r="3783" spans="1:19" x14ac:dyDescent="0.25">
      <c r="A3783">
        <v>3782</v>
      </c>
      <c r="B3783">
        <v>52</v>
      </c>
      <c r="C3783" t="s">
        <v>153</v>
      </c>
      <c r="D3783" t="s">
        <v>137</v>
      </c>
      <c r="E3783" t="s">
        <v>43</v>
      </c>
      <c r="F3783" s="1">
        <v>99</v>
      </c>
      <c r="G3783" t="s">
        <v>122</v>
      </c>
      <c r="H3783" t="s">
        <v>45</v>
      </c>
      <c r="I3783" t="s">
        <v>71</v>
      </c>
      <c r="J3783" t="s">
        <v>25</v>
      </c>
      <c r="K3783" s="2">
        <v>3.7</v>
      </c>
      <c r="L3783" t="s">
        <v>152</v>
      </c>
      <c r="M3783" t="s">
        <v>29</v>
      </c>
      <c r="N3783" t="s">
        <v>55</v>
      </c>
      <c r="O3783" t="s">
        <v>152</v>
      </c>
      <c r="P3783" t="s">
        <v>152</v>
      </c>
      <c r="Q3783" s="3">
        <v>40</v>
      </c>
      <c r="R3783" t="s">
        <v>46</v>
      </c>
      <c r="S3783" t="s">
        <v>30</v>
      </c>
    </row>
    <row r="3784" spans="1:19" x14ac:dyDescent="0.25">
      <c r="A3784">
        <v>3783</v>
      </c>
      <c r="B3784">
        <v>40</v>
      </c>
      <c r="C3784" t="s">
        <v>153</v>
      </c>
      <c r="D3784" t="s">
        <v>102</v>
      </c>
      <c r="E3784" t="s">
        <v>65</v>
      </c>
      <c r="F3784" s="1">
        <v>45</v>
      </c>
      <c r="G3784" t="s">
        <v>90</v>
      </c>
      <c r="H3784" t="s">
        <v>23</v>
      </c>
      <c r="I3784" t="s">
        <v>121</v>
      </c>
      <c r="J3784" t="s">
        <v>39</v>
      </c>
      <c r="K3784" s="2">
        <v>2.8</v>
      </c>
      <c r="L3784" t="s">
        <v>152</v>
      </c>
      <c r="M3784" t="s">
        <v>35</v>
      </c>
      <c r="N3784" t="s">
        <v>40</v>
      </c>
      <c r="O3784" t="s">
        <v>152</v>
      </c>
      <c r="P3784" t="s">
        <v>152</v>
      </c>
      <c r="Q3784" s="3">
        <v>42</v>
      </c>
      <c r="R3784" t="s">
        <v>46</v>
      </c>
      <c r="S3784" t="s">
        <v>30</v>
      </c>
    </row>
    <row r="3785" spans="1:19" x14ac:dyDescent="0.25">
      <c r="A3785">
        <v>3784</v>
      </c>
      <c r="B3785">
        <v>39</v>
      </c>
      <c r="C3785" t="s">
        <v>153</v>
      </c>
      <c r="D3785" t="s">
        <v>143</v>
      </c>
      <c r="E3785" t="s">
        <v>69</v>
      </c>
      <c r="F3785" s="1">
        <v>66</v>
      </c>
      <c r="G3785" t="s">
        <v>32</v>
      </c>
      <c r="H3785" t="s">
        <v>92</v>
      </c>
      <c r="I3785" t="s">
        <v>121</v>
      </c>
      <c r="J3785" t="s">
        <v>54</v>
      </c>
      <c r="K3785" s="2">
        <v>3.2</v>
      </c>
      <c r="L3785" t="s">
        <v>152</v>
      </c>
      <c r="M3785" t="s">
        <v>35</v>
      </c>
      <c r="N3785" t="s">
        <v>40</v>
      </c>
      <c r="O3785" t="s">
        <v>152</v>
      </c>
      <c r="P3785" t="s">
        <v>152</v>
      </c>
      <c r="Q3785" s="3">
        <v>17</v>
      </c>
      <c r="R3785" t="s">
        <v>59</v>
      </c>
      <c r="S3785" t="s">
        <v>30</v>
      </c>
    </row>
    <row r="3786" spans="1:19" x14ac:dyDescent="0.25">
      <c r="A3786">
        <v>3785</v>
      </c>
      <c r="B3786">
        <v>54</v>
      </c>
      <c r="C3786" t="s">
        <v>153</v>
      </c>
      <c r="D3786" t="s">
        <v>125</v>
      </c>
      <c r="E3786" t="s">
        <v>21</v>
      </c>
      <c r="F3786" s="1">
        <v>53</v>
      </c>
      <c r="G3786" t="s">
        <v>141</v>
      </c>
      <c r="H3786" t="s">
        <v>45</v>
      </c>
      <c r="I3786" t="s">
        <v>84</v>
      </c>
      <c r="J3786" t="s">
        <v>25</v>
      </c>
      <c r="K3786" s="2">
        <v>4.5</v>
      </c>
      <c r="L3786" t="s">
        <v>152</v>
      </c>
      <c r="M3786" t="s">
        <v>35</v>
      </c>
      <c r="N3786" t="s">
        <v>47</v>
      </c>
      <c r="O3786" t="s">
        <v>152</v>
      </c>
      <c r="P3786" t="s">
        <v>152</v>
      </c>
      <c r="Q3786" s="3">
        <v>4</v>
      </c>
      <c r="R3786" t="s">
        <v>29</v>
      </c>
      <c r="S3786" t="s">
        <v>50</v>
      </c>
    </row>
    <row r="3787" spans="1:19" x14ac:dyDescent="0.25">
      <c r="A3787">
        <v>3786</v>
      </c>
      <c r="B3787">
        <v>64</v>
      </c>
      <c r="C3787" t="s">
        <v>153</v>
      </c>
      <c r="D3787" t="s">
        <v>36</v>
      </c>
      <c r="E3787" t="s">
        <v>21</v>
      </c>
      <c r="F3787" s="1">
        <v>94</v>
      </c>
      <c r="G3787" t="s">
        <v>83</v>
      </c>
      <c r="H3787" t="s">
        <v>23</v>
      </c>
      <c r="I3787" t="s">
        <v>93</v>
      </c>
      <c r="J3787" t="s">
        <v>25</v>
      </c>
      <c r="K3787" s="2">
        <v>3.8</v>
      </c>
      <c r="L3787" t="s">
        <v>152</v>
      </c>
      <c r="M3787" t="s">
        <v>59</v>
      </c>
      <c r="N3787" t="s">
        <v>55</v>
      </c>
      <c r="O3787" t="s">
        <v>152</v>
      </c>
      <c r="P3787" t="s">
        <v>152</v>
      </c>
      <c r="Q3787" s="3">
        <v>6</v>
      </c>
      <c r="R3787" t="s">
        <v>35</v>
      </c>
      <c r="S3787" t="s">
        <v>88</v>
      </c>
    </row>
    <row r="3788" spans="1:19" x14ac:dyDescent="0.25">
      <c r="A3788">
        <v>3787</v>
      </c>
      <c r="B3788">
        <v>31</v>
      </c>
      <c r="C3788" t="s">
        <v>153</v>
      </c>
      <c r="D3788" t="s">
        <v>137</v>
      </c>
      <c r="E3788" t="s">
        <v>43</v>
      </c>
      <c r="F3788" s="1">
        <v>47</v>
      </c>
      <c r="G3788" t="s">
        <v>122</v>
      </c>
      <c r="H3788" t="s">
        <v>23</v>
      </c>
      <c r="I3788" t="s">
        <v>134</v>
      </c>
      <c r="J3788" t="s">
        <v>58</v>
      </c>
      <c r="K3788" s="2">
        <v>3.6</v>
      </c>
      <c r="L3788" t="s">
        <v>152</v>
      </c>
      <c r="M3788" t="s">
        <v>29</v>
      </c>
      <c r="N3788" t="s">
        <v>72</v>
      </c>
      <c r="O3788" t="s">
        <v>152</v>
      </c>
      <c r="P3788" t="s">
        <v>152</v>
      </c>
      <c r="Q3788" s="3">
        <v>22</v>
      </c>
      <c r="R3788" t="s">
        <v>29</v>
      </c>
      <c r="S3788" t="s">
        <v>41</v>
      </c>
    </row>
    <row r="3789" spans="1:19" x14ac:dyDescent="0.25">
      <c r="A3789">
        <v>3788</v>
      </c>
      <c r="B3789">
        <v>37</v>
      </c>
      <c r="C3789" t="s">
        <v>153</v>
      </c>
      <c r="D3789" t="s">
        <v>20</v>
      </c>
      <c r="E3789" t="s">
        <v>21</v>
      </c>
      <c r="F3789" s="1">
        <v>80</v>
      </c>
      <c r="G3789" t="s">
        <v>85</v>
      </c>
      <c r="H3789" t="s">
        <v>45</v>
      </c>
      <c r="I3789" t="s">
        <v>71</v>
      </c>
      <c r="J3789" t="s">
        <v>58</v>
      </c>
      <c r="K3789" s="2">
        <v>3.6</v>
      </c>
      <c r="L3789" t="s">
        <v>152</v>
      </c>
      <c r="M3789" t="s">
        <v>46</v>
      </c>
      <c r="N3789" t="s">
        <v>72</v>
      </c>
      <c r="O3789" t="s">
        <v>152</v>
      </c>
      <c r="P3789" t="s">
        <v>152</v>
      </c>
      <c r="Q3789" s="3">
        <v>46</v>
      </c>
      <c r="R3789" t="s">
        <v>46</v>
      </c>
      <c r="S3789" t="s">
        <v>97</v>
      </c>
    </row>
    <row r="3790" spans="1:19" x14ac:dyDescent="0.25">
      <c r="A3790">
        <v>3789</v>
      </c>
      <c r="B3790">
        <v>43</v>
      </c>
      <c r="C3790" t="s">
        <v>153</v>
      </c>
      <c r="D3790" t="s">
        <v>124</v>
      </c>
      <c r="E3790" t="s">
        <v>69</v>
      </c>
      <c r="F3790" s="1">
        <v>65</v>
      </c>
      <c r="G3790" t="s">
        <v>111</v>
      </c>
      <c r="H3790" t="s">
        <v>92</v>
      </c>
      <c r="I3790" t="s">
        <v>86</v>
      </c>
      <c r="J3790" t="s">
        <v>39</v>
      </c>
      <c r="K3790" s="2">
        <v>3.2</v>
      </c>
      <c r="L3790" t="s">
        <v>152</v>
      </c>
      <c r="M3790" t="s">
        <v>35</v>
      </c>
      <c r="N3790" t="s">
        <v>47</v>
      </c>
      <c r="O3790" t="s">
        <v>152</v>
      </c>
      <c r="P3790" t="s">
        <v>152</v>
      </c>
      <c r="Q3790" s="3">
        <v>27</v>
      </c>
      <c r="R3790" t="s">
        <v>59</v>
      </c>
      <c r="S3790" t="s">
        <v>88</v>
      </c>
    </row>
    <row r="3791" spans="1:19" x14ac:dyDescent="0.25">
      <c r="A3791">
        <v>3790</v>
      </c>
      <c r="B3791">
        <v>56</v>
      </c>
      <c r="C3791" t="s">
        <v>153</v>
      </c>
      <c r="D3791" t="s">
        <v>56</v>
      </c>
      <c r="E3791" t="s">
        <v>21</v>
      </c>
      <c r="F3791" s="1">
        <v>75</v>
      </c>
      <c r="G3791" t="s">
        <v>114</v>
      </c>
      <c r="H3791" t="s">
        <v>45</v>
      </c>
      <c r="I3791" t="s">
        <v>136</v>
      </c>
      <c r="J3791" t="s">
        <v>54</v>
      </c>
      <c r="K3791" s="2">
        <v>3.8</v>
      </c>
      <c r="L3791" t="s">
        <v>152</v>
      </c>
      <c r="M3791" t="s">
        <v>59</v>
      </c>
      <c r="N3791" t="s">
        <v>28</v>
      </c>
      <c r="O3791" t="s">
        <v>152</v>
      </c>
      <c r="P3791" t="s">
        <v>152</v>
      </c>
      <c r="Q3791" s="3">
        <v>18</v>
      </c>
      <c r="R3791" t="s">
        <v>34</v>
      </c>
      <c r="S3791" t="s">
        <v>97</v>
      </c>
    </row>
    <row r="3792" spans="1:19" x14ac:dyDescent="0.25">
      <c r="A3792">
        <v>3791</v>
      </c>
      <c r="B3792">
        <v>27</v>
      </c>
      <c r="C3792" t="s">
        <v>153</v>
      </c>
      <c r="D3792" t="s">
        <v>68</v>
      </c>
      <c r="E3792" t="s">
        <v>69</v>
      </c>
      <c r="F3792" s="1">
        <v>45</v>
      </c>
      <c r="G3792" t="s">
        <v>120</v>
      </c>
      <c r="H3792" t="s">
        <v>92</v>
      </c>
      <c r="I3792" t="s">
        <v>118</v>
      </c>
      <c r="J3792" t="s">
        <v>54</v>
      </c>
      <c r="K3792" s="2">
        <v>4.4000000000000004</v>
      </c>
      <c r="L3792" t="s">
        <v>152</v>
      </c>
      <c r="M3792" t="s">
        <v>29</v>
      </c>
      <c r="N3792" t="s">
        <v>55</v>
      </c>
      <c r="O3792" t="s">
        <v>152</v>
      </c>
      <c r="P3792" t="s">
        <v>152</v>
      </c>
      <c r="Q3792" s="3">
        <v>31</v>
      </c>
      <c r="R3792" t="s">
        <v>27</v>
      </c>
      <c r="S3792" t="s">
        <v>41</v>
      </c>
    </row>
    <row r="3793" spans="1:19" x14ac:dyDescent="0.25">
      <c r="A3793">
        <v>3792</v>
      </c>
      <c r="B3793">
        <v>40</v>
      </c>
      <c r="C3793" t="s">
        <v>153</v>
      </c>
      <c r="D3793" t="s">
        <v>89</v>
      </c>
      <c r="E3793" t="s">
        <v>69</v>
      </c>
      <c r="F3793" s="1">
        <v>51</v>
      </c>
      <c r="G3793" t="s">
        <v>105</v>
      </c>
      <c r="H3793" t="s">
        <v>45</v>
      </c>
      <c r="I3793" t="s">
        <v>24</v>
      </c>
      <c r="J3793" t="s">
        <v>39</v>
      </c>
      <c r="K3793" s="2">
        <v>3.7</v>
      </c>
      <c r="L3793" t="s">
        <v>152</v>
      </c>
      <c r="M3793" t="s">
        <v>27</v>
      </c>
      <c r="N3793" t="s">
        <v>76</v>
      </c>
      <c r="O3793" t="s">
        <v>152</v>
      </c>
      <c r="P3793" t="s">
        <v>152</v>
      </c>
      <c r="Q3793" s="3">
        <v>1</v>
      </c>
      <c r="R3793" t="s">
        <v>29</v>
      </c>
      <c r="S3793" t="s">
        <v>41</v>
      </c>
    </row>
    <row r="3794" spans="1:19" x14ac:dyDescent="0.25">
      <c r="A3794">
        <v>3793</v>
      </c>
      <c r="B3794">
        <v>43</v>
      </c>
      <c r="C3794" t="s">
        <v>153</v>
      </c>
      <c r="D3794" t="s">
        <v>119</v>
      </c>
      <c r="E3794" t="s">
        <v>69</v>
      </c>
      <c r="F3794" s="1">
        <v>58</v>
      </c>
      <c r="G3794" t="s">
        <v>37</v>
      </c>
      <c r="H3794" t="s">
        <v>38</v>
      </c>
      <c r="I3794" t="s">
        <v>49</v>
      </c>
      <c r="J3794" t="s">
        <v>54</v>
      </c>
      <c r="K3794" s="2">
        <v>2.6</v>
      </c>
      <c r="L3794" t="s">
        <v>152</v>
      </c>
      <c r="M3794" t="s">
        <v>27</v>
      </c>
      <c r="N3794" t="s">
        <v>28</v>
      </c>
      <c r="O3794" t="s">
        <v>152</v>
      </c>
      <c r="P3794" t="s">
        <v>152</v>
      </c>
      <c r="Q3794" s="3">
        <v>2</v>
      </c>
      <c r="R3794" t="s">
        <v>46</v>
      </c>
      <c r="S3794" t="s">
        <v>30</v>
      </c>
    </row>
    <row r="3795" spans="1:19" x14ac:dyDescent="0.25">
      <c r="A3795">
        <v>3794</v>
      </c>
      <c r="B3795">
        <v>62</v>
      </c>
      <c r="C3795" t="s">
        <v>153</v>
      </c>
      <c r="D3795" t="s">
        <v>89</v>
      </c>
      <c r="E3795" t="s">
        <v>69</v>
      </c>
      <c r="F3795" s="1">
        <v>20</v>
      </c>
      <c r="G3795" t="s">
        <v>80</v>
      </c>
      <c r="H3795" t="s">
        <v>45</v>
      </c>
      <c r="I3795" t="s">
        <v>71</v>
      </c>
      <c r="J3795" t="s">
        <v>58</v>
      </c>
      <c r="K3795" s="2">
        <v>4</v>
      </c>
      <c r="L3795" t="s">
        <v>152</v>
      </c>
      <c r="M3795" t="s">
        <v>35</v>
      </c>
      <c r="N3795" t="s">
        <v>55</v>
      </c>
      <c r="O3795" t="s">
        <v>152</v>
      </c>
      <c r="P3795" t="s">
        <v>152</v>
      </c>
      <c r="Q3795" s="3">
        <v>46</v>
      </c>
      <c r="R3795" t="s">
        <v>34</v>
      </c>
      <c r="S3795" t="s">
        <v>50</v>
      </c>
    </row>
    <row r="3796" spans="1:19" x14ac:dyDescent="0.25">
      <c r="A3796">
        <v>3795</v>
      </c>
      <c r="B3796">
        <v>44</v>
      </c>
      <c r="C3796" t="s">
        <v>153</v>
      </c>
      <c r="D3796" t="s">
        <v>119</v>
      </c>
      <c r="E3796" t="s">
        <v>69</v>
      </c>
      <c r="F3796" s="1">
        <v>82</v>
      </c>
      <c r="G3796" t="s">
        <v>147</v>
      </c>
      <c r="H3796" t="s">
        <v>45</v>
      </c>
      <c r="I3796" t="s">
        <v>84</v>
      </c>
      <c r="J3796" t="s">
        <v>54</v>
      </c>
      <c r="K3796" s="2">
        <v>3.6</v>
      </c>
      <c r="L3796" t="s">
        <v>152</v>
      </c>
      <c r="M3796" t="s">
        <v>59</v>
      </c>
      <c r="N3796" t="s">
        <v>72</v>
      </c>
      <c r="O3796" t="s">
        <v>152</v>
      </c>
      <c r="P3796" t="s">
        <v>152</v>
      </c>
      <c r="Q3796" s="3">
        <v>27</v>
      </c>
      <c r="R3796" t="s">
        <v>29</v>
      </c>
      <c r="S3796" t="s">
        <v>41</v>
      </c>
    </row>
    <row r="3797" spans="1:19" x14ac:dyDescent="0.25">
      <c r="A3797">
        <v>3796</v>
      </c>
      <c r="B3797">
        <v>45</v>
      </c>
      <c r="C3797" t="s">
        <v>153</v>
      </c>
      <c r="D3797" t="s">
        <v>143</v>
      </c>
      <c r="E3797" t="s">
        <v>69</v>
      </c>
      <c r="F3797" s="1">
        <v>92</v>
      </c>
      <c r="G3797" t="s">
        <v>74</v>
      </c>
      <c r="H3797" t="s">
        <v>45</v>
      </c>
      <c r="I3797" t="s">
        <v>63</v>
      </c>
      <c r="J3797" t="s">
        <v>39</v>
      </c>
      <c r="K3797" s="2">
        <v>2.5</v>
      </c>
      <c r="L3797" t="s">
        <v>152</v>
      </c>
      <c r="M3797" t="s">
        <v>34</v>
      </c>
      <c r="N3797" t="s">
        <v>28</v>
      </c>
      <c r="O3797" t="s">
        <v>152</v>
      </c>
      <c r="P3797" t="s">
        <v>152</v>
      </c>
      <c r="Q3797" s="3">
        <v>3</v>
      </c>
      <c r="R3797" t="s">
        <v>35</v>
      </c>
      <c r="S3797" t="s">
        <v>41</v>
      </c>
    </row>
    <row r="3798" spans="1:19" x14ac:dyDescent="0.25">
      <c r="A3798">
        <v>3797</v>
      </c>
      <c r="B3798">
        <v>40</v>
      </c>
      <c r="C3798" t="s">
        <v>153</v>
      </c>
      <c r="D3798" t="s">
        <v>61</v>
      </c>
      <c r="E3798" t="s">
        <v>21</v>
      </c>
      <c r="F3798" s="1">
        <v>81</v>
      </c>
      <c r="G3798" t="s">
        <v>140</v>
      </c>
      <c r="H3798" t="s">
        <v>45</v>
      </c>
      <c r="I3798" t="s">
        <v>93</v>
      </c>
      <c r="J3798" t="s">
        <v>58</v>
      </c>
      <c r="K3798" s="2">
        <v>3.2</v>
      </c>
      <c r="L3798" t="s">
        <v>152</v>
      </c>
      <c r="M3798" t="s">
        <v>27</v>
      </c>
      <c r="N3798" t="s">
        <v>40</v>
      </c>
      <c r="O3798" t="s">
        <v>152</v>
      </c>
      <c r="P3798" t="s">
        <v>152</v>
      </c>
      <c r="Q3798" s="3">
        <v>47</v>
      </c>
      <c r="R3798" t="s">
        <v>34</v>
      </c>
      <c r="S3798" t="s">
        <v>60</v>
      </c>
    </row>
    <row r="3799" spans="1:19" x14ac:dyDescent="0.25">
      <c r="A3799">
        <v>3798</v>
      </c>
      <c r="B3799">
        <v>68</v>
      </c>
      <c r="C3799" t="s">
        <v>153</v>
      </c>
      <c r="D3799" t="s">
        <v>89</v>
      </c>
      <c r="E3799" t="s">
        <v>69</v>
      </c>
      <c r="F3799" s="1">
        <v>44</v>
      </c>
      <c r="G3799" t="s">
        <v>99</v>
      </c>
      <c r="H3799" t="s">
        <v>45</v>
      </c>
      <c r="I3799" t="s">
        <v>24</v>
      </c>
      <c r="J3799" t="s">
        <v>54</v>
      </c>
      <c r="K3799" s="2">
        <v>2.5</v>
      </c>
      <c r="L3799" t="s">
        <v>152</v>
      </c>
      <c r="M3799" t="s">
        <v>29</v>
      </c>
      <c r="N3799" t="s">
        <v>47</v>
      </c>
      <c r="O3799" t="s">
        <v>152</v>
      </c>
      <c r="P3799" t="s">
        <v>152</v>
      </c>
      <c r="Q3799" s="3">
        <v>20</v>
      </c>
      <c r="R3799" t="s">
        <v>35</v>
      </c>
      <c r="S3799" t="s">
        <v>60</v>
      </c>
    </row>
    <row r="3800" spans="1:19" x14ac:dyDescent="0.25">
      <c r="A3800">
        <v>3799</v>
      </c>
      <c r="B3800">
        <v>63</v>
      </c>
      <c r="C3800" t="s">
        <v>153</v>
      </c>
      <c r="D3800" t="s">
        <v>106</v>
      </c>
      <c r="E3800" t="s">
        <v>69</v>
      </c>
      <c r="F3800" s="1">
        <v>72</v>
      </c>
      <c r="G3800" t="s">
        <v>44</v>
      </c>
      <c r="H3800" t="s">
        <v>38</v>
      </c>
      <c r="I3800" t="s">
        <v>110</v>
      </c>
      <c r="J3800" t="s">
        <v>25</v>
      </c>
      <c r="K3800" s="2">
        <v>3.2</v>
      </c>
      <c r="L3800" t="s">
        <v>152</v>
      </c>
      <c r="M3800" t="s">
        <v>27</v>
      </c>
      <c r="N3800" t="s">
        <v>47</v>
      </c>
      <c r="O3800" t="s">
        <v>152</v>
      </c>
      <c r="P3800" t="s">
        <v>152</v>
      </c>
      <c r="Q3800" s="3">
        <v>23</v>
      </c>
      <c r="R3800" t="s">
        <v>27</v>
      </c>
      <c r="S3800" t="s">
        <v>50</v>
      </c>
    </row>
    <row r="3801" spans="1:19" x14ac:dyDescent="0.25">
      <c r="A3801">
        <v>3800</v>
      </c>
      <c r="B3801">
        <v>60</v>
      </c>
      <c r="C3801" t="s">
        <v>153</v>
      </c>
      <c r="D3801" t="s">
        <v>102</v>
      </c>
      <c r="E3801" t="s">
        <v>65</v>
      </c>
      <c r="F3801" s="1">
        <v>26</v>
      </c>
      <c r="G3801" t="s">
        <v>101</v>
      </c>
      <c r="H3801" t="s">
        <v>23</v>
      </c>
      <c r="I3801" t="s">
        <v>84</v>
      </c>
      <c r="J3801" t="s">
        <v>25</v>
      </c>
      <c r="K3801" s="2">
        <v>2.6</v>
      </c>
      <c r="L3801" t="s">
        <v>152</v>
      </c>
      <c r="M3801" t="s">
        <v>46</v>
      </c>
      <c r="N3801" t="s">
        <v>76</v>
      </c>
      <c r="O3801" t="s">
        <v>152</v>
      </c>
      <c r="P3801" t="s">
        <v>152</v>
      </c>
      <c r="Q3801" s="3">
        <v>13</v>
      </c>
      <c r="R3801" t="s">
        <v>27</v>
      </c>
      <c r="S3801" t="s">
        <v>88</v>
      </c>
    </row>
    <row r="3802" spans="1:19" x14ac:dyDescent="0.25">
      <c r="A3802">
        <v>3801</v>
      </c>
      <c r="B3802">
        <v>19</v>
      </c>
      <c r="C3802" t="s">
        <v>153</v>
      </c>
      <c r="D3802" t="s">
        <v>31</v>
      </c>
      <c r="E3802" t="s">
        <v>21</v>
      </c>
      <c r="F3802" s="1">
        <v>26</v>
      </c>
      <c r="G3802" t="s">
        <v>129</v>
      </c>
      <c r="H3802" t="s">
        <v>45</v>
      </c>
      <c r="I3802" t="s">
        <v>49</v>
      </c>
      <c r="J3802" t="s">
        <v>58</v>
      </c>
      <c r="K3802" s="2">
        <v>4.8</v>
      </c>
      <c r="L3802" t="s">
        <v>152</v>
      </c>
      <c r="M3802" t="s">
        <v>29</v>
      </c>
      <c r="N3802" t="s">
        <v>47</v>
      </c>
      <c r="O3802" t="s">
        <v>152</v>
      </c>
      <c r="P3802" t="s">
        <v>152</v>
      </c>
      <c r="Q3802" s="3">
        <v>12</v>
      </c>
      <c r="R3802" t="s">
        <v>29</v>
      </c>
      <c r="S3802" t="s">
        <v>77</v>
      </c>
    </row>
    <row r="3803" spans="1:19" x14ac:dyDescent="0.25">
      <c r="A3803">
        <v>3802</v>
      </c>
      <c r="B3803">
        <v>26</v>
      </c>
      <c r="C3803" t="s">
        <v>153</v>
      </c>
      <c r="D3803" t="s">
        <v>20</v>
      </c>
      <c r="E3803" t="s">
        <v>21</v>
      </c>
      <c r="F3803" s="1">
        <v>84</v>
      </c>
      <c r="G3803" t="s">
        <v>22</v>
      </c>
      <c r="H3803" t="s">
        <v>45</v>
      </c>
      <c r="I3803" t="s">
        <v>100</v>
      </c>
      <c r="J3803" t="s">
        <v>39</v>
      </c>
      <c r="K3803" s="2">
        <v>5</v>
      </c>
      <c r="L3803" t="s">
        <v>152</v>
      </c>
      <c r="M3803" t="s">
        <v>46</v>
      </c>
      <c r="N3803" t="s">
        <v>76</v>
      </c>
      <c r="O3803" t="s">
        <v>152</v>
      </c>
      <c r="P3803" t="s">
        <v>152</v>
      </c>
      <c r="Q3803" s="3">
        <v>36</v>
      </c>
      <c r="R3803" t="s">
        <v>46</v>
      </c>
      <c r="S3803" t="s">
        <v>30</v>
      </c>
    </row>
    <row r="3804" spans="1:19" x14ac:dyDescent="0.25">
      <c r="A3804">
        <v>3803</v>
      </c>
      <c r="B3804">
        <v>70</v>
      </c>
      <c r="C3804" t="s">
        <v>153</v>
      </c>
      <c r="D3804" t="s">
        <v>119</v>
      </c>
      <c r="E3804" t="s">
        <v>69</v>
      </c>
      <c r="F3804" s="1">
        <v>72</v>
      </c>
      <c r="G3804" t="s">
        <v>115</v>
      </c>
      <c r="H3804" t="s">
        <v>38</v>
      </c>
      <c r="I3804" t="s">
        <v>49</v>
      </c>
      <c r="J3804" t="s">
        <v>39</v>
      </c>
      <c r="K3804" s="2">
        <v>3.2</v>
      </c>
      <c r="L3804" t="s">
        <v>152</v>
      </c>
      <c r="M3804" t="s">
        <v>34</v>
      </c>
      <c r="N3804" t="s">
        <v>72</v>
      </c>
      <c r="O3804" t="s">
        <v>152</v>
      </c>
      <c r="P3804" t="s">
        <v>152</v>
      </c>
      <c r="Q3804" s="3">
        <v>1</v>
      </c>
      <c r="R3804" t="s">
        <v>34</v>
      </c>
      <c r="S3804" t="s">
        <v>88</v>
      </c>
    </row>
    <row r="3805" spans="1:19" x14ac:dyDescent="0.25">
      <c r="A3805">
        <v>3804</v>
      </c>
      <c r="B3805">
        <v>48</v>
      </c>
      <c r="C3805" t="s">
        <v>153</v>
      </c>
      <c r="D3805" t="s">
        <v>68</v>
      </c>
      <c r="E3805" t="s">
        <v>69</v>
      </c>
      <c r="F3805" s="1">
        <v>55</v>
      </c>
      <c r="G3805" t="s">
        <v>139</v>
      </c>
      <c r="H3805" t="s">
        <v>45</v>
      </c>
      <c r="I3805" t="s">
        <v>84</v>
      </c>
      <c r="J3805" t="s">
        <v>39</v>
      </c>
      <c r="K3805" s="2">
        <v>3.6</v>
      </c>
      <c r="L3805" t="s">
        <v>152</v>
      </c>
      <c r="M3805" t="s">
        <v>27</v>
      </c>
      <c r="N3805" t="s">
        <v>55</v>
      </c>
      <c r="O3805" t="s">
        <v>152</v>
      </c>
      <c r="P3805" t="s">
        <v>152</v>
      </c>
      <c r="Q3805" s="3">
        <v>14</v>
      </c>
      <c r="R3805" t="s">
        <v>59</v>
      </c>
      <c r="S3805" t="s">
        <v>41</v>
      </c>
    </row>
    <row r="3806" spans="1:19" x14ac:dyDescent="0.25">
      <c r="A3806">
        <v>3805</v>
      </c>
      <c r="B3806">
        <v>37</v>
      </c>
      <c r="C3806" t="s">
        <v>153</v>
      </c>
      <c r="D3806" t="s">
        <v>124</v>
      </c>
      <c r="E3806" t="s">
        <v>69</v>
      </c>
      <c r="F3806" s="1">
        <v>77</v>
      </c>
      <c r="G3806" t="s">
        <v>103</v>
      </c>
      <c r="H3806" t="s">
        <v>45</v>
      </c>
      <c r="I3806" t="s">
        <v>79</v>
      </c>
      <c r="J3806" t="s">
        <v>58</v>
      </c>
      <c r="K3806" s="2">
        <v>2.7</v>
      </c>
      <c r="L3806" t="s">
        <v>152</v>
      </c>
      <c r="M3806" t="s">
        <v>29</v>
      </c>
      <c r="N3806" t="s">
        <v>72</v>
      </c>
      <c r="O3806" t="s">
        <v>152</v>
      </c>
      <c r="P3806" t="s">
        <v>152</v>
      </c>
      <c r="Q3806" s="3">
        <v>45</v>
      </c>
      <c r="R3806" t="s">
        <v>35</v>
      </c>
      <c r="S3806" t="s">
        <v>50</v>
      </c>
    </row>
    <row r="3807" spans="1:19" x14ac:dyDescent="0.25">
      <c r="A3807">
        <v>3806</v>
      </c>
      <c r="B3807">
        <v>48</v>
      </c>
      <c r="C3807" t="s">
        <v>153</v>
      </c>
      <c r="D3807" t="s">
        <v>119</v>
      </c>
      <c r="E3807" t="s">
        <v>69</v>
      </c>
      <c r="F3807" s="1">
        <v>57</v>
      </c>
      <c r="G3807" t="s">
        <v>127</v>
      </c>
      <c r="H3807" t="s">
        <v>45</v>
      </c>
      <c r="I3807" t="s">
        <v>96</v>
      </c>
      <c r="J3807" t="s">
        <v>58</v>
      </c>
      <c r="K3807" s="2">
        <v>3.1</v>
      </c>
      <c r="L3807" t="s">
        <v>152</v>
      </c>
      <c r="M3807" t="s">
        <v>59</v>
      </c>
      <c r="N3807" t="s">
        <v>55</v>
      </c>
      <c r="O3807" t="s">
        <v>152</v>
      </c>
      <c r="P3807" t="s">
        <v>152</v>
      </c>
      <c r="Q3807" s="3">
        <v>31</v>
      </c>
      <c r="R3807" t="s">
        <v>27</v>
      </c>
      <c r="S3807" t="s">
        <v>60</v>
      </c>
    </row>
    <row r="3808" spans="1:19" x14ac:dyDescent="0.25">
      <c r="A3808">
        <v>3807</v>
      </c>
      <c r="B3808">
        <v>18</v>
      </c>
      <c r="C3808" t="s">
        <v>153</v>
      </c>
      <c r="D3808" t="s">
        <v>137</v>
      </c>
      <c r="E3808" t="s">
        <v>43</v>
      </c>
      <c r="F3808" s="1">
        <v>71</v>
      </c>
      <c r="G3808" t="s">
        <v>70</v>
      </c>
      <c r="H3808" t="s">
        <v>45</v>
      </c>
      <c r="I3808" t="s">
        <v>86</v>
      </c>
      <c r="J3808" t="s">
        <v>39</v>
      </c>
      <c r="K3808" s="2">
        <v>3</v>
      </c>
      <c r="L3808" t="s">
        <v>152</v>
      </c>
      <c r="M3808" t="s">
        <v>35</v>
      </c>
      <c r="N3808" t="s">
        <v>55</v>
      </c>
      <c r="O3808" t="s">
        <v>152</v>
      </c>
      <c r="P3808" t="s">
        <v>152</v>
      </c>
      <c r="Q3808" s="3">
        <v>41</v>
      </c>
      <c r="R3808" t="s">
        <v>46</v>
      </c>
      <c r="S3808" t="s">
        <v>41</v>
      </c>
    </row>
    <row r="3809" spans="1:19" x14ac:dyDescent="0.25">
      <c r="A3809">
        <v>3808</v>
      </c>
      <c r="B3809">
        <v>38</v>
      </c>
      <c r="C3809" t="s">
        <v>153</v>
      </c>
      <c r="D3809" t="s">
        <v>20</v>
      </c>
      <c r="E3809" t="s">
        <v>21</v>
      </c>
      <c r="F3809" s="1">
        <v>39</v>
      </c>
      <c r="G3809" t="s">
        <v>151</v>
      </c>
      <c r="H3809" t="s">
        <v>23</v>
      </c>
      <c r="I3809" t="s">
        <v>100</v>
      </c>
      <c r="J3809" t="s">
        <v>39</v>
      </c>
      <c r="K3809" s="2">
        <v>2.9</v>
      </c>
      <c r="L3809" t="s">
        <v>152</v>
      </c>
      <c r="M3809" t="s">
        <v>46</v>
      </c>
      <c r="N3809" t="s">
        <v>47</v>
      </c>
      <c r="O3809" t="s">
        <v>152</v>
      </c>
      <c r="P3809" t="s">
        <v>152</v>
      </c>
      <c r="Q3809" s="3">
        <v>36</v>
      </c>
      <c r="R3809" t="s">
        <v>46</v>
      </c>
      <c r="S3809" t="s">
        <v>50</v>
      </c>
    </row>
    <row r="3810" spans="1:19" x14ac:dyDescent="0.25">
      <c r="A3810">
        <v>3809</v>
      </c>
      <c r="B3810">
        <v>33</v>
      </c>
      <c r="C3810" t="s">
        <v>153</v>
      </c>
      <c r="D3810" t="s">
        <v>125</v>
      </c>
      <c r="E3810" t="s">
        <v>21</v>
      </c>
      <c r="F3810" s="1">
        <v>28</v>
      </c>
      <c r="G3810" t="s">
        <v>149</v>
      </c>
      <c r="H3810" t="s">
        <v>45</v>
      </c>
      <c r="I3810" t="s">
        <v>71</v>
      </c>
      <c r="J3810" t="s">
        <v>25</v>
      </c>
      <c r="K3810" s="2">
        <v>4.7</v>
      </c>
      <c r="L3810" t="s">
        <v>152</v>
      </c>
      <c r="M3810" t="s">
        <v>29</v>
      </c>
      <c r="N3810" t="s">
        <v>28</v>
      </c>
      <c r="O3810" t="s">
        <v>152</v>
      </c>
      <c r="P3810" t="s">
        <v>152</v>
      </c>
      <c r="Q3810" s="3">
        <v>6</v>
      </c>
      <c r="R3810" t="s">
        <v>59</v>
      </c>
      <c r="S3810" t="s">
        <v>77</v>
      </c>
    </row>
    <row r="3811" spans="1:19" x14ac:dyDescent="0.25">
      <c r="A3811">
        <v>3810</v>
      </c>
      <c r="B3811">
        <v>57</v>
      </c>
      <c r="C3811" t="s">
        <v>153</v>
      </c>
      <c r="D3811" t="s">
        <v>73</v>
      </c>
      <c r="E3811" t="s">
        <v>43</v>
      </c>
      <c r="F3811" s="1">
        <v>33</v>
      </c>
      <c r="G3811" t="s">
        <v>85</v>
      </c>
      <c r="H3811" t="s">
        <v>38</v>
      </c>
      <c r="I3811" t="s">
        <v>33</v>
      </c>
      <c r="J3811" t="s">
        <v>25</v>
      </c>
      <c r="K3811" s="2">
        <v>3.7</v>
      </c>
      <c r="L3811" t="s">
        <v>152</v>
      </c>
      <c r="M3811" t="s">
        <v>34</v>
      </c>
      <c r="N3811" t="s">
        <v>55</v>
      </c>
      <c r="O3811" t="s">
        <v>152</v>
      </c>
      <c r="P3811" t="s">
        <v>152</v>
      </c>
      <c r="Q3811" s="3">
        <v>28</v>
      </c>
      <c r="R3811" t="s">
        <v>27</v>
      </c>
      <c r="S3811" t="s">
        <v>50</v>
      </c>
    </row>
    <row r="3812" spans="1:19" x14ac:dyDescent="0.25">
      <c r="A3812">
        <v>3811</v>
      </c>
      <c r="B3812">
        <v>46</v>
      </c>
      <c r="C3812" t="s">
        <v>153</v>
      </c>
      <c r="D3812" t="s">
        <v>87</v>
      </c>
      <c r="E3812" t="s">
        <v>21</v>
      </c>
      <c r="F3812" s="1">
        <v>79</v>
      </c>
      <c r="G3812" t="s">
        <v>150</v>
      </c>
      <c r="H3812" t="s">
        <v>23</v>
      </c>
      <c r="I3812" t="s">
        <v>100</v>
      </c>
      <c r="J3812" t="s">
        <v>58</v>
      </c>
      <c r="K3812" s="2">
        <v>3.9</v>
      </c>
      <c r="L3812" t="s">
        <v>152</v>
      </c>
      <c r="M3812" t="s">
        <v>59</v>
      </c>
      <c r="N3812" t="s">
        <v>40</v>
      </c>
      <c r="O3812" t="s">
        <v>152</v>
      </c>
      <c r="P3812" t="s">
        <v>152</v>
      </c>
      <c r="Q3812" s="3">
        <v>29</v>
      </c>
      <c r="R3812" t="s">
        <v>29</v>
      </c>
      <c r="S3812" t="s">
        <v>88</v>
      </c>
    </row>
    <row r="3813" spans="1:19" x14ac:dyDescent="0.25">
      <c r="A3813">
        <v>3812</v>
      </c>
      <c r="B3813">
        <v>46</v>
      </c>
      <c r="C3813" t="s">
        <v>153</v>
      </c>
      <c r="D3813" t="s">
        <v>133</v>
      </c>
      <c r="E3813" t="s">
        <v>69</v>
      </c>
      <c r="F3813" s="1">
        <v>30</v>
      </c>
      <c r="G3813" t="s">
        <v>135</v>
      </c>
      <c r="H3813" t="s">
        <v>45</v>
      </c>
      <c r="I3813" t="s">
        <v>33</v>
      </c>
      <c r="J3813" t="s">
        <v>25</v>
      </c>
      <c r="K3813" s="2">
        <v>4</v>
      </c>
      <c r="L3813" t="s">
        <v>152</v>
      </c>
      <c r="M3813" t="s">
        <v>29</v>
      </c>
      <c r="N3813" t="s">
        <v>55</v>
      </c>
      <c r="O3813" t="s">
        <v>152</v>
      </c>
      <c r="P3813" t="s">
        <v>152</v>
      </c>
      <c r="Q3813" s="3">
        <v>14</v>
      </c>
      <c r="R3813" t="s">
        <v>35</v>
      </c>
      <c r="S3813" t="s">
        <v>88</v>
      </c>
    </row>
    <row r="3814" spans="1:19" x14ac:dyDescent="0.25">
      <c r="A3814">
        <v>3813</v>
      </c>
      <c r="B3814">
        <v>50</v>
      </c>
      <c r="C3814" t="s">
        <v>153</v>
      </c>
      <c r="D3814" t="s">
        <v>87</v>
      </c>
      <c r="E3814" t="s">
        <v>21</v>
      </c>
      <c r="F3814" s="1">
        <v>75</v>
      </c>
      <c r="G3814" t="s">
        <v>151</v>
      </c>
      <c r="H3814" t="s">
        <v>45</v>
      </c>
      <c r="I3814" t="s">
        <v>71</v>
      </c>
      <c r="J3814" t="s">
        <v>39</v>
      </c>
      <c r="K3814" s="2">
        <v>2.8</v>
      </c>
      <c r="L3814" t="s">
        <v>152</v>
      </c>
      <c r="M3814" t="s">
        <v>46</v>
      </c>
      <c r="N3814" t="s">
        <v>47</v>
      </c>
      <c r="O3814" t="s">
        <v>152</v>
      </c>
      <c r="P3814" t="s">
        <v>152</v>
      </c>
      <c r="Q3814" s="3">
        <v>7</v>
      </c>
      <c r="R3814" t="s">
        <v>34</v>
      </c>
      <c r="S3814" t="s">
        <v>97</v>
      </c>
    </row>
    <row r="3815" spans="1:19" x14ac:dyDescent="0.25">
      <c r="A3815">
        <v>3814</v>
      </c>
      <c r="B3815">
        <v>61</v>
      </c>
      <c r="C3815" t="s">
        <v>153</v>
      </c>
      <c r="D3815" t="s">
        <v>95</v>
      </c>
      <c r="E3815" t="s">
        <v>21</v>
      </c>
      <c r="F3815" s="1">
        <v>89</v>
      </c>
      <c r="G3815" t="s">
        <v>142</v>
      </c>
      <c r="H3815" t="s">
        <v>45</v>
      </c>
      <c r="I3815" t="s">
        <v>121</v>
      </c>
      <c r="J3815" t="s">
        <v>54</v>
      </c>
      <c r="K3815" s="2">
        <v>4.0999999999999996</v>
      </c>
      <c r="L3815" t="s">
        <v>152</v>
      </c>
      <c r="M3815" t="s">
        <v>27</v>
      </c>
      <c r="N3815" t="s">
        <v>28</v>
      </c>
      <c r="O3815" t="s">
        <v>152</v>
      </c>
      <c r="P3815" t="s">
        <v>152</v>
      </c>
      <c r="Q3815" s="3">
        <v>31</v>
      </c>
      <c r="R3815" t="s">
        <v>29</v>
      </c>
      <c r="S3815" t="s">
        <v>77</v>
      </c>
    </row>
    <row r="3816" spans="1:19" x14ac:dyDescent="0.25">
      <c r="A3816">
        <v>3815</v>
      </c>
      <c r="B3816">
        <v>45</v>
      </c>
      <c r="C3816" t="s">
        <v>153</v>
      </c>
      <c r="D3816" t="s">
        <v>82</v>
      </c>
      <c r="E3816" t="s">
        <v>21</v>
      </c>
      <c r="F3816" s="1">
        <v>95</v>
      </c>
      <c r="G3816" t="s">
        <v>151</v>
      </c>
      <c r="H3816" t="s">
        <v>45</v>
      </c>
      <c r="I3816" t="s">
        <v>121</v>
      </c>
      <c r="J3816" t="s">
        <v>25</v>
      </c>
      <c r="K3816" s="2">
        <v>4.2</v>
      </c>
      <c r="L3816" t="s">
        <v>152</v>
      </c>
      <c r="M3816" t="s">
        <v>27</v>
      </c>
      <c r="N3816" t="s">
        <v>40</v>
      </c>
      <c r="O3816" t="s">
        <v>152</v>
      </c>
      <c r="P3816" t="s">
        <v>152</v>
      </c>
      <c r="Q3816" s="3">
        <v>26</v>
      </c>
      <c r="R3816" t="s">
        <v>34</v>
      </c>
      <c r="S3816" t="s">
        <v>97</v>
      </c>
    </row>
    <row r="3817" spans="1:19" x14ac:dyDescent="0.25">
      <c r="A3817">
        <v>3816</v>
      </c>
      <c r="B3817">
        <v>32</v>
      </c>
      <c r="C3817" t="s">
        <v>153</v>
      </c>
      <c r="D3817" t="s">
        <v>124</v>
      </c>
      <c r="E3817" t="s">
        <v>69</v>
      </c>
      <c r="F3817" s="1">
        <v>44</v>
      </c>
      <c r="G3817" t="s">
        <v>32</v>
      </c>
      <c r="H3817" t="s">
        <v>45</v>
      </c>
      <c r="I3817" t="s">
        <v>110</v>
      </c>
      <c r="J3817" t="s">
        <v>58</v>
      </c>
      <c r="K3817" s="2">
        <v>4.3</v>
      </c>
      <c r="L3817" t="s">
        <v>152</v>
      </c>
      <c r="M3817" t="s">
        <v>29</v>
      </c>
      <c r="N3817" t="s">
        <v>28</v>
      </c>
      <c r="O3817" t="s">
        <v>152</v>
      </c>
      <c r="P3817" t="s">
        <v>152</v>
      </c>
      <c r="Q3817" s="3">
        <v>12</v>
      </c>
      <c r="R3817" t="s">
        <v>29</v>
      </c>
      <c r="S3817" t="s">
        <v>30</v>
      </c>
    </row>
    <row r="3818" spans="1:19" x14ac:dyDescent="0.25">
      <c r="A3818">
        <v>3817</v>
      </c>
      <c r="B3818">
        <v>29</v>
      </c>
      <c r="C3818" t="s">
        <v>153</v>
      </c>
      <c r="D3818" t="s">
        <v>64</v>
      </c>
      <c r="E3818" t="s">
        <v>65</v>
      </c>
      <c r="F3818" s="1">
        <v>86</v>
      </c>
      <c r="G3818" t="s">
        <v>128</v>
      </c>
      <c r="H3818" t="s">
        <v>38</v>
      </c>
      <c r="I3818" t="s">
        <v>67</v>
      </c>
      <c r="J3818" t="s">
        <v>54</v>
      </c>
      <c r="K3818" s="2">
        <v>4.3</v>
      </c>
      <c r="L3818" t="s">
        <v>152</v>
      </c>
      <c r="M3818" t="s">
        <v>59</v>
      </c>
      <c r="N3818" t="s">
        <v>76</v>
      </c>
      <c r="O3818" t="s">
        <v>152</v>
      </c>
      <c r="P3818" t="s">
        <v>152</v>
      </c>
      <c r="Q3818" s="3">
        <v>45</v>
      </c>
      <c r="R3818" t="s">
        <v>27</v>
      </c>
      <c r="S3818" t="s">
        <v>30</v>
      </c>
    </row>
    <row r="3819" spans="1:19" x14ac:dyDescent="0.25">
      <c r="A3819">
        <v>3818</v>
      </c>
      <c r="B3819">
        <v>66</v>
      </c>
      <c r="C3819" t="s">
        <v>153</v>
      </c>
      <c r="D3819" t="s">
        <v>119</v>
      </c>
      <c r="E3819" t="s">
        <v>69</v>
      </c>
      <c r="F3819" s="1">
        <v>91</v>
      </c>
      <c r="G3819" t="s">
        <v>70</v>
      </c>
      <c r="H3819" t="s">
        <v>45</v>
      </c>
      <c r="I3819" t="s">
        <v>136</v>
      </c>
      <c r="J3819" t="s">
        <v>58</v>
      </c>
      <c r="K3819" s="2">
        <v>2.6</v>
      </c>
      <c r="L3819" t="s">
        <v>152</v>
      </c>
      <c r="M3819" t="s">
        <v>59</v>
      </c>
      <c r="N3819" t="s">
        <v>28</v>
      </c>
      <c r="O3819" t="s">
        <v>152</v>
      </c>
      <c r="P3819" t="s">
        <v>152</v>
      </c>
      <c r="Q3819" s="3">
        <v>40</v>
      </c>
      <c r="R3819" t="s">
        <v>46</v>
      </c>
      <c r="S3819" t="s">
        <v>50</v>
      </c>
    </row>
    <row r="3820" spans="1:19" x14ac:dyDescent="0.25">
      <c r="A3820">
        <v>3819</v>
      </c>
      <c r="B3820">
        <v>70</v>
      </c>
      <c r="C3820" t="s">
        <v>153</v>
      </c>
      <c r="D3820" t="s">
        <v>51</v>
      </c>
      <c r="E3820" t="s">
        <v>43</v>
      </c>
      <c r="F3820" s="1">
        <v>41</v>
      </c>
      <c r="G3820" t="s">
        <v>48</v>
      </c>
      <c r="H3820" t="s">
        <v>92</v>
      </c>
      <c r="I3820" t="s">
        <v>126</v>
      </c>
      <c r="J3820" t="s">
        <v>25</v>
      </c>
      <c r="K3820" s="2">
        <v>3.8</v>
      </c>
      <c r="L3820" t="s">
        <v>152</v>
      </c>
      <c r="M3820" t="s">
        <v>27</v>
      </c>
      <c r="N3820" t="s">
        <v>40</v>
      </c>
      <c r="O3820" t="s">
        <v>152</v>
      </c>
      <c r="P3820" t="s">
        <v>152</v>
      </c>
      <c r="Q3820" s="3">
        <v>42</v>
      </c>
      <c r="R3820" t="s">
        <v>35</v>
      </c>
      <c r="S3820" t="s">
        <v>88</v>
      </c>
    </row>
    <row r="3821" spans="1:19" x14ac:dyDescent="0.25">
      <c r="A3821">
        <v>3820</v>
      </c>
      <c r="B3821">
        <v>36</v>
      </c>
      <c r="C3821" t="s">
        <v>153</v>
      </c>
      <c r="D3821" t="s">
        <v>95</v>
      </c>
      <c r="E3821" t="s">
        <v>21</v>
      </c>
      <c r="F3821" s="1">
        <v>99</v>
      </c>
      <c r="G3821" t="s">
        <v>74</v>
      </c>
      <c r="H3821" t="s">
        <v>38</v>
      </c>
      <c r="I3821" t="s">
        <v>81</v>
      </c>
      <c r="J3821" t="s">
        <v>39</v>
      </c>
      <c r="K3821" s="2">
        <v>2.9</v>
      </c>
      <c r="L3821" t="s">
        <v>152</v>
      </c>
      <c r="M3821" t="s">
        <v>46</v>
      </c>
      <c r="N3821" t="s">
        <v>28</v>
      </c>
      <c r="O3821" t="s">
        <v>152</v>
      </c>
      <c r="P3821" t="s">
        <v>152</v>
      </c>
      <c r="Q3821" s="3">
        <v>45</v>
      </c>
      <c r="R3821" t="s">
        <v>35</v>
      </c>
      <c r="S3821" t="s">
        <v>60</v>
      </c>
    </row>
    <row r="3822" spans="1:19" x14ac:dyDescent="0.25">
      <c r="A3822">
        <v>3821</v>
      </c>
      <c r="B3822">
        <v>34</v>
      </c>
      <c r="C3822" t="s">
        <v>153</v>
      </c>
      <c r="D3822" t="s">
        <v>133</v>
      </c>
      <c r="E3822" t="s">
        <v>69</v>
      </c>
      <c r="F3822" s="1">
        <v>65</v>
      </c>
      <c r="G3822" t="s">
        <v>83</v>
      </c>
      <c r="H3822" t="s">
        <v>45</v>
      </c>
      <c r="I3822" t="s">
        <v>75</v>
      </c>
      <c r="J3822" t="s">
        <v>25</v>
      </c>
      <c r="K3822" s="2">
        <v>5</v>
      </c>
      <c r="L3822" t="s">
        <v>152</v>
      </c>
      <c r="M3822" t="s">
        <v>27</v>
      </c>
      <c r="N3822" t="s">
        <v>55</v>
      </c>
      <c r="O3822" t="s">
        <v>152</v>
      </c>
      <c r="P3822" t="s">
        <v>152</v>
      </c>
      <c r="Q3822" s="3">
        <v>34</v>
      </c>
      <c r="R3822" t="s">
        <v>59</v>
      </c>
      <c r="S3822" t="s">
        <v>60</v>
      </c>
    </row>
    <row r="3823" spans="1:19" x14ac:dyDescent="0.25">
      <c r="A3823">
        <v>3822</v>
      </c>
      <c r="B3823">
        <v>20</v>
      </c>
      <c r="C3823" t="s">
        <v>153</v>
      </c>
      <c r="D3823" t="s">
        <v>51</v>
      </c>
      <c r="E3823" t="s">
        <v>43</v>
      </c>
      <c r="F3823" s="1">
        <v>48</v>
      </c>
      <c r="G3823" t="s">
        <v>48</v>
      </c>
      <c r="H3823" t="s">
        <v>45</v>
      </c>
      <c r="I3823" t="s">
        <v>81</v>
      </c>
      <c r="J3823" t="s">
        <v>54</v>
      </c>
      <c r="K3823" s="2">
        <v>4.5999999999999996</v>
      </c>
      <c r="L3823" t="s">
        <v>152</v>
      </c>
      <c r="M3823" t="s">
        <v>46</v>
      </c>
      <c r="N3823" t="s">
        <v>40</v>
      </c>
      <c r="O3823" t="s">
        <v>152</v>
      </c>
      <c r="P3823" t="s">
        <v>152</v>
      </c>
      <c r="Q3823" s="3">
        <v>34</v>
      </c>
      <c r="R3823" t="s">
        <v>27</v>
      </c>
      <c r="S3823" t="s">
        <v>97</v>
      </c>
    </row>
    <row r="3824" spans="1:19" x14ac:dyDescent="0.25">
      <c r="A3824">
        <v>3823</v>
      </c>
      <c r="B3824">
        <v>70</v>
      </c>
      <c r="C3824" t="s">
        <v>153</v>
      </c>
      <c r="D3824" t="s">
        <v>124</v>
      </c>
      <c r="E3824" t="s">
        <v>69</v>
      </c>
      <c r="F3824" s="1">
        <v>41</v>
      </c>
      <c r="G3824" t="s">
        <v>111</v>
      </c>
      <c r="H3824" t="s">
        <v>38</v>
      </c>
      <c r="I3824" t="s">
        <v>81</v>
      </c>
      <c r="J3824" t="s">
        <v>39</v>
      </c>
      <c r="K3824" s="2">
        <v>3.2</v>
      </c>
      <c r="L3824" t="s">
        <v>152</v>
      </c>
      <c r="M3824" t="s">
        <v>35</v>
      </c>
      <c r="N3824" t="s">
        <v>40</v>
      </c>
      <c r="O3824" t="s">
        <v>152</v>
      </c>
      <c r="P3824" t="s">
        <v>152</v>
      </c>
      <c r="Q3824" s="3">
        <v>17</v>
      </c>
      <c r="R3824" t="s">
        <v>46</v>
      </c>
      <c r="S3824" t="s">
        <v>97</v>
      </c>
    </row>
    <row r="3825" spans="1:19" x14ac:dyDescent="0.25">
      <c r="A3825">
        <v>3824</v>
      </c>
      <c r="B3825">
        <v>50</v>
      </c>
      <c r="C3825" t="s">
        <v>153</v>
      </c>
      <c r="D3825" t="s">
        <v>56</v>
      </c>
      <c r="E3825" t="s">
        <v>21</v>
      </c>
      <c r="F3825" s="1">
        <v>42</v>
      </c>
      <c r="G3825" t="s">
        <v>99</v>
      </c>
      <c r="H3825" t="s">
        <v>45</v>
      </c>
      <c r="I3825" t="s">
        <v>81</v>
      </c>
      <c r="J3825" t="s">
        <v>54</v>
      </c>
      <c r="K3825" s="2">
        <v>3</v>
      </c>
      <c r="L3825" t="s">
        <v>152</v>
      </c>
      <c r="M3825" t="s">
        <v>34</v>
      </c>
      <c r="N3825" t="s">
        <v>55</v>
      </c>
      <c r="O3825" t="s">
        <v>152</v>
      </c>
      <c r="P3825" t="s">
        <v>152</v>
      </c>
      <c r="Q3825" s="3">
        <v>27</v>
      </c>
      <c r="R3825" t="s">
        <v>34</v>
      </c>
      <c r="S3825" t="s">
        <v>41</v>
      </c>
    </row>
    <row r="3826" spans="1:19" x14ac:dyDescent="0.25">
      <c r="A3826">
        <v>3825</v>
      </c>
      <c r="B3826">
        <v>54</v>
      </c>
      <c r="C3826" t="s">
        <v>153</v>
      </c>
      <c r="D3826" t="s">
        <v>61</v>
      </c>
      <c r="E3826" t="s">
        <v>21</v>
      </c>
      <c r="F3826" s="1">
        <v>26</v>
      </c>
      <c r="G3826" t="s">
        <v>142</v>
      </c>
      <c r="H3826" t="s">
        <v>45</v>
      </c>
      <c r="I3826" t="s">
        <v>79</v>
      </c>
      <c r="J3826" t="s">
        <v>54</v>
      </c>
      <c r="K3826" s="2">
        <v>4</v>
      </c>
      <c r="L3826" t="s">
        <v>152</v>
      </c>
      <c r="M3826" t="s">
        <v>27</v>
      </c>
      <c r="N3826" t="s">
        <v>40</v>
      </c>
      <c r="O3826" t="s">
        <v>152</v>
      </c>
      <c r="P3826" t="s">
        <v>152</v>
      </c>
      <c r="Q3826" s="3">
        <v>31</v>
      </c>
      <c r="R3826" t="s">
        <v>27</v>
      </c>
      <c r="S3826" t="s">
        <v>60</v>
      </c>
    </row>
    <row r="3827" spans="1:19" x14ac:dyDescent="0.25">
      <c r="A3827">
        <v>3826</v>
      </c>
      <c r="B3827">
        <v>49</v>
      </c>
      <c r="C3827" t="s">
        <v>153</v>
      </c>
      <c r="D3827" t="s">
        <v>61</v>
      </c>
      <c r="E3827" t="s">
        <v>21</v>
      </c>
      <c r="F3827" s="1">
        <v>35</v>
      </c>
      <c r="G3827" t="s">
        <v>78</v>
      </c>
      <c r="H3827" t="s">
        <v>23</v>
      </c>
      <c r="I3827" t="s">
        <v>96</v>
      </c>
      <c r="J3827" t="s">
        <v>58</v>
      </c>
      <c r="K3827" s="2">
        <v>4.0999999999999996</v>
      </c>
      <c r="L3827" t="s">
        <v>152</v>
      </c>
      <c r="M3827" t="s">
        <v>34</v>
      </c>
      <c r="N3827" t="s">
        <v>28</v>
      </c>
      <c r="O3827" t="s">
        <v>152</v>
      </c>
      <c r="P3827" t="s">
        <v>152</v>
      </c>
      <c r="Q3827" s="3">
        <v>47</v>
      </c>
      <c r="R3827" t="s">
        <v>59</v>
      </c>
      <c r="S3827" t="s">
        <v>30</v>
      </c>
    </row>
    <row r="3828" spans="1:19" x14ac:dyDescent="0.25">
      <c r="A3828">
        <v>3827</v>
      </c>
      <c r="B3828">
        <v>50</v>
      </c>
      <c r="C3828" t="s">
        <v>153</v>
      </c>
      <c r="D3828" t="s">
        <v>102</v>
      </c>
      <c r="E3828" t="s">
        <v>65</v>
      </c>
      <c r="F3828" s="1">
        <v>31</v>
      </c>
      <c r="G3828" t="s">
        <v>57</v>
      </c>
      <c r="H3828" t="s">
        <v>45</v>
      </c>
      <c r="I3828" t="s">
        <v>24</v>
      </c>
      <c r="J3828" t="s">
        <v>54</v>
      </c>
      <c r="K3828" s="2">
        <v>4</v>
      </c>
      <c r="L3828" t="s">
        <v>152</v>
      </c>
      <c r="M3828" t="s">
        <v>34</v>
      </c>
      <c r="N3828" t="s">
        <v>28</v>
      </c>
      <c r="O3828" t="s">
        <v>152</v>
      </c>
      <c r="P3828" t="s">
        <v>152</v>
      </c>
      <c r="Q3828" s="3">
        <v>25</v>
      </c>
      <c r="R3828" t="s">
        <v>34</v>
      </c>
      <c r="S3828" t="s">
        <v>50</v>
      </c>
    </row>
    <row r="3829" spans="1:19" x14ac:dyDescent="0.25">
      <c r="A3829">
        <v>3828</v>
      </c>
      <c r="B3829">
        <v>62</v>
      </c>
      <c r="C3829" t="s">
        <v>153</v>
      </c>
      <c r="D3829" t="s">
        <v>106</v>
      </c>
      <c r="E3829" t="s">
        <v>69</v>
      </c>
      <c r="F3829" s="1">
        <v>73</v>
      </c>
      <c r="G3829" t="s">
        <v>57</v>
      </c>
      <c r="H3829" t="s">
        <v>45</v>
      </c>
      <c r="I3829" t="s">
        <v>108</v>
      </c>
      <c r="J3829" t="s">
        <v>54</v>
      </c>
      <c r="K3829" s="2">
        <v>4.0999999999999996</v>
      </c>
      <c r="L3829" t="s">
        <v>152</v>
      </c>
      <c r="M3829" t="s">
        <v>35</v>
      </c>
      <c r="N3829" t="s">
        <v>55</v>
      </c>
      <c r="O3829" t="s">
        <v>152</v>
      </c>
      <c r="P3829" t="s">
        <v>152</v>
      </c>
      <c r="Q3829" s="3">
        <v>47</v>
      </c>
      <c r="R3829" t="s">
        <v>35</v>
      </c>
      <c r="S3829" t="s">
        <v>30</v>
      </c>
    </row>
    <row r="3830" spans="1:19" x14ac:dyDescent="0.25">
      <c r="A3830">
        <v>3829</v>
      </c>
      <c r="B3830">
        <v>42</v>
      </c>
      <c r="C3830" t="s">
        <v>153</v>
      </c>
      <c r="D3830" t="s">
        <v>20</v>
      </c>
      <c r="E3830" t="s">
        <v>21</v>
      </c>
      <c r="F3830" s="1">
        <v>82</v>
      </c>
      <c r="G3830" t="s">
        <v>91</v>
      </c>
      <c r="H3830" t="s">
        <v>45</v>
      </c>
      <c r="I3830" t="s">
        <v>63</v>
      </c>
      <c r="J3830" t="s">
        <v>39</v>
      </c>
      <c r="K3830" s="2">
        <v>3.4</v>
      </c>
      <c r="L3830" t="s">
        <v>152</v>
      </c>
      <c r="M3830" t="s">
        <v>29</v>
      </c>
      <c r="N3830" t="s">
        <v>40</v>
      </c>
      <c r="O3830" t="s">
        <v>152</v>
      </c>
      <c r="P3830" t="s">
        <v>152</v>
      </c>
      <c r="Q3830" s="3">
        <v>8</v>
      </c>
      <c r="R3830" t="s">
        <v>35</v>
      </c>
      <c r="S3830" t="s">
        <v>41</v>
      </c>
    </row>
    <row r="3831" spans="1:19" x14ac:dyDescent="0.25">
      <c r="A3831">
        <v>3830</v>
      </c>
      <c r="B3831">
        <v>69</v>
      </c>
      <c r="C3831" t="s">
        <v>153</v>
      </c>
      <c r="D3831" t="s">
        <v>95</v>
      </c>
      <c r="E3831" t="s">
        <v>21</v>
      </c>
      <c r="F3831" s="1">
        <v>32</v>
      </c>
      <c r="G3831" t="s">
        <v>149</v>
      </c>
      <c r="H3831" t="s">
        <v>45</v>
      </c>
      <c r="I3831" t="s">
        <v>126</v>
      </c>
      <c r="J3831" t="s">
        <v>39</v>
      </c>
      <c r="K3831" s="2">
        <v>2.9</v>
      </c>
      <c r="L3831" t="s">
        <v>152</v>
      </c>
      <c r="M3831" t="s">
        <v>27</v>
      </c>
      <c r="N3831" t="s">
        <v>40</v>
      </c>
      <c r="O3831" t="s">
        <v>152</v>
      </c>
      <c r="P3831" t="s">
        <v>152</v>
      </c>
      <c r="Q3831" s="3">
        <v>32</v>
      </c>
      <c r="R3831" t="s">
        <v>59</v>
      </c>
      <c r="S3831" t="s">
        <v>30</v>
      </c>
    </row>
    <row r="3832" spans="1:19" x14ac:dyDescent="0.25">
      <c r="A3832">
        <v>3831</v>
      </c>
      <c r="B3832">
        <v>22</v>
      </c>
      <c r="C3832" t="s">
        <v>153</v>
      </c>
      <c r="D3832" t="s">
        <v>124</v>
      </c>
      <c r="E3832" t="s">
        <v>69</v>
      </c>
      <c r="F3832" s="1">
        <v>27</v>
      </c>
      <c r="G3832" t="s">
        <v>138</v>
      </c>
      <c r="H3832" t="s">
        <v>45</v>
      </c>
      <c r="I3832" t="s">
        <v>126</v>
      </c>
      <c r="J3832" t="s">
        <v>54</v>
      </c>
      <c r="K3832" s="2">
        <v>3</v>
      </c>
      <c r="L3832" t="s">
        <v>152</v>
      </c>
      <c r="M3832" t="s">
        <v>46</v>
      </c>
      <c r="N3832" t="s">
        <v>72</v>
      </c>
      <c r="O3832" t="s">
        <v>152</v>
      </c>
      <c r="P3832" t="s">
        <v>152</v>
      </c>
      <c r="Q3832" s="3">
        <v>33</v>
      </c>
      <c r="R3832" t="s">
        <v>34</v>
      </c>
      <c r="S3832" t="s">
        <v>97</v>
      </c>
    </row>
    <row r="3833" spans="1:19" x14ac:dyDescent="0.25">
      <c r="A3833">
        <v>3832</v>
      </c>
      <c r="B3833">
        <v>36</v>
      </c>
      <c r="C3833" t="s">
        <v>153</v>
      </c>
      <c r="D3833" t="s">
        <v>132</v>
      </c>
      <c r="E3833" t="s">
        <v>69</v>
      </c>
      <c r="F3833" s="1">
        <v>86</v>
      </c>
      <c r="G3833" t="s">
        <v>107</v>
      </c>
      <c r="H3833" t="s">
        <v>23</v>
      </c>
      <c r="I3833" t="s">
        <v>67</v>
      </c>
      <c r="J3833" t="s">
        <v>39</v>
      </c>
      <c r="K3833" s="2">
        <v>4</v>
      </c>
      <c r="L3833" t="s">
        <v>152</v>
      </c>
      <c r="M3833" t="s">
        <v>29</v>
      </c>
      <c r="N3833" t="s">
        <v>47</v>
      </c>
      <c r="O3833" t="s">
        <v>152</v>
      </c>
      <c r="P3833" t="s">
        <v>152</v>
      </c>
      <c r="Q3833" s="3">
        <v>16</v>
      </c>
      <c r="R3833" t="s">
        <v>59</v>
      </c>
      <c r="S3833" t="s">
        <v>97</v>
      </c>
    </row>
    <row r="3834" spans="1:19" x14ac:dyDescent="0.25">
      <c r="A3834">
        <v>3833</v>
      </c>
      <c r="B3834">
        <v>64</v>
      </c>
      <c r="C3834" t="s">
        <v>153</v>
      </c>
      <c r="D3834" t="s">
        <v>137</v>
      </c>
      <c r="E3834" t="s">
        <v>43</v>
      </c>
      <c r="F3834" s="1">
        <v>38</v>
      </c>
      <c r="G3834" t="s">
        <v>111</v>
      </c>
      <c r="H3834" t="s">
        <v>92</v>
      </c>
      <c r="I3834" t="s">
        <v>75</v>
      </c>
      <c r="J3834" t="s">
        <v>25</v>
      </c>
      <c r="K3834" s="2">
        <v>4.8</v>
      </c>
      <c r="L3834" t="s">
        <v>152</v>
      </c>
      <c r="M3834" t="s">
        <v>46</v>
      </c>
      <c r="N3834" t="s">
        <v>72</v>
      </c>
      <c r="O3834" t="s">
        <v>152</v>
      </c>
      <c r="P3834" t="s">
        <v>152</v>
      </c>
      <c r="Q3834" s="3">
        <v>27</v>
      </c>
      <c r="R3834" t="s">
        <v>35</v>
      </c>
      <c r="S3834" t="s">
        <v>41</v>
      </c>
    </row>
    <row r="3835" spans="1:19" x14ac:dyDescent="0.25">
      <c r="A3835">
        <v>3834</v>
      </c>
      <c r="B3835">
        <v>44</v>
      </c>
      <c r="C3835" t="s">
        <v>153</v>
      </c>
      <c r="D3835" t="s">
        <v>102</v>
      </c>
      <c r="E3835" t="s">
        <v>65</v>
      </c>
      <c r="F3835" s="1">
        <v>93</v>
      </c>
      <c r="G3835" t="s">
        <v>117</v>
      </c>
      <c r="H3835" t="s">
        <v>23</v>
      </c>
      <c r="I3835" t="s">
        <v>24</v>
      </c>
      <c r="J3835" t="s">
        <v>54</v>
      </c>
      <c r="K3835" s="2">
        <v>4.5999999999999996</v>
      </c>
      <c r="L3835" t="s">
        <v>152</v>
      </c>
      <c r="M3835" t="s">
        <v>35</v>
      </c>
      <c r="N3835" t="s">
        <v>40</v>
      </c>
      <c r="O3835" t="s">
        <v>152</v>
      </c>
      <c r="P3835" t="s">
        <v>152</v>
      </c>
      <c r="Q3835" s="3">
        <v>17</v>
      </c>
      <c r="R3835" t="s">
        <v>46</v>
      </c>
      <c r="S3835" t="s">
        <v>97</v>
      </c>
    </row>
    <row r="3836" spans="1:19" x14ac:dyDescent="0.25">
      <c r="A3836">
        <v>3835</v>
      </c>
      <c r="B3836">
        <v>43</v>
      </c>
      <c r="C3836" t="s">
        <v>153</v>
      </c>
      <c r="D3836" t="s">
        <v>104</v>
      </c>
      <c r="E3836" t="s">
        <v>21</v>
      </c>
      <c r="F3836" s="1">
        <v>59</v>
      </c>
      <c r="G3836" t="s">
        <v>122</v>
      </c>
      <c r="H3836" t="s">
        <v>45</v>
      </c>
      <c r="I3836" t="s">
        <v>136</v>
      </c>
      <c r="J3836" t="s">
        <v>25</v>
      </c>
      <c r="K3836" s="2">
        <v>4.0999999999999996</v>
      </c>
      <c r="L3836" t="s">
        <v>152</v>
      </c>
      <c r="M3836" t="s">
        <v>59</v>
      </c>
      <c r="N3836" t="s">
        <v>72</v>
      </c>
      <c r="O3836" t="s">
        <v>152</v>
      </c>
      <c r="P3836" t="s">
        <v>152</v>
      </c>
      <c r="Q3836" s="3">
        <v>17</v>
      </c>
      <c r="R3836" t="s">
        <v>35</v>
      </c>
      <c r="S3836" t="s">
        <v>60</v>
      </c>
    </row>
    <row r="3837" spans="1:19" x14ac:dyDescent="0.25">
      <c r="A3837">
        <v>3836</v>
      </c>
      <c r="B3837">
        <v>58</v>
      </c>
      <c r="C3837" t="s">
        <v>153</v>
      </c>
      <c r="D3837" t="s">
        <v>42</v>
      </c>
      <c r="E3837" t="s">
        <v>43</v>
      </c>
      <c r="F3837" s="1">
        <v>58</v>
      </c>
      <c r="G3837" t="s">
        <v>138</v>
      </c>
      <c r="H3837" t="s">
        <v>23</v>
      </c>
      <c r="I3837" t="s">
        <v>67</v>
      </c>
      <c r="J3837" t="s">
        <v>25</v>
      </c>
      <c r="K3837" s="2">
        <v>2.6</v>
      </c>
      <c r="L3837" t="s">
        <v>152</v>
      </c>
      <c r="M3837" t="s">
        <v>27</v>
      </c>
      <c r="N3837" t="s">
        <v>28</v>
      </c>
      <c r="O3837" t="s">
        <v>152</v>
      </c>
      <c r="P3837" t="s">
        <v>152</v>
      </c>
      <c r="Q3837" s="3">
        <v>28</v>
      </c>
      <c r="R3837" t="s">
        <v>46</v>
      </c>
      <c r="S3837" t="s">
        <v>77</v>
      </c>
    </row>
    <row r="3838" spans="1:19" x14ac:dyDescent="0.25">
      <c r="A3838">
        <v>3837</v>
      </c>
      <c r="B3838">
        <v>62</v>
      </c>
      <c r="C3838" t="s">
        <v>153</v>
      </c>
      <c r="D3838" t="s">
        <v>87</v>
      </c>
      <c r="E3838" t="s">
        <v>21</v>
      </c>
      <c r="F3838" s="1">
        <v>84</v>
      </c>
      <c r="G3838" t="s">
        <v>120</v>
      </c>
      <c r="H3838" t="s">
        <v>45</v>
      </c>
      <c r="I3838" t="s">
        <v>84</v>
      </c>
      <c r="J3838" t="s">
        <v>39</v>
      </c>
      <c r="K3838" s="2">
        <v>2.5</v>
      </c>
      <c r="L3838" t="s">
        <v>152</v>
      </c>
      <c r="M3838" t="s">
        <v>29</v>
      </c>
      <c r="N3838" t="s">
        <v>40</v>
      </c>
      <c r="O3838" t="s">
        <v>152</v>
      </c>
      <c r="P3838" t="s">
        <v>152</v>
      </c>
      <c r="Q3838" s="3">
        <v>38</v>
      </c>
      <c r="R3838" t="s">
        <v>46</v>
      </c>
      <c r="S3838" t="s">
        <v>30</v>
      </c>
    </row>
    <row r="3839" spans="1:19" x14ac:dyDescent="0.25">
      <c r="A3839">
        <v>3838</v>
      </c>
      <c r="B3839">
        <v>45</v>
      </c>
      <c r="C3839" t="s">
        <v>153</v>
      </c>
      <c r="D3839" t="s">
        <v>104</v>
      </c>
      <c r="E3839" t="s">
        <v>21</v>
      </c>
      <c r="F3839" s="1">
        <v>100</v>
      </c>
      <c r="G3839" t="s">
        <v>130</v>
      </c>
      <c r="H3839" t="s">
        <v>45</v>
      </c>
      <c r="I3839" t="s">
        <v>96</v>
      </c>
      <c r="J3839" t="s">
        <v>39</v>
      </c>
      <c r="K3839" s="2">
        <v>4.8</v>
      </c>
      <c r="L3839" t="s">
        <v>152</v>
      </c>
      <c r="M3839" t="s">
        <v>59</v>
      </c>
      <c r="N3839" t="s">
        <v>40</v>
      </c>
      <c r="O3839" t="s">
        <v>152</v>
      </c>
      <c r="P3839" t="s">
        <v>152</v>
      </c>
      <c r="Q3839" s="3">
        <v>33</v>
      </c>
      <c r="R3839" t="s">
        <v>34</v>
      </c>
      <c r="S3839" t="s">
        <v>30</v>
      </c>
    </row>
    <row r="3840" spans="1:19" x14ac:dyDescent="0.25">
      <c r="A3840">
        <v>3839</v>
      </c>
      <c r="B3840">
        <v>47</v>
      </c>
      <c r="C3840" t="s">
        <v>153</v>
      </c>
      <c r="D3840" t="s">
        <v>82</v>
      </c>
      <c r="E3840" t="s">
        <v>21</v>
      </c>
      <c r="F3840" s="1">
        <v>25</v>
      </c>
      <c r="G3840" t="s">
        <v>44</v>
      </c>
      <c r="H3840" t="s">
        <v>23</v>
      </c>
      <c r="I3840" t="s">
        <v>96</v>
      </c>
      <c r="J3840" t="s">
        <v>54</v>
      </c>
      <c r="K3840" s="2">
        <v>4.2</v>
      </c>
      <c r="L3840" t="s">
        <v>152</v>
      </c>
      <c r="M3840" t="s">
        <v>34</v>
      </c>
      <c r="N3840" t="s">
        <v>28</v>
      </c>
      <c r="O3840" t="s">
        <v>152</v>
      </c>
      <c r="P3840" t="s">
        <v>152</v>
      </c>
      <c r="Q3840" s="3">
        <v>24</v>
      </c>
      <c r="R3840" t="s">
        <v>29</v>
      </c>
      <c r="S3840" t="s">
        <v>97</v>
      </c>
    </row>
    <row r="3841" spans="1:19" x14ac:dyDescent="0.25">
      <c r="A3841">
        <v>3840</v>
      </c>
      <c r="B3841">
        <v>66</v>
      </c>
      <c r="C3841" t="s">
        <v>153</v>
      </c>
      <c r="D3841" t="s">
        <v>42</v>
      </c>
      <c r="E3841" t="s">
        <v>43</v>
      </c>
      <c r="F3841" s="1">
        <v>29</v>
      </c>
      <c r="G3841" t="s">
        <v>139</v>
      </c>
      <c r="H3841" t="s">
        <v>45</v>
      </c>
      <c r="I3841" t="s">
        <v>100</v>
      </c>
      <c r="J3841" t="s">
        <v>39</v>
      </c>
      <c r="K3841" s="2">
        <v>3.9</v>
      </c>
      <c r="L3841" t="s">
        <v>152</v>
      </c>
      <c r="M3841" t="s">
        <v>46</v>
      </c>
      <c r="N3841" t="s">
        <v>40</v>
      </c>
      <c r="O3841" t="s">
        <v>152</v>
      </c>
      <c r="P3841" t="s">
        <v>152</v>
      </c>
      <c r="Q3841" s="3">
        <v>14</v>
      </c>
      <c r="R3841" t="s">
        <v>29</v>
      </c>
      <c r="S3841" t="s">
        <v>60</v>
      </c>
    </row>
    <row r="3842" spans="1:19" x14ac:dyDescent="0.25">
      <c r="A3842">
        <v>3841</v>
      </c>
      <c r="B3842">
        <v>30</v>
      </c>
      <c r="C3842" t="s">
        <v>153</v>
      </c>
      <c r="D3842" t="s">
        <v>36</v>
      </c>
      <c r="E3842" t="s">
        <v>21</v>
      </c>
      <c r="F3842" s="1">
        <v>42</v>
      </c>
      <c r="G3842" t="s">
        <v>135</v>
      </c>
      <c r="H3842" t="s">
        <v>45</v>
      </c>
      <c r="I3842" t="s">
        <v>49</v>
      </c>
      <c r="J3842" t="s">
        <v>39</v>
      </c>
      <c r="K3842" s="2">
        <v>3.7</v>
      </c>
      <c r="L3842" t="s">
        <v>152</v>
      </c>
      <c r="M3842" t="s">
        <v>59</v>
      </c>
      <c r="N3842" t="s">
        <v>28</v>
      </c>
      <c r="O3842" t="s">
        <v>152</v>
      </c>
      <c r="P3842" t="s">
        <v>152</v>
      </c>
      <c r="Q3842" s="3">
        <v>5</v>
      </c>
      <c r="R3842" t="s">
        <v>29</v>
      </c>
      <c r="S3842" t="s">
        <v>30</v>
      </c>
    </row>
    <row r="3843" spans="1:19" x14ac:dyDescent="0.25">
      <c r="A3843">
        <v>3842</v>
      </c>
      <c r="B3843">
        <v>68</v>
      </c>
      <c r="C3843" t="s">
        <v>153</v>
      </c>
      <c r="D3843" t="s">
        <v>36</v>
      </c>
      <c r="E3843" t="s">
        <v>21</v>
      </c>
      <c r="F3843" s="1">
        <v>57</v>
      </c>
      <c r="G3843" t="s">
        <v>91</v>
      </c>
      <c r="H3843" t="s">
        <v>23</v>
      </c>
      <c r="I3843" t="s">
        <v>71</v>
      </c>
      <c r="J3843" t="s">
        <v>58</v>
      </c>
      <c r="K3843" s="2">
        <v>4.2</v>
      </c>
      <c r="L3843" t="s">
        <v>152</v>
      </c>
      <c r="M3843" t="s">
        <v>35</v>
      </c>
      <c r="N3843" t="s">
        <v>72</v>
      </c>
      <c r="O3843" t="s">
        <v>152</v>
      </c>
      <c r="P3843" t="s">
        <v>152</v>
      </c>
      <c r="Q3843" s="3">
        <v>8</v>
      </c>
      <c r="R3843" t="s">
        <v>34</v>
      </c>
      <c r="S3843" t="s">
        <v>88</v>
      </c>
    </row>
    <row r="3844" spans="1:19" x14ac:dyDescent="0.25">
      <c r="A3844">
        <v>3843</v>
      </c>
      <c r="B3844">
        <v>35</v>
      </c>
      <c r="C3844" t="s">
        <v>153</v>
      </c>
      <c r="D3844" t="s">
        <v>102</v>
      </c>
      <c r="E3844" t="s">
        <v>65</v>
      </c>
      <c r="F3844" s="1">
        <v>84</v>
      </c>
      <c r="G3844" t="s">
        <v>112</v>
      </c>
      <c r="H3844" t="s">
        <v>23</v>
      </c>
      <c r="I3844" t="s">
        <v>93</v>
      </c>
      <c r="J3844" t="s">
        <v>25</v>
      </c>
      <c r="K3844" s="2">
        <v>4.2</v>
      </c>
      <c r="L3844" t="s">
        <v>152</v>
      </c>
      <c r="M3844" t="s">
        <v>35</v>
      </c>
      <c r="N3844" t="s">
        <v>47</v>
      </c>
      <c r="O3844" t="s">
        <v>152</v>
      </c>
      <c r="P3844" t="s">
        <v>152</v>
      </c>
      <c r="Q3844" s="3">
        <v>42</v>
      </c>
      <c r="R3844" t="s">
        <v>59</v>
      </c>
      <c r="S3844" t="s">
        <v>88</v>
      </c>
    </row>
    <row r="3845" spans="1:19" x14ac:dyDescent="0.25">
      <c r="A3845">
        <v>3844</v>
      </c>
      <c r="B3845">
        <v>64</v>
      </c>
      <c r="C3845" t="s">
        <v>153</v>
      </c>
      <c r="D3845" t="s">
        <v>124</v>
      </c>
      <c r="E3845" t="s">
        <v>69</v>
      </c>
      <c r="F3845" s="1">
        <v>71</v>
      </c>
      <c r="G3845" t="s">
        <v>142</v>
      </c>
      <c r="H3845" t="s">
        <v>23</v>
      </c>
      <c r="I3845" t="s">
        <v>67</v>
      </c>
      <c r="J3845" t="s">
        <v>25</v>
      </c>
      <c r="K3845" s="2">
        <v>4</v>
      </c>
      <c r="L3845" t="s">
        <v>152</v>
      </c>
      <c r="M3845" t="s">
        <v>29</v>
      </c>
      <c r="N3845" t="s">
        <v>40</v>
      </c>
      <c r="O3845" t="s">
        <v>152</v>
      </c>
      <c r="P3845" t="s">
        <v>152</v>
      </c>
      <c r="Q3845" s="3">
        <v>48</v>
      </c>
      <c r="R3845" t="s">
        <v>29</v>
      </c>
      <c r="S3845" t="s">
        <v>97</v>
      </c>
    </row>
    <row r="3846" spans="1:19" x14ac:dyDescent="0.25">
      <c r="A3846">
        <v>3845</v>
      </c>
      <c r="B3846">
        <v>30</v>
      </c>
      <c r="C3846" t="s">
        <v>153</v>
      </c>
      <c r="D3846" t="s">
        <v>61</v>
      </c>
      <c r="E3846" t="s">
        <v>21</v>
      </c>
      <c r="F3846" s="1">
        <v>87</v>
      </c>
      <c r="G3846" t="s">
        <v>57</v>
      </c>
      <c r="H3846" t="s">
        <v>38</v>
      </c>
      <c r="I3846" t="s">
        <v>109</v>
      </c>
      <c r="J3846" t="s">
        <v>58</v>
      </c>
      <c r="K3846" s="2">
        <v>5</v>
      </c>
      <c r="L3846" t="s">
        <v>152</v>
      </c>
      <c r="M3846" t="s">
        <v>27</v>
      </c>
      <c r="N3846" t="s">
        <v>47</v>
      </c>
      <c r="O3846" t="s">
        <v>152</v>
      </c>
      <c r="P3846" t="s">
        <v>152</v>
      </c>
      <c r="Q3846" s="3">
        <v>40</v>
      </c>
      <c r="R3846" t="s">
        <v>29</v>
      </c>
      <c r="S3846" t="s">
        <v>60</v>
      </c>
    </row>
    <row r="3847" spans="1:19" x14ac:dyDescent="0.25">
      <c r="A3847">
        <v>3846</v>
      </c>
      <c r="B3847">
        <v>58</v>
      </c>
      <c r="C3847" t="s">
        <v>153</v>
      </c>
      <c r="D3847" t="s">
        <v>31</v>
      </c>
      <c r="E3847" t="s">
        <v>21</v>
      </c>
      <c r="F3847" s="1">
        <v>52</v>
      </c>
      <c r="G3847" t="s">
        <v>99</v>
      </c>
      <c r="H3847" t="s">
        <v>45</v>
      </c>
      <c r="I3847" t="s">
        <v>96</v>
      </c>
      <c r="J3847" t="s">
        <v>25</v>
      </c>
      <c r="K3847" s="2">
        <v>4.9000000000000004</v>
      </c>
      <c r="L3847" t="s">
        <v>152</v>
      </c>
      <c r="M3847" t="s">
        <v>29</v>
      </c>
      <c r="N3847" t="s">
        <v>55</v>
      </c>
      <c r="O3847" t="s">
        <v>152</v>
      </c>
      <c r="P3847" t="s">
        <v>152</v>
      </c>
      <c r="Q3847" s="3">
        <v>46</v>
      </c>
      <c r="R3847" t="s">
        <v>29</v>
      </c>
      <c r="S3847" t="s">
        <v>50</v>
      </c>
    </row>
    <row r="3848" spans="1:19" x14ac:dyDescent="0.25">
      <c r="A3848">
        <v>3847</v>
      </c>
      <c r="B3848">
        <v>57</v>
      </c>
      <c r="C3848" t="s">
        <v>153</v>
      </c>
      <c r="D3848" t="s">
        <v>20</v>
      </c>
      <c r="E3848" t="s">
        <v>21</v>
      </c>
      <c r="F3848" s="1">
        <v>58</v>
      </c>
      <c r="G3848" t="s">
        <v>138</v>
      </c>
      <c r="H3848" t="s">
        <v>23</v>
      </c>
      <c r="I3848" t="s">
        <v>121</v>
      </c>
      <c r="J3848" t="s">
        <v>54</v>
      </c>
      <c r="K3848" s="2">
        <v>4</v>
      </c>
      <c r="L3848" t="s">
        <v>152</v>
      </c>
      <c r="M3848" t="s">
        <v>27</v>
      </c>
      <c r="N3848" t="s">
        <v>28</v>
      </c>
      <c r="O3848" t="s">
        <v>152</v>
      </c>
      <c r="P3848" t="s">
        <v>152</v>
      </c>
      <c r="Q3848" s="3">
        <v>40</v>
      </c>
      <c r="R3848" t="s">
        <v>46</v>
      </c>
      <c r="S3848" t="s">
        <v>97</v>
      </c>
    </row>
    <row r="3849" spans="1:19" x14ac:dyDescent="0.25">
      <c r="A3849">
        <v>3848</v>
      </c>
      <c r="B3849">
        <v>60</v>
      </c>
      <c r="C3849" t="s">
        <v>153</v>
      </c>
      <c r="D3849" t="s">
        <v>31</v>
      </c>
      <c r="E3849" t="s">
        <v>21</v>
      </c>
      <c r="F3849" s="1">
        <v>34</v>
      </c>
      <c r="G3849" t="s">
        <v>80</v>
      </c>
      <c r="H3849" t="s">
        <v>38</v>
      </c>
      <c r="I3849" t="s">
        <v>144</v>
      </c>
      <c r="J3849" t="s">
        <v>58</v>
      </c>
      <c r="K3849" s="2">
        <v>3.2</v>
      </c>
      <c r="L3849" t="s">
        <v>152</v>
      </c>
      <c r="M3849" t="s">
        <v>27</v>
      </c>
      <c r="N3849" t="s">
        <v>72</v>
      </c>
      <c r="O3849" t="s">
        <v>152</v>
      </c>
      <c r="P3849" t="s">
        <v>152</v>
      </c>
      <c r="Q3849" s="3">
        <v>31</v>
      </c>
      <c r="R3849" t="s">
        <v>46</v>
      </c>
      <c r="S3849" t="s">
        <v>30</v>
      </c>
    </row>
    <row r="3850" spans="1:19" x14ac:dyDescent="0.25">
      <c r="A3850">
        <v>3849</v>
      </c>
      <c r="B3850">
        <v>22</v>
      </c>
      <c r="C3850" t="s">
        <v>153</v>
      </c>
      <c r="D3850" t="s">
        <v>106</v>
      </c>
      <c r="E3850" t="s">
        <v>69</v>
      </c>
      <c r="F3850" s="1">
        <v>60</v>
      </c>
      <c r="G3850" t="s">
        <v>83</v>
      </c>
      <c r="H3850" t="s">
        <v>45</v>
      </c>
      <c r="I3850" t="s">
        <v>136</v>
      </c>
      <c r="J3850" t="s">
        <v>25</v>
      </c>
      <c r="K3850" s="2">
        <v>3</v>
      </c>
      <c r="L3850" t="s">
        <v>152</v>
      </c>
      <c r="M3850" t="s">
        <v>34</v>
      </c>
      <c r="N3850" t="s">
        <v>47</v>
      </c>
      <c r="O3850" t="s">
        <v>152</v>
      </c>
      <c r="P3850" t="s">
        <v>152</v>
      </c>
      <c r="Q3850" s="3">
        <v>39</v>
      </c>
      <c r="R3850" t="s">
        <v>35</v>
      </c>
      <c r="S3850" t="s">
        <v>97</v>
      </c>
    </row>
    <row r="3851" spans="1:19" x14ac:dyDescent="0.25">
      <c r="A3851">
        <v>3850</v>
      </c>
      <c r="B3851">
        <v>46</v>
      </c>
      <c r="C3851" t="s">
        <v>153</v>
      </c>
      <c r="D3851" t="s">
        <v>104</v>
      </c>
      <c r="E3851" t="s">
        <v>21</v>
      </c>
      <c r="F3851" s="1">
        <v>68</v>
      </c>
      <c r="G3851" t="s">
        <v>103</v>
      </c>
      <c r="H3851" t="s">
        <v>38</v>
      </c>
      <c r="I3851" t="s">
        <v>109</v>
      </c>
      <c r="J3851" t="s">
        <v>25</v>
      </c>
      <c r="K3851" s="2">
        <v>2.6</v>
      </c>
      <c r="L3851" t="s">
        <v>152</v>
      </c>
      <c r="M3851" t="s">
        <v>29</v>
      </c>
      <c r="N3851" t="s">
        <v>28</v>
      </c>
      <c r="O3851" t="s">
        <v>152</v>
      </c>
      <c r="P3851" t="s">
        <v>152</v>
      </c>
      <c r="Q3851" s="3">
        <v>36</v>
      </c>
      <c r="R3851" t="s">
        <v>46</v>
      </c>
      <c r="S3851" t="s">
        <v>30</v>
      </c>
    </row>
    <row r="3852" spans="1:19" x14ac:dyDescent="0.25">
      <c r="A3852">
        <v>3851</v>
      </c>
      <c r="B3852">
        <v>27</v>
      </c>
      <c r="C3852" t="s">
        <v>153</v>
      </c>
      <c r="D3852" t="s">
        <v>106</v>
      </c>
      <c r="E3852" t="s">
        <v>69</v>
      </c>
      <c r="F3852" s="1">
        <v>74</v>
      </c>
      <c r="G3852" t="s">
        <v>91</v>
      </c>
      <c r="H3852" t="s">
        <v>23</v>
      </c>
      <c r="I3852" t="s">
        <v>126</v>
      </c>
      <c r="J3852" t="s">
        <v>54</v>
      </c>
      <c r="K3852" s="2">
        <v>4.4000000000000004</v>
      </c>
      <c r="L3852" t="s">
        <v>152</v>
      </c>
      <c r="M3852" t="s">
        <v>27</v>
      </c>
      <c r="N3852" t="s">
        <v>72</v>
      </c>
      <c r="O3852" t="s">
        <v>152</v>
      </c>
      <c r="P3852" t="s">
        <v>152</v>
      </c>
      <c r="Q3852" s="3">
        <v>25</v>
      </c>
      <c r="R3852" t="s">
        <v>59</v>
      </c>
      <c r="S3852" t="s">
        <v>97</v>
      </c>
    </row>
    <row r="3853" spans="1:19" x14ac:dyDescent="0.25">
      <c r="A3853">
        <v>3852</v>
      </c>
      <c r="B3853">
        <v>50</v>
      </c>
      <c r="C3853" t="s">
        <v>153</v>
      </c>
      <c r="D3853" t="s">
        <v>119</v>
      </c>
      <c r="E3853" t="s">
        <v>69</v>
      </c>
      <c r="F3853" s="1">
        <v>83</v>
      </c>
      <c r="G3853" t="s">
        <v>57</v>
      </c>
      <c r="H3853" t="s">
        <v>45</v>
      </c>
      <c r="I3853" t="s">
        <v>71</v>
      </c>
      <c r="J3853" t="s">
        <v>54</v>
      </c>
      <c r="K3853" s="2">
        <v>3.9</v>
      </c>
      <c r="L3853" t="s">
        <v>152</v>
      </c>
      <c r="M3853" t="s">
        <v>27</v>
      </c>
      <c r="N3853" t="s">
        <v>40</v>
      </c>
      <c r="O3853" t="s">
        <v>152</v>
      </c>
      <c r="P3853" t="s">
        <v>152</v>
      </c>
      <c r="Q3853" s="3">
        <v>24</v>
      </c>
      <c r="R3853" t="s">
        <v>59</v>
      </c>
      <c r="S3853" t="s">
        <v>50</v>
      </c>
    </row>
    <row r="3854" spans="1:19" x14ac:dyDescent="0.25">
      <c r="A3854">
        <v>3853</v>
      </c>
      <c r="B3854">
        <v>65</v>
      </c>
      <c r="C3854" t="s">
        <v>153</v>
      </c>
      <c r="D3854" t="s">
        <v>124</v>
      </c>
      <c r="E3854" t="s">
        <v>69</v>
      </c>
      <c r="F3854" s="1">
        <v>79</v>
      </c>
      <c r="G3854" t="s">
        <v>91</v>
      </c>
      <c r="H3854" t="s">
        <v>45</v>
      </c>
      <c r="I3854" t="s">
        <v>100</v>
      </c>
      <c r="J3854" t="s">
        <v>58</v>
      </c>
      <c r="K3854" s="2">
        <v>4</v>
      </c>
      <c r="L3854" t="s">
        <v>152</v>
      </c>
      <c r="M3854" t="s">
        <v>27</v>
      </c>
      <c r="N3854" t="s">
        <v>72</v>
      </c>
      <c r="O3854" t="s">
        <v>152</v>
      </c>
      <c r="P3854" t="s">
        <v>152</v>
      </c>
      <c r="Q3854" s="3">
        <v>19</v>
      </c>
      <c r="R3854" t="s">
        <v>46</v>
      </c>
      <c r="S3854" t="s">
        <v>41</v>
      </c>
    </row>
    <row r="3855" spans="1:19" x14ac:dyDescent="0.25">
      <c r="A3855">
        <v>3854</v>
      </c>
      <c r="B3855">
        <v>61</v>
      </c>
      <c r="C3855" t="s">
        <v>153</v>
      </c>
      <c r="D3855" t="s">
        <v>89</v>
      </c>
      <c r="E3855" t="s">
        <v>69</v>
      </c>
      <c r="F3855" s="1">
        <v>76</v>
      </c>
      <c r="G3855" t="s">
        <v>122</v>
      </c>
      <c r="H3855" t="s">
        <v>45</v>
      </c>
      <c r="I3855" t="s">
        <v>93</v>
      </c>
      <c r="J3855" t="s">
        <v>58</v>
      </c>
      <c r="K3855" s="2">
        <v>4</v>
      </c>
      <c r="L3855" t="s">
        <v>152</v>
      </c>
      <c r="M3855" t="s">
        <v>34</v>
      </c>
      <c r="N3855" t="s">
        <v>76</v>
      </c>
      <c r="O3855" t="s">
        <v>152</v>
      </c>
      <c r="P3855" t="s">
        <v>152</v>
      </c>
      <c r="Q3855" s="3">
        <v>49</v>
      </c>
      <c r="R3855" t="s">
        <v>59</v>
      </c>
      <c r="S3855" t="s">
        <v>77</v>
      </c>
    </row>
    <row r="3856" spans="1:19" x14ac:dyDescent="0.25">
      <c r="A3856">
        <v>3855</v>
      </c>
      <c r="B3856">
        <v>57</v>
      </c>
      <c r="C3856" t="s">
        <v>153</v>
      </c>
      <c r="D3856" t="s">
        <v>113</v>
      </c>
      <c r="E3856" t="s">
        <v>21</v>
      </c>
      <c r="F3856" s="1">
        <v>20</v>
      </c>
      <c r="G3856" t="s">
        <v>103</v>
      </c>
      <c r="H3856" t="s">
        <v>45</v>
      </c>
      <c r="I3856" t="s">
        <v>94</v>
      </c>
      <c r="J3856" t="s">
        <v>39</v>
      </c>
      <c r="K3856" s="2">
        <v>4.2</v>
      </c>
      <c r="L3856" t="s">
        <v>152</v>
      </c>
      <c r="M3856" t="s">
        <v>29</v>
      </c>
      <c r="N3856" t="s">
        <v>40</v>
      </c>
      <c r="O3856" t="s">
        <v>152</v>
      </c>
      <c r="P3856" t="s">
        <v>152</v>
      </c>
      <c r="Q3856" s="3">
        <v>4</v>
      </c>
      <c r="R3856" t="s">
        <v>29</v>
      </c>
      <c r="S3856" t="s">
        <v>50</v>
      </c>
    </row>
    <row r="3857" spans="1:19" x14ac:dyDescent="0.25">
      <c r="A3857">
        <v>3856</v>
      </c>
      <c r="B3857">
        <v>40</v>
      </c>
      <c r="C3857" t="s">
        <v>153</v>
      </c>
      <c r="D3857" t="s">
        <v>56</v>
      </c>
      <c r="E3857" t="s">
        <v>21</v>
      </c>
      <c r="F3857" s="1">
        <v>61</v>
      </c>
      <c r="G3857" t="s">
        <v>115</v>
      </c>
      <c r="H3857" t="s">
        <v>92</v>
      </c>
      <c r="I3857" t="s">
        <v>93</v>
      </c>
      <c r="J3857" t="s">
        <v>54</v>
      </c>
      <c r="K3857" s="2">
        <v>4.4000000000000004</v>
      </c>
      <c r="L3857" t="s">
        <v>152</v>
      </c>
      <c r="M3857" t="s">
        <v>59</v>
      </c>
      <c r="N3857" t="s">
        <v>47</v>
      </c>
      <c r="O3857" t="s">
        <v>152</v>
      </c>
      <c r="P3857" t="s">
        <v>152</v>
      </c>
      <c r="Q3857" s="3">
        <v>36</v>
      </c>
      <c r="R3857" t="s">
        <v>35</v>
      </c>
      <c r="S3857" t="s">
        <v>60</v>
      </c>
    </row>
    <row r="3858" spans="1:19" x14ac:dyDescent="0.25">
      <c r="A3858">
        <v>3857</v>
      </c>
      <c r="B3858">
        <v>39</v>
      </c>
      <c r="C3858" t="s">
        <v>153</v>
      </c>
      <c r="D3858" t="s">
        <v>42</v>
      </c>
      <c r="E3858" t="s">
        <v>43</v>
      </c>
      <c r="F3858" s="1">
        <v>78</v>
      </c>
      <c r="G3858" t="s">
        <v>141</v>
      </c>
      <c r="H3858" t="s">
        <v>38</v>
      </c>
      <c r="I3858" t="s">
        <v>110</v>
      </c>
      <c r="J3858" t="s">
        <v>54</v>
      </c>
      <c r="K3858" s="2">
        <v>2.5</v>
      </c>
      <c r="L3858" t="s">
        <v>152</v>
      </c>
      <c r="M3858" t="s">
        <v>46</v>
      </c>
      <c r="N3858" t="s">
        <v>40</v>
      </c>
      <c r="O3858" t="s">
        <v>152</v>
      </c>
      <c r="P3858" t="s">
        <v>152</v>
      </c>
      <c r="Q3858" s="3">
        <v>8</v>
      </c>
      <c r="R3858" t="s">
        <v>59</v>
      </c>
      <c r="S3858" t="s">
        <v>60</v>
      </c>
    </row>
    <row r="3859" spans="1:19" x14ac:dyDescent="0.25">
      <c r="A3859">
        <v>3858</v>
      </c>
      <c r="B3859">
        <v>42</v>
      </c>
      <c r="C3859" t="s">
        <v>153</v>
      </c>
      <c r="D3859" t="s">
        <v>124</v>
      </c>
      <c r="E3859" t="s">
        <v>69</v>
      </c>
      <c r="F3859" s="1">
        <v>21</v>
      </c>
      <c r="G3859" t="s">
        <v>105</v>
      </c>
      <c r="H3859" t="s">
        <v>38</v>
      </c>
      <c r="I3859" t="s">
        <v>134</v>
      </c>
      <c r="J3859" t="s">
        <v>54</v>
      </c>
      <c r="K3859" s="2">
        <v>3.1</v>
      </c>
      <c r="L3859" t="s">
        <v>152</v>
      </c>
      <c r="M3859" t="s">
        <v>59</v>
      </c>
      <c r="N3859" t="s">
        <v>76</v>
      </c>
      <c r="O3859" t="s">
        <v>152</v>
      </c>
      <c r="P3859" t="s">
        <v>152</v>
      </c>
      <c r="Q3859" s="3">
        <v>29</v>
      </c>
      <c r="R3859" t="s">
        <v>27</v>
      </c>
      <c r="S3859" t="s">
        <v>97</v>
      </c>
    </row>
    <row r="3860" spans="1:19" x14ac:dyDescent="0.25">
      <c r="A3860">
        <v>3859</v>
      </c>
      <c r="B3860">
        <v>30</v>
      </c>
      <c r="C3860" t="s">
        <v>153</v>
      </c>
      <c r="D3860" t="s">
        <v>113</v>
      </c>
      <c r="E3860" t="s">
        <v>21</v>
      </c>
      <c r="F3860" s="1">
        <v>77</v>
      </c>
      <c r="G3860" t="s">
        <v>70</v>
      </c>
      <c r="H3860" t="s">
        <v>45</v>
      </c>
      <c r="I3860" t="s">
        <v>79</v>
      </c>
      <c r="J3860" t="s">
        <v>25</v>
      </c>
      <c r="K3860" s="2">
        <v>3.5</v>
      </c>
      <c r="L3860" t="s">
        <v>152</v>
      </c>
      <c r="M3860" t="s">
        <v>46</v>
      </c>
      <c r="N3860" t="s">
        <v>76</v>
      </c>
      <c r="O3860" t="s">
        <v>152</v>
      </c>
      <c r="P3860" t="s">
        <v>152</v>
      </c>
      <c r="Q3860" s="3">
        <v>26</v>
      </c>
      <c r="R3860" t="s">
        <v>27</v>
      </c>
      <c r="S3860" t="s">
        <v>60</v>
      </c>
    </row>
    <row r="3861" spans="1:19" x14ac:dyDescent="0.25">
      <c r="A3861">
        <v>3860</v>
      </c>
      <c r="B3861">
        <v>65</v>
      </c>
      <c r="C3861" t="s">
        <v>153</v>
      </c>
      <c r="D3861" t="s">
        <v>61</v>
      </c>
      <c r="E3861" t="s">
        <v>21</v>
      </c>
      <c r="F3861" s="1">
        <v>88</v>
      </c>
      <c r="G3861" t="s">
        <v>91</v>
      </c>
      <c r="H3861" t="s">
        <v>38</v>
      </c>
      <c r="I3861" t="s">
        <v>144</v>
      </c>
      <c r="J3861" t="s">
        <v>58</v>
      </c>
      <c r="K3861" s="2">
        <v>3</v>
      </c>
      <c r="L3861" t="s">
        <v>152</v>
      </c>
      <c r="M3861" t="s">
        <v>27</v>
      </c>
      <c r="N3861" t="s">
        <v>72</v>
      </c>
      <c r="O3861" t="s">
        <v>152</v>
      </c>
      <c r="P3861" t="s">
        <v>152</v>
      </c>
      <c r="Q3861" s="3">
        <v>47</v>
      </c>
      <c r="R3861" t="s">
        <v>34</v>
      </c>
      <c r="S3861" t="s">
        <v>77</v>
      </c>
    </row>
    <row r="3862" spans="1:19" x14ac:dyDescent="0.25">
      <c r="A3862">
        <v>3861</v>
      </c>
      <c r="B3862">
        <v>57</v>
      </c>
      <c r="C3862" t="s">
        <v>153</v>
      </c>
      <c r="D3862" t="s">
        <v>89</v>
      </c>
      <c r="E3862" t="s">
        <v>69</v>
      </c>
      <c r="F3862" s="1">
        <v>64</v>
      </c>
      <c r="G3862" t="s">
        <v>138</v>
      </c>
      <c r="H3862" t="s">
        <v>45</v>
      </c>
      <c r="I3862" t="s">
        <v>49</v>
      </c>
      <c r="J3862" t="s">
        <v>54</v>
      </c>
      <c r="K3862" s="2">
        <v>4.4000000000000004</v>
      </c>
      <c r="L3862" t="s">
        <v>152</v>
      </c>
      <c r="M3862" t="s">
        <v>27</v>
      </c>
      <c r="N3862" t="s">
        <v>47</v>
      </c>
      <c r="O3862" t="s">
        <v>152</v>
      </c>
      <c r="P3862" t="s">
        <v>152</v>
      </c>
      <c r="Q3862" s="3">
        <v>44</v>
      </c>
      <c r="R3862" t="s">
        <v>35</v>
      </c>
      <c r="S3862" t="s">
        <v>50</v>
      </c>
    </row>
    <row r="3863" spans="1:19" x14ac:dyDescent="0.25">
      <c r="A3863">
        <v>3862</v>
      </c>
      <c r="B3863">
        <v>64</v>
      </c>
      <c r="C3863" t="s">
        <v>153</v>
      </c>
      <c r="D3863" t="s">
        <v>102</v>
      </c>
      <c r="E3863" t="s">
        <v>65</v>
      </c>
      <c r="F3863" s="1">
        <v>57</v>
      </c>
      <c r="G3863" t="s">
        <v>52</v>
      </c>
      <c r="H3863" t="s">
        <v>45</v>
      </c>
      <c r="I3863" t="s">
        <v>134</v>
      </c>
      <c r="J3863" t="s">
        <v>39</v>
      </c>
      <c r="K3863" s="2">
        <v>4.9000000000000004</v>
      </c>
      <c r="L3863" t="s">
        <v>152</v>
      </c>
      <c r="M3863" t="s">
        <v>29</v>
      </c>
      <c r="N3863" t="s">
        <v>55</v>
      </c>
      <c r="O3863" t="s">
        <v>152</v>
      </c>
      <c r="P3863" t="s">
        <v>152</v>
      </c>
      <c r="Q3863" s="3">
        <v>49</v>
      </c>
      <c r="R3863" t="s">
        <v>27</v>
      </c>
      <c r="S3863" t="s">
        <v>88</v>
      </c>
    </row>
    <row r="3864" spans="1:19" x14ac:dyDescent="0.25">
      <c r="A3864">
        <v>3863</v>
      </c>
      <c r="B3864">
        <v>56</v>
      </c>
      <c r="C3864" t="s">
        <v>153</v>
      </c>
      <c r="D3864" t="s">
        <v>56</v>
      </c>
      <c r="E3864" t="s">
        <v>21</v>
      </c>
      <c r="F3864" s="1">
        <v>49</v>
      </c>
      <c r="G3864" t="s">
        <v>135</v>
      </c>
      <c r="H3864" t="s">
        <v>23</v>
      </c>
      <c r="I3864" t="s">
        <v>49</v>
      </c>
      <c r="J3864" t="s">
        <v>25</v>
      </c>
      <c r="K3864" s="2">
        <v>2.8</v>
      </c>
      <c r="L3864" t="s">
        <v>152</v>
      </c>
      <c r="M3864" t="s">
        <v>46</v>
      </c>
      <c r="N3864" t="s">
        <v>47</v>
      </c>
      <c r="O3864" t="s">
        <v>152</v>
      </c>
      <c r="P3864" t="s">
        <v>152</v>
      </c>
      <c r="Q3864" s="3">
        <v>9</v>
      </c>
      <c r="R3864" t="s">
        <v>29</v>
      </c>
      <c r="S3864" t="s">
        <v>88</v>
      </c>
    </row>
    <row r="3865" spans="1:19" x14ac:dyDescent="0.25">
      <c r="A3865">
        <v>3864</v>
      </c>
      <c r="B3865">
        <v>40</v>
      </c>
      <c r="C3865" t="s">
        <v>153</v>
      </c>
      <c r="D3865" t="s">
        <v>119</v>
      </c>
      <c r="E3865" t="s">
        <v>69</v>
      </c>
      <c r="F3865" s="1">
        <v>35</v>
      </c>
      <c r="G3865" t="s">
        <v>83</v>
      </c>
      <c r="H3865" t="s">
        <v>45</v>
      </c>
      <c r="I3865" t="s">
        <v>121</v>
      </c>
      <c r="J3865" t="s">
        <v>54</v>
      </c>
      <c r="K3865" s="2">
        <v>3.3</v>
      </c>
      <c r="L3865" t="s">
        <v>152</v>
      </c>
      <c r="M3865" t="s">
        <v>29</v>
      </c>
      <c r="N3865" t="s">
        <v>40</v>
      </c>
      <c r="O3865" t="s">
        <v>152</v>
      </c>
      <c r="P3865" t="s">
        <v>152</v>
      </c>
      <c r="Q3865" s="3">
        <v>28</v>
      </c>
      <c r="R3865" t="s">
        <v>35</v>
      </c>
      <c r="S3865" t="s">
        <v>30</v>
      </c>
    </row>
    <row r="3866" spans="1:19" x14ac:dyDescent="0.25">
      <c r="A3866">
        <v>3865</v>
      </c>
      <c r="B3866">
        <v>55</v>
      </c>
      <c r="C3866" t="s">
        <v>153</v>
      </c>
      <c r="D3866" t="s">
        <v>113</v>
      </c>
      <c r="E3866" t="s">
        <v>21</v>
      </c>
      <c r="F3866" s="1">
        <v>99</v>
      </c>
      <c r="G3866" t="s">
        <v>52</v>
      </c>
      <c r="H3866" t="s">
        <v>38</v>
      </c>
      <c r="I3866" t="s">
        <v>144</v>
      </c>
      <c r="J3866" t="s">
        <v>25</v>
      </c>
      <c r="K3866" s="2">
        <v>4.9000000000000004</v>
      </c>
      <c r="L3866" t="s">
        <v>152</v>
      </c>
      <c r="M3866" t="s">
        <v>34</v>
      </c>
      <c r="N3866" t="s">
        <v>28</v>
      </c>
      <c r="O3866" t="s">
        <v>152</v>
      </c>
      <c r="P3866" t="s">
        <v>152</v>
      </c>
      <c r="Q3866" s="3">
        <v>1</v>
      </c>
      <c r="R3866" t="s">
        <v>59</v>
      </c>
      <c r="S3866" t="s">
        <v>30</v>
      </c>
    </row>
    <row r="3867" spans="1:19" x14ac:dyDescent="0.25">
      <c r="A3867">
        <v>3866</v>
      </c>
      <c r="B3867">
        <v>25</v>
      </c>
      <c r="C3867" t="s">
        <v>153</v>
      </c>
      <c r="D3867" t="s">
        <v>61</v>
      </c>
      <c r="E3867" t="s">
        <v>21</v>
      </c>
      <c r="F3867" s="1">
        <v>42</v>
      </c>
      <c r="G3867" t="s">
        <v>145</v>
      </c>
      <c r="H3867" t="s">
        <v>45</v>
      </c>
      <c r="I3867" t="s">
        <v>79</v>
      </c>
      <c r="J3867" t="s">
        <v>39</v>
      </c>
      <c r="K3867" s="2">
        <v>4.2</v>
      </c>
      <c r="L3867" t="s">
        <v>152</v>
      </c>
      <c r="M3867" t="s">
        <v>35</v>
      </c>
      <c r="N3867" t="s">
        <v>76</v>
      </c>
      <c r="O3867" t="s">
        <v>152</v>
      </c>
      <c r="P3867" t="s">
        <v>152</v>
      </c>
      <c r="Q3867" s="3">
        <v>28</v>
      </c>
      <c r="R3867" t="s">
        <v>35</v>
      </c>
      <c r="S3867" t="s">
        <v>97</v>
      </c>
    </row>
    <row r="3868" spans="1:19" x14ac:dyDescent="0.25">
      <c r="A3868">
        <v>3867</v>
      </c>
      <c r="B3868">
        <v>58</v>
      </c>
      <c r="C3868" t="s">
        <v>153</v>
      </c>
      <c r="D3868" t="s">
        <v>124</v>
      </c>
      <c r="E3868" t="s">
        <v>69</v>
      </c>
      <c r="F3868" s="1">
        <v>32</v>
      </c>
      <c r="G3868" t="s">
        <v>120</v>
      </c>
      <c r="H3868" t="s">
        <v>45</v>
      </c>
      <c r="I3868" t="s">
        <v>118</v>
      </c>
      <c r="J3868" t="s">
        <v>25</v>
      </c>
      <c r="K3868" s="2">
        <v>3.3</v>
      </c>
      <c r="L3868" t="s">
        <v>152</v>
      </c>
      <c r="M3868" t="s">
        <v>29</v>
      </c>
      <c r="N3868" t="s">
        <v>72</v>
      </c>
      <c r="O3868" t="s">
        <v>152</v>
      </c>
      <c r="P3868" t="s">
        <v>152</v>
      </c>
      <c r="Q3868" s="3">
        <v>33</v>
      </c>
      <c r="R3868" t="s">
        <v>27</v>
      </c>
      <c r="S3868" t="s">
        <v>30</v>
      </c>
    </row>
    <row r="3869" spans="1:19" x14ac:dyDescent="0.25">
      <c r="A3869">
        <v>3868</v>
      </c>
      <c r="B3869">
        <v>46</v>
      </c>
      <c r="C3869" t="s">
        <v>153</v>
      </c>
      <c r="D3869" t="s">
        <v>102</v>
      </c>
      <c r="E3869" t="s">
        <v>65</v>
      </c>
      <c r="F3869" s="1">
        <v>21</v>
      </c>
      <c r="G3869" t="s">
        <v>128</v>
      </c>
      <c r="H3869" t="s">
        <v>23</v>
      </c>
      <c r="I3869" t="s">
        <v>93</v>
      </c>
      <c r="J3869" t="s">
        <v>54</v>
      </c>
      <c r="K3869" s="2">
        <v>2.7</v>
      </c>
      <c r="L3869" t="s">
        <v>152</v>
      </c>
      <c r="M3869" t="s">
        <v>35</v>
      </c>
      <c r="N3869" t="s">
        <v>55</v>
      </c>
      <c r="O3869" t="s">
        <v>152</v>
      </c>
      <c r="P3869" t="s">
        <v>152</v>
      </c>
      <c r="Q3869" s="3">
        <v>28</v>
      </c>
      <c r="R3869" t="s">
        <v>27</v>
      </c>
      <c r="S3869" t="s">
        <v>88</v>
      </c>
    </row>
    <row r="3870" spans="1:19" x14ac:dyDescent="0.25">
      <c r="A3870">
        <v>3869</v>
      </c>
      <c r="B3870">
        <v>18</v>
      </c>
      <c r="C3870" t="s">
        <v>153</v>
      </c>
      <c r="D3870" t="s">
        <v>82</v>
      </c>
      <c r="E3870" t="s">
        <v>21</v>
      </c>
      <c r="F3870" s="1">
        <v>29</v>
      </c>
      <c r="G3870" t="s">
        <v>128</v>
      </c>
      <c r="H3870" t="s">
        <v>92</v>
      </c>
      <c r="I3870" t="s">
        <v>136</v>
      </c>
      <c r="J3870" t="s">
        <v>25</v>
      </c>
      <c r="K3870" s="2">
        <v>3.3</v>
      </c>
      <c r="L3870" t="s">
        <v>152</v>
      </c>
      <c r="M3870" t="s">
        <v>46</v>
      </c>
      <c r="N3870" t="s">
        <v>72</v>
      </c>
      <c r="O3870" t="s">
        <v>152</v>
      </c>
      <c r="P3870" t="s">
        <v>152</v>
      </c>
      <c r="Q3870" s="3">
        <v>9</v>
      </c>
      <c r="R3870" t="s">
        <v>35</v>
      </c>
      <c r="S3870" t="s">
        <v>50</v>
      </c>
    </row>
    <row r="3871" spans="1:19" x14ac:dyDescent="0.25">
      <c r="A3871">
        <v>3870</v>
      </c>
      <c r="B3871">
        <v>26</v>
      </c>
      <c r="C3871" t="s">
        <v>153</v>
      </c>
      <c r="D3871" t="s">
        <v>64</v>
      </c>
      <c r="E3871" t="s">
        <v>65</v>
      </c>
      <c r="F3871" s="1">
        <v>64</v>
      </c>
      <c r="G3871" t="s">
        <v>117</v>
      </c>
      <c r="H3871" t="s">
        <v>23</v>
      </c>
      <c r="I3871" t="s">
        <v>109</v>
      </c>
      <c r="J3871" t="s">
        <v>39</v>
      </c>
      <c r="K3871" s="2">
        <v>3.8</v>
      </c>
      <c r="L3871" t="s">
        <v>152</v>
      </c>
      <c r="M3871" t="s">
        <v>34</v>
      </c>
      <c r="N3871" t="s">
        <v>40</v>
      </c>
      <c r="O3871" t="s">
        <v>152</v>
      </c>
      <c r="P3871" t="s">
        <v>152</v>
      </c>
      <c r="Q3871" s="3">
        <v>28</v>
      </c>
      <c r="R3871" t="s">
        <v>34</v>
      </c>
      <c r="S3871" t="s">
        <v>50</v>
      </c>
    </row>
    <row r="3872" spans="1:19" x14ac:dyDescent="0.25">
      <c r="A3872">
        <v>3871</v>
      </c>
      <c r="B3872">
        <v>61</v>
      </c>
      <c r="C3872" t="s">
        <v>153</v>
      </c>
      <c r="D3872" t="s">
        <v>42</v>
      </c>
      <c r="E3872" t="s">
        <v>43</v>
      </c>
      <c r="F3872" s="1">
        <v>46</v>
      </c>
      <c r="G3872" t="s">
        <v>123</v>
      </c>
      <c r="H3872" t="s">
        <v>23</v>
      </c>
      <c r="I3872" t="s">
        <v>93</v>
      </c>
      <c r="J3872" t="s">
        <v>58</v>
      </c>
      <c r="K3872" s="2">
        <v>3.2</v>
      </c>
      <c r="L3872" t="s">
        <v>152</v>
      </c>
      <c r="M3872" t="s">
        <v>34</v>
      </c>
      <c r="N3872" t="s">
        <v>47</v>
      </c>
      <c r="O3872" t="s">
        <v>152</v>
      </c>
      <c r="P3872" t="s">
        <v>152</v>
      </c>
      <c r="Q3872" s="3">
        <v>19</v>
      </c>
      <c r="R3872" t="s">
        <v>35</v>
      </c>
      <c r="S3872" t="s">
        <v>97</v>
      </c>
    </row>
    <row r="3873" spans="1:19" x14ac:dyDescent="0.25">
      <c r="A3873">
        <v>3872</v>
      </c>
      <c r="B3873">
        <v>55</v>
      </c>
      <c r="C3873" t="s">
        <v>153</v>
      </c>
      <c r="D3873" t="s">
        <v>113</v>
      </c>
      <c r="E3873" t="s">
        <v>21</v>
      </c>
      <c r="F3873" s="1">
        <v>97</v>
      </c>
      <c r="G3873" t="s">
        <v>148</v>
      </c>
      <c r="H3873" t="s">
        <v>45</v>
      </c>
      <c r="I3873" t="s">
        <v>94</v>
      </c>
      <c r="J3873" t="s">
        <v>58</v>
      </c>
      <c r="K3873" s="2">
        <v>4.0999999999999996</v>
      </c>
      <c r="L3873" t="s">
        <v>152</v>
      </c>
      <c r="M3873" t="s">
        <v>27</v>
      </c>
      <c r="N3873" t="s">
        <v>72</v>
      </c>
      <c r="O3873" t="s">
        <v>152</v>
      </c>
      <c r="P3873" t="s">
        <v>152</v>
      </c>
      <c r="Q3873" s="3">
        <v>20</v>
      </c>
      <c r="R3873" t="s">
        <v>34</v>
      </c>
      <c r="S3873" t="s">
        <v>97</v>
      </c>
    </row>
    <row r="3874" spans="1:19" x14ac:dyDescent="0.25">
      <c r="A3874">
        <v>3873</v>
      </c>
      <c r="B3874">
        <v>41</v>
      </c>
      <c r="C3874" t="s">
        <v>153</v>
      </c>
      <c r="D3874" t="s">
        <v>102</v>
      </c>
      <c r="E3874" t="s">
        <v>65</v>
      </c>
      <c r="F3874" s="1">
        <v>94</v>
      </c>
      <c r="G3874" t="s">
        <v>83</v>
      </c>
      <c r="H3874" t="s">
        <v>45</v>
      </c>
      <c r="I3874" t="s">
        <v>96</v>
      </c>
      <c r="J3874" t="s">
        <v>39</v>
      </c>
      <c r="K3874" s="2">
        <v>4.3</v>
      </c>
      <c r="L3874" t="s">
        <v>152</v>
      </c>
      <c r="M3874" t="s">
        <v>35</v>
      </c>
      <c r="N3874" t="s">
        <v>55</v>
      </c>
      <c r="O3874" t="s">
        <v>152</v>
      </c>
      <c r="P3874" t="s">
        <v>152</v>
      </c>
      <c r="Q3874" s="3">
        <v>3</v>
      </c>
      <c r="R3874" t="s">
        <v>35</v>
      </c>
      <c r="S3874" t="s">
        <v>88</v>
      </c>
    </row>
    <row r="3875" spans="1:19" x14ac:dyDescent="0.25">
      <c r="A3875">
        <v>3874</v>
      </c>
      <c r="B3875">
        <v>42</v>
      </c>
      <c r="C3875" t="s">
        <v>153</v>
      </c>
      <c r="D3875" t="s">
        <v>42</v>
      </c>
      <c r="E3875" t="s">
        <v>43</v>
      </c>
      <c r="F3875" s="1">
        <v>43</v>
      </c>
      <c r="G3875" t="s">
        <v>62</v>
      </c>
      <c r="H3875" t="s">
        <v>23</v>
      </c>
      <c r="I3875" t="s">
        <v>67</v>
      </c>
      <c r="J3875" t="s">
        <v>54</v>
      </c>
      <c r="K3875" s="2">
        <v>4</v>
      </c>
      <c r="L3875" t="s">
        <v>152</v>
      </c>
      <c r="M3875" t="s">
        <v>46</v>
      </c>
      <c r="N3875" t="s">
        <v>55</v>
      </c>
      <c r="O3875" t="s">
        <v>152</v>
      </c>
      <c r="P3875" t="s">
        <v>152</v>
      </c>
      <c r="Q3875" s="3">
        <v>22</v>
      </c>
      <c r="R3875" t="s">
        <v>27</v>
      </c>
      <c r="S3875" t="s">
        <v>41</v>
      </c>
    </row>
    <row r="3876" spans="1:19" x14ac:dyDescent="0.25">
      <c r="A3876">
        <v>3875</v>
      </c>
      <c r="B3876">
        <v>70</v>
      </c>
      <c r="C3876" t="s">
        <v>153</v>
      </c>
      <c r="D3876" t="s">
        <v>31</v>
      </c>
      <c r="E3876" t="s">
        <v>21</v>
      </c>
      <c r="F3876" s="1">
        <v>54</v>
      </c>
      <c r="G3876" t="s">
        <v>107</v>
      </c>
      <c r="H3876" t="s">
        <v>92</v>
      </c>
      <c r="I3876" t="s">
        <v>118</v>
      </c>
      <c r="J3876" t="s">
        <v>54</v>
      </c>
      <c r="K3876" s="2">
        <v>3.9</v>
      </c>
      <c r="L3876" t="s">
        <v>152</v>
      </c>
      <c r="M3876" t="s">
        <v>35</v>
      </c>
      <c r="N3876" t="s">
        <v>72</v>
      </c>
      <c r="O3876" t="s">
        <v>152</v>
      </c>
      <c r="P3876" t="s">
        <v>152</v>
      </c>
      <c r="Q3876" s="3">
        <v>33</v>
      </c>
      <c r="R3876" t="s">
        <v>27</v>
      </c>
      <c r="S3876" t="s">
        <v>77</v>
      </c>
    </row>
    <row r="3877" spans="1:19" x14ac:dyDescent="0.25">
      <c r="A3877">
        <v>3876</v>
      </c>
      <c r="B3877">
        <v>63</v>
      </c>
      <c r="C3877" t="s">
        <v>153</v>
      </c>
      <c r="D3877" t="s">
        <v>124</v>
      </c>
      <c r="E3877" t="s">
        <v>69</v>
      </c>
      <c r="F3877" s="1">
        <v>51</v>
      </c>
      <c r="G3877" t="s">
        <v>83</v>
      </c>
      <c r="H3877" t="s">
        <v>45</v>
      </c>
      <c r="I3877" t="s">
        <v>71</v>
      </c>
      <c r="J3877" t="s">
        <v>25</v>
      </c>
      <c r="K3877" s="2">
        <v>3.3</v>
      </c>
      <c r="L3877" t="s">
        <v>152</v>
      </c>
      <c r="M3877" t="s">
        <v>29</v>
      </c>
      <c r="N3877" t="s">
        <v>72</v>
      </c>
      <c r="O3877" t="s">
        <v>152</v>
      </c>
      <c r="P3877" t="s">
        <v>152</v>
      </c>
      <c r="Q3877" s="3">
        <v>21</v>
      </c>
      <c r="R3877" t="s">
        <v>27</v>
      </c>
      <c r="S3877" t="s">
        <v>50</v>
      </c>
    </row>
    <row r="3878" spans="1:19" x14ac:dyDescent="0.25">
      <c r="A3878">
        <v>3877</v>
      </c>
      <c r="B3878">
        <v>60</v>
      </c>
      <c r="C3878" t="s">
        <v>153</v>
      </c>
      <c r="D3878" t="s">
        <v>73</v>
      </c>
      <c r="E3878" t="s">
        <v>43</v>
      </c>
      <c r="F3878" s="1">
        <v>85</v>
      </c>
      <c r="G3878" t="s">
        <v>150</v>
      </c>
      <c r="H3878" t="s">
        <v>38</v>
      </c>
      <c r="I3878" t="s">
        <v>109</v>
      </c>
      <c r="J3878" t="s">
        <v>58</v>
      </c>
      <c r="K3878" s="2">
        <v>2.6</v>
      </c>
      <c r="L3878" t="s">
        <v>152</v>
      </c>
      <c r="M3878" t="s">
        <v>34</v>
      </c>
      <c r="N3878" t="s">
        <v>72</v>
      </c>
      <c r="O3878" t="s">
        <v>152</v>
      </c>
      <c r="P3878" t="s">
        <v>152</v>
      </c>
      <c r="Q3878" s="3">
        <v>7</v>
      </c>
      <c r="R3878" t="s">
        <v>35</v>
      </c>
      <c r="S3878" t="s">
        <v>50</v>
      </c>
    </row>
    <row r="3879" spans="1:19" x14ac:dyDescent="0.25">
      <c r="A3879">
        <v>3878</v>
      </c>
      <c r="B3879">
        <v>28</v>
      </c>
      <c r="C3879" t="s">
        <v>153</v>
      </c>
      <c r="D3879" t="s">
        <v>104</v>
      </c>
      <c r="E3879" t="s">
        <v>21</v>
      </c>
      <c r="F3879" s="1">
        <v>96</v>
      </c>
      <c r="G3879" t="s">
        <v>107</v>
      </c>
      <c r="H3879" t="s">
        <v>45</v>
      </c>
      <c r="I3879" t="s">
        <v>79</v>
      </c>
      <c r="J3879" t="s">
        <v>39</v>
      </c>
      <c r="K3879" s="2">
        <v>4.2</v>
      </c>
      <c r="L3879" t="s">
        <v>152</v>
      </c>
      <c r="M3879" t="s">
        <v>29</v>
      </c>
      <c r="N3879" t="s">
        <v>47</v>
      </c>
      <c r="O3879" t="s">
        <v>152</v>
      </c>
      <c r="P3879" t="s">
        <v>152</v>
      </c>
      <c r="Q3879" s="3">
        <v>46</v>
      </c>
      <c r="R3879" t="s">
        <v>59</v>
      </c>
      <c r="S3879" t="s">
        <v>88</v>
      </c>
    </row>
    <row r="3880" spans="1:19" x14ac:dyDescent="0.25">
      <c r="A3880">
        <v>3879</v>
      </c>
      <c r="B3880">
        <v>60</v>
      </c>
      <c r="C3880" t="s">
        <v>153</v>
      </c>
      <c r="D3880" t="s">
        <v>124</v>
      </c>
      <c r="E3880" t="s">
        <v>69</v>
      </c>
      <c r="F3880" s="1">
        <v>42</v>
      </c>
      <c r="G3880" t="s">
        <v>131</v>
      </c>
      <c r="H3880" t="s">
        <v>45</v>
      </c>
      <c r="I3880" t="s">
        <v>71</v>
      </c>
      <c r="J3880" t="s">
        <v>54</v>
      </c>
      <c r="K3880" s="2">
        <v>3.4</v>
      </c>
      <c r="L3880" t="s">
        <v>152</v>
      </c>
      <c r="M3880" t="s">
        <v>29</v>
      </c>
      <c r="N3880" t="s">
        <v>72</v>
      </c>
      <c r="O3880" t="s">
        <v>152</v>
      </c>
      <c r="P3880" t="s">
        <v>152</v>
      </c>
      <c r="Q3880" s="3">
        <v>24</v>
      </c>
      <c r="R3880" t="s">
        <v>27</v>
      </c>
      <c r="S3880" t="s">
        <v>50</v>
      </c>
    </row>
    <row r="3881" spans="1:19" x14ac:dyDescent="0.25">
      <c r="A3881">
        <v>3880</v>
      </c>
      <c r="B3881">
        <v>26</v>
      </c>
      <c r="C3881" t="s">
        <v>153</v>
      </c>
      <c r="D3881" t="s">
        <v>87</v>
      </c>
      <c r="E3881" t="s">
        <v>21</v>
      </c>
      <c r="F3881" s="1">
        <v>63</v>
      </c>
      <c r="G3881" t="s">
        <v>103</v>
      </c>
      <c r="H3881" t="s">
        <v>23</v>
      </c>
      <c r="I3881" t="s">
        <v>33</v>
      </c>
      <c r="J3881" t="s">
        <v>25</v>
      </c>
      <c r="K3881" s="2">
        <v>4.0999999999999996</v>
      </c>
      <c r="L3881" t="s">
        <v>152</v>
      </c>
      <c r="M3881" t="s">
        <v>35</v>
      </c>
      <c r="N3881" t="s">
        <v>40</v>
      </c>
      <c r="O3881" t="s">
        <v>152</v>
      </c>
      <c r="P3881" t="s">
        <v>152</v>
      </c>
      <c r="Q3881" s="3">
        <v>6</v>
      </c>
      <c r="R3881" t="s">
        <v>59</v>
      </c>
      <c r="S3881" t="s">
        <v>60</v>
      </c>
    </row>
    <row r="3882" spans="1:19" x14ac:dyDescent="0.25">
      <c r="A3882">
        <v>3881</v>
      </c>
      <c r="B3882">
        <v>42</v>
      </c>
      <c r="C3882" t="s">
        <v>153</v>
      </c>
      <c r="D3882" t="s">
        <v>56</v>
      </c>
      <c r="E3882" t="s">
        <v>21</v>
      </c>
      <c r="F3882" s="1">
        <v>20</v>
      </c>
      <c r="G3882" t="s">
        <v>37</v>
      </c>
      <c r="H3882" t="s">
        <v>45</v>
      </c>
      <c r="I3882" t="s">
        <v>108</v>
      </c>
      <c r="J3882" t="s">
        <v>25</v>
      </c>
      <c r="K3882" s="2">
        <v>3.9</v>
      </c>
      <c r="L3882" t="s">
        <v>152</v>
      </c>
      <c r="M3882" t="s">
        <v>27</v>
      </c>
      <c r="N3882" t="s">
        <v>40</v>
      </c>
      <c r="O3882" t="s">
        <v>152</v>
      </c>
      <c r="P3882" t="s">
        <v>152</v>
      </c>
      <c r="Q3882" s="3">
        <v>40</v>
      </c>
      <c r="R3882" t="s">
        <v>46</v>
      </c>
      <c r="S3882" t="s">
        <v>88</v>
      </c>
    </row>
    <row r="3883" spans="1:19" x14ac:dyDescent="0.25">
      <c r="A3883">
        <v>3882</v>
      </c>
      <c r="B3883">
        <v>56</v>
      </c>
      <c r="C3883" t="s">
        <v>153</v>
      </c>
      <c r="D3883" t="s">
        <v>119</v>
      </c>
      <c r="E3883" t="s">
        <v>69</v>
      </c>
      <c r="F3883" s="1">
        <v>25</v>
      </c>
      <c r="G3883" t="s">
        <v>142</v>
      </c>
      <c r="H3883" t="s">
        <v>23</v>
      </c>
      <c r="I3883" t="s">
        <v>67</v>
      </c>
      <c r="J3883" t="s">
        <v>39</v>
      </c>
      <c r="K3883" s="2">
        <v>2.8</v>
      </c>
      <c r="L3883" t="s">
        <v>152</v>
      </c>
      <c r="M3883" t="s">
        <v>46</v>
      </c>
      <c r="N3883" t="s">
        <v>72</v>
      </c>
      <c r="O3883" t="s">
        <v>152</v>
      </c>
      <c r="P3883" t="s">
        <v>152</v>
      </c>
      <c r="Q3883" s="3">
        <v>17</v>
      </c>
      <c r="R3883" t="s">
        <v>59</v>
      </c>
      <c r="S3883" t="s">
        <v>41</v>
      </c>
    </row>
    <row r="3884" spans="1:19" x14ac:dyDescent="0.25">
      <c r="A3884">
        <v>3883</v>
      </c>
      <c r="B3884">
        <v>35</v>
      </c>
      <c r="C3884" t="s">
        <v>153</v>
      </c>
      <c r="D3884" t="s">
        <v>95</v>
      </c>
      <c r="E3884" t="s">
        <v>21</v>
      </c>
      <c r="F3884" s="1">
        <v>95</v>
      </c>
      <c r="G3884" t="s">
        <v>114</v>
      </c>
      <c r="H3884" t="s">
        <v>23</v>
      </c>
      <c r="I3884" t="s">
        <v>144</v>
      </c>
      <c r="J3884" t="s">
        <v>58</v>
      </c>
      <c r="K3884" s="2">
        <v>2.6</v>
      </c>
      <c r="L3884" t="s">
        <v>152</v>
      </c>
      <c r="M3884" t="s">
        <v>27</v>
      </c>
      <c r="N3884" t="s">
        <v>40</v>
      </c>
      <c r="O3884" t="s">
        <v>152</v>
      </c>
      <c r="P3884" t="s">
        <v>152</v>
      </c>
      <c r="Q3884" s="3">
        <v>24</v>
      </c>
      <c r="R3884" t="s">
        <v>35</v>
      </c>
      <c r="S3884" t="s">
        <v>30</v>
      </c>
    </row>
    <row r="3885" spans="1:19" x14ac:dyDescent="0.25">
      <c r="A3885">
        <v>3884</v>
      </c>
      <c r="B3885">
        <v>34</v>
      </c>
      <c r="C3885" t="s">
        <v>153</v>
      </c>
      <c r="D3885" t="s">
        <v>124</v>
      </c>
      <c r="E3885" t="s">
        <v>69</v>
      </c>
      <c r="F3885" s="1">
        <v>38</v>
      </c>
      <c r="G3885" t="s">
        <v>114</v>
      </c>
      <c r="H3885" t="s">
        <v>92</v>
      </c>
      <c r="I3885" t="s">
        <v>75</v>
      </c>
      <c r="J3885" t="s">
        <v>58</v>
      </c>
      <c r="K3885" s="2">
        <v>4</v>
      </c>
      <c r="L3885" t="s">
        <v>152</v>
      </c>
      <c r="M3885" t="s">
        <v>34</v>
      </c>
      <c r="N3885" t="s">
        <v>47</v>
      </c>
      <c r="O3885" t="s">
        <v>152</v>
      </c>
      <c r="P3885" t="s">
        <v>152</v>
      </c>
      <c r="Q3885" s="3">
        <v>22</v>
      </c>
      <c r="R3885" t="s">
        <v>35</v>
      </c>
      <c r="S3885" t="s">
        <v>30</v>
      </c>
    </row>
    <row r="3886" spans="1:19" x14ac:dyDescent="0.25">
      <c r="A3886">
        <v>3885</v>
      </c>
      <c r="B3886">
        <v>47</v>
      </c>
      <c r="C3886" t="s">
        <v>153</v>
      </c>
      <c r="D3886" t="s">
        <v>42</v>
      </c>
      <c r="E3886" t="s">
        <v>43</v>
      </c>
      <c r="F3886" s="1">
        <v>29</v>
      </c>
      <c r="G3886" t="s">
        <v>128</v>
      </c>
      <c r="H3886" t="s">
        <v>45</v>
      </c>
      <c r="I3886" t="s">
        <v>110</v>
      </c>
      <c r="J3886" t="s">
        <v>58</v>
      </c>
      <c r="K3886" s="2">
        <v>4.9000000000000004</v>
      </c>
      <c r="L3886" t="s">
        <v>152</v>
      </c>
      <c r="M3886" t="s">
        <v>59</v>
      </c>
      <c r="N3886" t="s">
        <v>28</v>
      </c>
      <c r="O3886" t="s">
        <v>152</v>
      </c>
      <c r="P3886" t="s">
        <v>152</v>
      </c>
      <c r="Q3886" s="3">
        <v>3</v>
      </c>
      <c r="R3886" t="s">
        <v>46</v>
      </c>
      <c r="S3886" t="s">
        <v>41</v>
      </c>
    </row>
    <row r="3887" spans="1:19" x14ac:dyDescent="0.25">
      <c r="A3887">
        <v>3886</v>
      </c>
      <c r="B3887">
        <v>49</v>
      </c>
      <c r="C3887" t="s">
        <v>153</v>
      </c>
      <c r="D3887" t="s">
        <v>125</v>
      </c>
      <c r="E3887" t="s">
        <v>21</v>
      </c>
      <c r="F3887" s="1">
        <v>64</v>
      </c>
      <c r="G3887" t="s">
        <v>130</v>
      </c>
      <c r="H3887" t="s">
        <v>23</v>
      </c>
      <c r="I3887" t="s">
        <v>75</v>
      </c>
      <c r="J3887" t="s">
        <v>25</v>
      </c>
      <c r="K3887" s="2">
        <v>3.2</v>
      </c>
      <c r="L3887" t="s">
        <v>152</v>
      </c>
      <c r="M3887" t="s">
        <v>29</v>
      </c>
      <c r="N3887" t="s">
        <v>40</v>
      </c>
      <c r="O3887" t="s">
        <v>152</v>
      </c>
      <c r="P3887" t="s">
        <v>152</v>
      </c>
      <c r="Q3887" s="3">
        <v>39</v>
      </c>
      <c r="R3887" t="s">
        <v>35</v>
      </c>
      <c r="S3887" t="s">
        <v>60</v>
      </c>
    </row>
    <row r="3888" spans="1:19" x14ac:dyDescent="0.25">
      <c r="A3888">
        <v>3887</v>
      </c>
      <c r="B3888">
        <v>37</v>
      </c>
      <c r="C3888" t="s">
        <v>153</v>
      </c>
      <c r="D3888" t="s">
        <v>106</v>
      </c>
      <c r="E3888" t="s">
        <v>69</v>
      </c>
      <c r="F3888" s="1">
        <v>92</v>
      </c>
      <c r="G3888" t="s">
        <v>146</v>
      </c>
      <c r="H3888" t="s">
        <v>38</v>
      </c>
      <c r="I3888" t="s">
        <v>110</v>
      </c>
      <c r="J3888" t="s">
        <v>54</v>
      </c>
      <c r="K3888" s="2">
        <v>3.9</v>
      </c>
      <c r="L3888" t="s">
        <v>152</v>
      </c>
      <c r="M3888" t="s">
        <v>34</v>
      </c>
      <c r="N3888" t="s">
        <v>28</v>
      </c>
      <c r="O3888" t="s">
        <v>152</v>
      </c>
      <c r="P3888" t="s">
        <v>152</v>
      </c>
      <c r="Q3888" s="3">
        <v>40</v>
      </c>
      <c r="R3888" t="s">
        <v>59</v>
      </c>
      <c r="S3888" t="s">
        <v>60</v>
      </c>
    </row>
    <row r="3889" spans="1:19" x14ac:dyDescent="0.25">
      <c r="A3889">
        <v>3888</v>
      </c>
      <c r="B3889">
        <v>40</v>
      </c>
      <c r="C3889" t="s">
        <v>153</v>
      </c>
      <c r="D3889" t="s">
        <v>56</v>
      </c>
      <c r="E3889" t="s">
        <v>21</v>
      </c>
      <c r="F3889" s="1">
        <v>34</v>
      </c>
      <c r="G3889" t="s">
        <v>111</v>
      </c>
      <c r="H3889" t="s">
        <v>45</v>
      </c>
      <c r="I3889" t="s">
        <v>63</v>
      </c>
      <c r="J3889" t="s">
        <v>39</v>
      </c>
      <c r="K3889" s="2">
        <v>2.7</v>
      </c>
      <c r="L3889" t="s">
        <v>152</v>
      </c>
      <c r="M3889" t="s">
        <v>46</v>
      </c>
      <c r="N3889" t="s">
        <v>28</v>
      </c>
      <c r="O3889" t="s">
        <v>152</v>
      </c>
      <c r="P3889" t="s">
        <v>152</v>
      </c>
      <c r="Q3889" s="3">
        <v>1</v>
      </c>
      <c r="R3889" t="s">
        <v>27</v>
      </c>
      <c r="S3889" t="s">
        <v>60</v>
      </c>
    </row>
    <row r="3890" spans="1:19" x14ac:dyDescent="0.25">
      <c r="A3890">
        <v>3889</v>
      </c>
      <c r="B3890">
        <v>45</v>
      </c>
      <c r="C3890" t="s">
        <v>153</v>
      </c>
      <c r="D3890" t="s">
        <v>51</v>
      </c>
      <c r="E3890" t="s">
        <v>43</v>
      </c>
      <c r="F3890" s="1">
        <v>69</v>
      </c>
      <c r="G3890" t="s">
        <v>141</v>
      </c>
      <c r="H3890" t="s">
        <v>45</v>
      </c>
      <c r="I3890" t="s">
        <v>84</v>
      </c>
      <c r="J3890" t="s">
        <v>39</v>
      </c>
      <c r="K3890" s="2">
        <v>3.4</v>
      </c>
      <c r="L3890" t="s">
        <v>152</v>
      </c>
      <c r="M3890" t="s">
        <v>34</v>
      </c>
      <c r="N3890" t="s">
        <v>55</v>
      </c>
      <c r="O3890" t="s">
        <v>152</v>
      </c>
      <c r="P3890" t="s">
        <v>152</v>
      </c>
      <c r="Q3890" s="3">
        <v>14</v>
      </c>
      <c r="R3890" t="s">
        <v>29</v>
      </c>
      <c r="S3890" t="s">
        <v>77</v>
      </c>
    </row>
    <row r="3891" spans="1:19" x14ac:dyDescent="0.25">
      <c r="A3891">
        <v>3890</v>
      </c>
      <c r="B3891">
        <v>57</v>
      </c>
      <c r="C3891" t="s">
        <v>153</v>
      </c>
      <c r="D3891" t="s">
        <v>82</v>
      </c>
      <c r="E3891" t="s">
        <v>21</v>
      </c>
      <c r="F3891" s="1">
        <v>65</v>
      </c>
      <c r="G3891" t="s">
        <v>120</v>
      </c>
      <c r="H3891" t="s">
        <v>38</v>
      </c>
      <c r="I3891" t="s">
        <v>134</v>
      </c>
      <c r="J3891" t="s">
        <v>39</v>
      </c>
      <c r="K3891" s="2">
        <v>3.5</v>
      </c>
      <c r="L3891" t="s">
        <v>152</v>
      </c>
      <c r="M3891" t="s">
        <v>59</v>
      </c>
      <c r="N3891" t="s">
        <v>28</v>
      </c>
      <c r="O3891" t="s">
        <v>152</v>
      </c>
      <c r="P3891" t="s">
        <v>152</v>
      </c>
      <c r="Q3891" s="3">
        <v>49</v>
      </c>
      <c r="R3891" t="s">
        <v>34</v>
      </c>
      <c r="S3891" t="s">
        <v>50</v>
      </c>
    </row>
    <row r="3892" spans="1:19" x14ac:dyDescent="0.25">
      <c r="A3892">
        <v>3891</v>
      </c>
      <c r="B3892">
        <v>35</v>
      </c>
      <c r="C3892" t="s">
        <v>153</v>
      </c>
      <c r="D3892" t="s">
        <v>56</v>
      </c>
      <c r="E3892" t="s">
        <v>21</v>
      </c>
      <c r="F3892" s="1">
        <v>81</v>
      </c>
      <c r="G3892" t="s">
        <v>145</v>
      </c>
      <c r="H3892" t="s">
        <v>92</v>
      </c>
      <c r="I3892" t="s">
        <v>96</v>
      </c>
      <c r="J3892" t="s">
        <v>25</v>
      </c>
      <c r="K3892" s="2">
        <v>2.6</v>
      </c>
      <c r="L3892" t="s">
        <v>152</v>
      </c>
      <c r="M3892" t="s">
        <v>27</v>
      </c>
      <c r="N3892" t="s">
        <v>55</v>
      </c>
      <c r="O3892" t="s">
        <v>152</v>
      </c>
      <c r="P3892" t="s">
        <v>152</v>
      </c>
      <c r="Q3892" s="3">
        <v>33</v>
      </c>
      <c r="R3892" t="s">
        <v>59</v>
      </c>
      <c r="S3892" t="s">
        <v>50</v>
      </c>
    </row>
    <row r="3893" spans="1:19" x14ac:dyDescent="0.25">
      <c r="A3893">
        <v>3892</v>
      </c>
      <c r="B3893">
        <v>36</v>
      </c>
      <c r="C3893" t="s">
        <v>153</v>
      </c>
      <c r="D3893" t="s">
        <v>82</v>
      </c>
      <c r="E3893" t="s">
        <v>21</v>
      </c>
      <c r="F3893" s="1">
        <v>30</v>
      </c>
      <c r="G3893" t="s">
        <v>112</v>
      </c>
      <c r="H3893" t="s">
        <v>23</v>
      </c>
      <c r="I3893" t="s">
        <v>100</v>
      </c>
      <c r="J3893" t="s">
        <v>25</v>
      </c>
      <c r="K3893" s="2">
        <v>4.7</v>
      </c>
      <c r="L3893" t="s">
        <v>152</v>
      </c>
      <c r="M3893" t="s">
        <v>35</v>
      </c>
      <c r="N3893" t="s">
        <v>40</v>
      </c>
      <c r="O3893" t="s">
        <v>152</v>
      </c>
      <c r="P3893" t="s">
        <v>152</v>
      </c>
      <c r="Q3893" s="3">
        <v>6</v>
      </c>
      <c r="R3893" t="s">
        <v>34</v>
      </c>
      <c r="S3893" t="s">
        <v>60</v>
      </c>
    </row>
    <row r="3894" spans="1:19" x14ac:dyDescent="0.25">
      <c r="A3894">
        <v>3893</v>
      </c>
      <c r="B3894">
        <v>35</v>
      </c>
      <c r="C3894" t="s">
        <v>153</v>
      </c>
      <c r="D3894" t="s">
        <v>106</v>
      </c>
      <c r="E3894" t="s">
        <v>69</v>
      </c>
      <c r="F3894" s="1">
        <v>86</v>
      </c>
      <c r="G3894" t="s">
        <v>151</v>
      </c>
      <c r="H3894" t="s">
        <v>23</v>
      </c>
      <c r="I3894" t="s">
        <v>126</v>
      </c>
      <c r="J3894" t="s">
        <v>54</v>
      </c>
      <c r="K3894" s="2">
        <v>3.5</v>
      </c>
      <c r="L3894" t="s">
        <v>152</v>
      </c>
      <c r="M3894" t="s">
        <v>34</v>
      </c>
      <c r="N3894" t="s">
        <v>55</v>
      </c>
      <c r="O3894" t="s">
        <v>152</v>
      </c>
      <c r="P3894" t="s">
        <v>152</v>
      </c>
      <c r="Q3894" s="3">
        <v>5</v>
      </c>
      <c r="R3894" t="s">
        <v>46</v>
      </c>
      <c r="S3894" t="s">
        <v>30</v>
      </c>
    </row>
    <row r="3895" spans="1:19" x14ac:dyDescent="0.25">
      <c r="A3895">
        <v>3894</v>
      </c>
      <c r="B3895">
        <v>21</v>
      </c>
      <c r="C3895" t="s">
        <v>153</v>
      </c>
      <c r="D3895" t="s">
        <v>124</v>
      </c>
      <c r="E3895" t="s">
        <v>69</v>
      </c>
      <c r="F3895" s="1">
        <v>64</v>
      </c>
      <c r="G3895" t="s">
        <v>37</v>
      </c>
      <c r="H3895" t="s">
        <v>23</v>
      </c>
      <c r="I3895" t="s">
        <v>53</v>
      </c>
      <c r="J3895" t="s">
        <v>58</v>
      </c>
      <c r="K3895" s="2">
        <v>3.3</v>
      </c>
      <c r="L3895" t="s">
        <v>152</v>
      </c>
      <c r="M3895" t="s">
        <v>34</v>
      </c>
      <c r="N3895" t="s">
        <v>76</v>
      </c>
      <c r="O3895" t="s">
        <v>152</v>
      </c>
      <c r="P3895" t="s">
        <v>152</v>
      </c>
      <c r="Q3895" s="3">
        <v>29</v>
      </c>
      <c r="R3895" t="s">
        <v>34</v>
      </c>
      <c r="S3895" t="s">
        <v>77</v>
      </c>
    </row>
    <row r="3896" spans="1:19" x14ac:dyDescent="0.25">
      <c r="A3896">
        <v>3895</v>
      </c>
      <c r="B3896">
        <v>66</v>
      </c>
      <c r="C3896" t="s">
        <v>153</v>
      </c>
      <c r="D3896" t="s">
        <v>87</v>
      </c>
      <c r="E3896" t="s">
        <v>21</v>
      </c>
      <c r="F3896" s="1">
        <v>78</v>
      </c>
      <c r="G3896" t="s">
        <v>139</v>
      </c>
      <c r="H3896" t="s">
        <v>23</v>
      </c>
      <c r="I3896" t="s">
        <v>53</v>
      </c>
      <c r="J3896" t="s">
        <v>39</v>
      </c>
      <c r="K3896" s="2">
        <v>3.9</v>
      </c>
      <c r="L3896" t="s">
        <v>152</v>
      </c>
      <c r="M3896" t="s">
        <v>35</v>
      </c>
      <c r="N3896" t="s">
        <v>72</v>
      </c>
      <c r="O3896" t="s">
        <v>152</v>
      </c>
      <c r="P3896" t="s">
        <v>152</v>
      </c>
      <c r="Q3896" s="3">
        <v>44</v>
      </c>
      <c r="R3896" t="s">
        <v>27</v>
      </c>
      <c r="S3896" t="s">
        <v>97</v>
      </c>
    </row>
    <row r="3897" spans="1:19" x14ac:dyDescent="0.25">
      <c r="A3897">
        <v>3896</v>
      </c>
      <c r="B3897">
        <v>40</v>
      </c>
      <c r="C3897" t="s">
        <v>153</v>
      </c>
      <c r="D3897" t="s">
        <v>104</v>
      </c>
      <c r="E3897" t="s">
        <v>21</v>
      </c>
      <c r="F3897" s="1">
        <v>28</v>
      </c>
      <c r="G3897" t="s">
        <v>141</v>
      </c>
      <c r="H3897" t="s">
        <v>23</v>
      </c>
      <c r="I3897" t="s">
        <v>49</v>
      </c>
      <c r="J3897" t="s">
        <v>54</v>
      </c>
      <c r="K3897" s="2">
        <v>4.2</v>
      </c>
      <c r="L3897" t="s">
        <v>152</v>
      </c>
      <c r="M3897" t="s">
        <v>35</v>
      </c>
      <c r="N3897" t="s">
        <v>72</v>
      </c>
      <c r="O3897" t="s">
        <v>152</v>
      </c>
      <c r="P3897" t="s">
        <v>152</v>
      </c>
      <c r="Q3897" s="3">
        <v>32</v>
      </c>
      <c r="R3897" t="s">
        <v>29</v>
      </c>
      <c r="S3897" t="s">
        <v>41</v>
      </c>
    </row>
    <row r="3898" spans="1:19" x14ac:dyDescent="0.25">
      <c r="A3898">
        <v>3897</v>
      </c>
      <c r="B3898">
        <v>52</v>
      </c>
      <c r="C3898" t="s">
        <v>153</v>
      </c>
      <c r="D3898" t="s">
        <v>132</v>
      </c>
      <c r="E3898" t="s">
        <v>69</v>
      </c>
      <c r="F3898" s="1">
        <v>49</v>
      </c>
      <c r="G3898" t="s">
        <v>146</v>
      </c>
      <c r="H3898" t="s">
        <v>23</v>
      </c>
      <c r="I3898" t="s">
        <v>53</v>
      </c>
      <c r="J3898" t="s">
        <v>39</v>
      </c>
      <c r="K3898" s="2">
        <v>4.5</v>
      </c>
      <c r="L3898" t="s">
        <v>152</v>
      </c>
      <c r="M3898" t="s">
        <v>46</v>
      </c>
      <c r="N3898" t="s">
        <v>76</v>
      </c>
      <c r="O3898" t="s">
        <v>152</v>
      </c>
      <c r="P3898" t="s">
        <v>152</v>
      </c>
      <c r="Q3898" s="3">
        <v>41</v>
      </c>
      <c r="R3898" t="s">
        <v>34</v>
      </c>
      <c r="S3898" t="s">
        <v>77</v>
      </c>
    </row>
    <row r="3899" spans="1:19" x14ac:dyDescent="0.25">
      <c r="A3899">
        <v>3898</v>
      </c>
      <c r="B3899">
        <v>46</v>
      </c>
      <c r="C3899" t="s">
        <v>153</v>
      </c>
      <c r="D3899" t="s">
        <v>133</v>
      </c>
      <c r="E3899" t="s">
        <v>69</v>
      </c>
      <c r="F3899" s="1">
        <v>33</v>
      </c>
      <c r="G3899" t="s">
        <v>127</v>
      </c>
      <c r="H3899" t="s">
        <v>23</v>
      </c>
      <c r="I3899" t="s">
        <v>96</v>
      </c>
      <c r="J3899" t="s">
        <v>39</v>
      </c>
      <c r="K3899" s="2">
        <v>2.9</v>
      </c>
      <c r="L3899" t="s">
        <v>152</v>
      </c>
      <c r="M3899" t="s">
        <v>27</v>
      </c>
      <c r="N3899" t="s">
        <v>55</v>
      </c>
      <c r="O3899" t="s">
        <v>152</v>
      </c>
      <c r="P3899" t="s">
        <v>152</v>
      </c>
      <c r="Q3899" s="3">
        <v>24</v>
      </c>
      <c r="R3899" t="s">
        <v>29</v>
      </c>
      <c r="S3899" t="s">
        <v>60</v>
      </c>
    </row>
    <row r="3900" spans="1:19" x14ac:dyDescent="0.25">
      <c r="A3900">
        <v>3899</v>
      </c>
      <c r="B3900">
        <v>44</v>
      </c>
      <c r="C3900" t="s">
        <v>153</v>
      </c>
      <c r="D3900" t="s">
        <v>73</v>
      </c>
      <c r="E3900" t="s">
        <v>43</v>
      </c>
      <c r="F3900" s="1">
        <v>77</v>
      </c>
      <c r="G3900" t="s">
        <v>148</v>
      </c>
      <c r="H3900" t="s">
        <v>38</v>
      </c>
      <c r="I3900" t="s">
        <v>110</v>
      </c>
      <c r="J3900" t="s">
        <v>54</v>
      </c>
      <c r="K3900" s="2">
        <v>3.8</v>
      </c>
      <c r="L3900" t="s">
        <v>152</v>
      </c>
      <c r="M3900" t="s">
        <v>46</v>
      </c>
      <c r="N3900" t="s">
        <v>28</v>
      </c>
      <c r="O3900" t="s">
        <v>152</v>
      </c>
      <c r="P3900" t="s">
        <v>152</v>
      </c>
      <c r="Q3900" s="3">
        <v>24</v>
      </c>
      <c r="R3900" t="s">
        <v>29</v>
      </c>
      <c r="S3900" t="s">
        <v>41</v>
      </c>
    </row>
    <row r="3901" spans="1:19" x14ac:dyDescent="0.25">
      <c r="A3901">
        <v>3900</v>
      </c>
      <c r="B3901">
        <v>52</v>
      </c>
      <c r="C3901" t="s">
        <v>153</v>
      </c>
      <c r="D3901" t="s">
        <v>68</v>
      </c>
      <c r="E3901" t="s">
        <v>69</v>
      </c>
      <c r="F3901" s="1">
        <v>81</v>
      </c>
      <c r="G3901" t="s">
        <v>99</v>
      </c>
      <c r="H3901" t="s">
        <v>45</v>
      </c>
      <c r="I3901" t="s">
        <v>118</v>
      </c>
      <c r="J3901" t="s">
        <v>39</v>
      </c>
      <c r="K3901" s="2">
        <v>3.1</v>
      </c>
      <c r="L3901" t="s">
        <v>152</v>
      </c>
      <c r="M3901" t="s">
        <v>34</v>
      </c>
      <c r="N3901" t="s">
        <v>76</v>
      </c>
      <c r="O3901" t="s">
        <v>152</v>
      </c>
      <c r="P3901" t="s">
        <v>152</v>
      </c>
      <c r="Q3901" s="3">
        <v>33</v>
      </c>
      <c r="R3901" t="s">
        <v>29</v>
      </c>
      <c r="S3901" t="s">
        <v>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FACC-2064-45DD-98BF-E162C22B0B7B}">
  <sheetPr codeName="Sheet3"/>
  <dimension ref="A1:Z40"/>
  <sheetViews>
    <sheetView tabSelected="1" zoomScaleNormal="100" workbookViewId="0">
      <selection activeCell="AB18" sqref="AB18"/>
    </sheetView>
  </sheetViews>
  <sheetFormatPr defaultRowHeight="15" x14ac:dyDescent="0.25"/>
  <sheetData>
    <row r="1" spans="1:26" x14ac:dyDescent="0.25">
      <c r="A1" s="8"/>
      <c r="B1" s="8"/>
      <c r="C1" s="8"/>
      <c r="D1" s="8"/>
      <c r="E1" s="8"/>
      <c r="F1" s="8"/>
      <c r="G1" s="8"/>
      <c r="H1" s="8"/>
      <c r="I1" s="8"/>
      <c r="J1" s="8"/>
      <c r="K1" s="8"/>
      <c r="L1" s="8"/>
      <c r="M1" s="8"/>
      <c r="N1" s="8"/>
      <c r="O1" s="8"/>
      <c r="P1" s="8"/>
      <c r="Q1" s="8"/>
      <c r="R1" s="8"/>
      <c r="S1" s="8"/>
      <c r="T1" s="8"/>
      <c r="U1" s="8"/>
      <c r="V1" s="8"/>
      <c r="W1" s="8"/>
      <c r="X1" s="8"/>
      <c r="Y1" s="8"/>
      <c r="Z1" s="8"/>
    </row>
    <row r="2" spans="1:26" x14ac:dyDescent="0.25">
      <c r="A2" s="8"/>
      <c r="B2" s="8"/>
      <c r="C2" s="8"/>
      <c r="D2" s="8"/>
      <c r="E2" s="8"/>
      <c r="F2" s="8"/>
      <c r="G2" s="8"/>
      <c r="H2" s="8"/>
      <c r="I2" s="8"/>
      <c r="J2" s="8"/>
      <c r="K2" s="8"/>
      <c r="L2" s="8"/>
      <c r="M2" s="8"/>
      <c r="N2" s="8"/>
      <c r="O2" s="8"/>
      <c r="P2" s="8"/>
      <c r="Q2" s="8"/>
      <c r="R2" s="8"/>
      <c r="S2" s="8"/>
      <c r="T2" s="8"/>
      <c r="U2" s="8"/>
      <c r="V2" s="8"/>
      <c r="W2" s="8"/>
      <c r="X2" s="8"/>
      <c r="Y2" s="8"/>
      <c r="Z2" s="8"/>
    </row>
    <row r="3" spans="1:26" x14ac:dyDescent="0.25">
      <c r="A3" s="8"/>
      <c r="B3" s="8"/>
      <c r="C3" s="8"/>
      <c r="D3" s="8"/>
      <c r="E3" s="8"/>
      <c r="F3" s="8"/>
      <c r="G3" s="8"/>
      <c r="H3" s="8"/>
      <c r="I3" s="8"/>
      <c r="J3" s="8"/>
      <c r="K3" s="8"/>
      <c r="L3" s="8"/>
      <c r="M3" s="8"/>
      <c r="N3" s="8"/>
      <c r="O3" s="8"/>
      <c r="P3" s="8"/>
      <c r="Q3" s="8"/>
      <c r="R3" s="8"/>
      <c r="S3" s="8"/>
      <c r="T3" s="8"/>
      <c r="U3" s="8"/>
      <c r="V3" s="8"/>
      <c r="W3" s="8"/>
      <c r="X3" s="8"/>
      <c r="Y3" s="8"/>
      <c r="Z3" s="8"/>
    </row>
    <row r="4" spans="1:26" x14ac:dyDescent="0.25">
      <c r="A4" s="8"/>
      <c r="B4" s="8"/>
      <c r="C4" s="8"/>
      <c r="D4" s="8"/>
      <c r="E4" s="8"/>
      <c r="F4" s="8"/>
      <c r="G4" s="8"/>
      <c r="H4" s="8"/>
      <c r="I4" s="8"/>
      <c r="J4" s="8"/>
      <c r="K4" s="8"/>
      <c r="L4" s="8"/>
      <c r="M4" s="8"/>
      <c r="N4" s="8"/>
      <c r="O4" s="8"/>
      <c r="P4" s="8"/>
      <c r="Q4" s="8"/>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8"/>
      <c r="J6" s="8"/>
      <c r="K6" s="8"/>
      <c r="L6" s="8"/>
      <c r="M6" s="8"/>
      <c r="N6" s="8"/>
      <c r="O6" s="8"/>
      <c r="P6" s="8"/>
      <c r="Q6" s="8"/>
      <c r="R6" s="8"/>
      <c r="S6" s="8"/>
      <c r="T6" s="8"/>
      <c r="U6" s="8"/>
      <c r="V6" s="8"/>
      <c r="W6" s="8"/>
      <c r="X6" s="8"/>
      <c r="Y6" s="8"/>
      <c r="Z6" s="8"/>
    </row>
    <row r="7" spans="1:26" x14ac:dyDescent="0.25">
      <c r="A7" s="8"/>
      <c r="B7" s="8"/>
      <c r="C7" s="8"/>
      <c r="D7" s="8"/>
      <c r="E7" s="8"/>
      <c r="F7" s="8"/>
      <c r="G7" s="8"/>
      <c r="H7" s="8"/>
      <c r="I7" s="8"/>
      <c r="J7" s="8"/>
      <c r="K7" s="8"/>
      <c r="L7" s="8"/>
      <c r="M7" s="8"/>
      <c r="N7" s="8"/>
      <c r="O7" s="8"/>
      <c r="P7" s="8"/>
      <c r="Q7" s="8"/>
      <c r="R7" s="8"/>
      <c r="S7" s="8"/>
      <c r="T7" s="8"/>
      <c r="U7" s="8"/>
      <c r="V7" s="8"/>
      <c r="W7" s="8"/>
      <c r="X7" s="8"/>
      <c r="Y7" s="8"/>
      <c r="Z7" s="8"/>
    </row>
    <row r="8" spans="1:26" x14ac:dyDescent="0.25">
      <c r="A8" s="8"/>
      <c r="B8" s="8"/>
      <c r="C8" s="8"/>
      <c r="D8" s="8"/>
      <c r="E8" s="8"/>
      <c r="F8" s="8"/>
      <c r="G8" s="8"/>
      <c r="H8" s="8"/>
      <c r="I8" s="8"/>
      <c r="J8" s="8"/>
      <c r="K8" s="8"/>
      <c r="L8" s="8"/>
      <c r="M8" s="8"/>
      <c r="N8" s="8"/>
      <c r="O8" s="8"/>
      <c r="P8" s="8"/>
      <c r="Q8" s="8"/>
      <c r="R8" s="8"/>
      <c r="S8" s="8"/>
      <c r="T8" s="8"/>
      <c r="U8" s="8"/>
      <c r="V8" s="8"/>
      <c r="W8" s="8"/>
      <c r="X8" s="8"/>
      <c r="Y8" s="8"/>
      <c r="Z8" s="8"/>
    </row>
    <row r="9" spans="1:26" x14ac:dyDescent="0.25">
      <c r="A9" s="8"/>
      <c r="B9" s="8"/>
      <c r="C9" s="8"/>
      <c r="D9" s="8"/>
      <c r="E9" s="8"/>
      <c r="F9" s="8"/>
      <c r="G9" s="8"/>
      <c r="H9" s="8"/>
      <c r="I9" s="8"/>
      <c r="J9" s="8"/>
      <c r="K9" s="8"/>
      <c r="L9" s="8"/>
      <c r="M9" s="8"/>
      <c r="N9" s="8"/>
      <c r="O9" s="8"/>
      <c r="P9" s="8"/>
      <c r="Q9" s="8"/>
      <c r="R9" s="8"/>
      <c r="S9" s="8"/>
      <c r="T9" s="8"/>
      <c r="U9" s="8"/>
      <c r="V9" s="8"/>
      <c r="W9" s="8"/>
      <c r="X9" s="8"/>
      <c r="Y9" s="8"/>
      <c r="Z9" s="8"/>
    </row>
    <row r="10" spans="1:26"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07B60-69B5-4D18-B32A-29E53568550A}">
  <sheetPr codeName="Sheet4"/>
  <dimension ref="A1:Z40"/>
  <sheetViews>
    <sheetView zoomScaleNormal="100" workbookViewId="0">
      <selection activeCell="Q22" sqref="Q22"/>
    </sheetView>
  </sheetViews>
  <sheetFormatPr defaultRowHeight="15" x14ac:dyDescent="0.25"/>
  <sheetData>
    <row r="1" spans="1:26" x14ac:dyDescent="0.25">
      <c r="A1" s="8"/>
      <c r="B1" s="8"/>
      <c r="C1" s="8"/>
      <c r="D1" s="8"/>
      <c r="E1" s="8"/>
      <c r="F1" s="8"/>
      <c r="G1" s="8"/>
      <c r="H1" s="8"/>
      <c r="I1" s="8"/>
      <c r="J1" s="8"/>
      <c r="K1" s="8"/>
      <c r="L1" s="8"/>
      <c r="M1" s="8"/>
      <c r="N1" s="8"/>
      <c r="O1" s="8"/>
      <c r="P1" s="8"/>
      <c r="Q1" s="8"/>
      <c r="R1" s="8"/>
      <c r="S1" s="8"/>
      <c r="T1" s="8"/>
      <c r="U1" s="8"/>
      <c r="V1" s="8"/>
      <c r="W1" s="8"/>
      <c r="X1" s="8"/>
      <c r="Y1" s="8"/>
      <c r="Z1" s="8"/>
    </row>
    <row r="2" spans="1:26" x14ac:dyDescent="0.25">
      <c r="A2" s="8"/>
      <c r="B2" s="8"/>
      <c r="C2" s="8"/>
      <c r="D2" s="8"/>
      <c r="E2" s="8"/>
      <c r="F2" s="8"/>
      <c r="G2" s="8"/>
      <c r="H2" s="8"/>
      <c r="I2" s="8"/>
      <c r="J2" s="8"/>
      <c r="K2" s="8"/>
      <c r="L2" s="8"/>
      <c r="M2" s="8"/>
      <c r="N2" s="8"/>
      <c r="O2" s="8"/>
      <c r="P2" s="8"/>
      <c r="Q2" s="8"/>
      <c r="R2" s="8"/>
      <c r="S2" s="8"/>
      <c r="T2" s="8"/>
      <c r="U2" s="8"/>
      <c r="V2" s="8"/>
      <c r="W2" s="8"/>
      <c r="X2" s="8"/>
      <c r="Y2" s="8"/>
      <c r="Z2" s="8"/>
    </row>
    <row r="3" spans="1:26" x14ac:dyDescent="0.25">
      <c r="A3" s="8"/>
      <c r="B3" s="8"/>
      <c r="C3" s="8"/>
      <c r="D3" s="8"/>
      <c r="E3" s="8"/>
      <c r="F3" s="8"/>
      <c r="G3" s="8"/>
      <c r="H3" s="8"/>
      <c r="I3" s="8"/>
      <c r="J3" s="8"/>
      <c r="K3" s="8"/>
      <c r="L3" s="8"/>
      <c r="M3" s="8"/>
      <c r="N3" s="8"/>
      <c r="O3" s="8"/>
      <c r="P3" s="8"/>
      <c r="Q3" s="8"/>
      <c r="R3" s="8"/>
      <c r="S3" s="8"/>
      <c r="T3" s="8"/>
      <c r="U3" s="8"/>
      <c r="V3" s="8"/>
      <c r="W3" s="8"/>
      <c r="X3" s="8"/>
      <c r="Y3" s="8"/>
      <c r="Z3" s="8"/>
    </row>
    <row r="4" spans="1:26" x14ac:dyDescent="0.25">
      <c r="A4" s="8"/>
      <c r="B4" s="8"/>
      <c r="C4" s="8"/>
      <c r="D4" s="8"/>
      <c r="E4" s="8"/>
      <c r="F4" s="8"/>
      <c r="G4" s="8"/>
      <c r="H4" s="8"/>
      <c r="I4" s="8"/>
      <c r="J4" s="8"/>
      <c r="K4" s="8"/>
      <c r="L4" s="8"/>
      <c r="M4" s="8"/>
      <c r="N4" s="8"/>
      <c r="O4" s="8"/>
      <c r="P4" s="8"/>
      <c r="Q4" s="8"/>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8"/>
      <c r="J6" s="8"/>
      <c r="K6" s="8"/>
      <c r="L6" s="8"/>
      <c r="M6" s="8"/>
      <c r="N6" s="8"/>
      <c r="O6" s="8"/>
      <c r="P6" s="8"/>
      <c r="Q6" s="8"/>
      <c r="R6" s="8"/>
      <c r="S6" s="8"/>
      <c r="T6" s="8"/>
      <c r="U6" s="8"/>
      <c r="V6" s="8"/>
      <c r="W6" s="8"/>
      <c r="X6" s="8"/>
      <c r="Y6" s="8"/>
      <c r="Z6" s="8"/>
    </row>
    <row r="7" spans="1:26" x14ac:dyDescent="0.25">
      <c r="A7" s="8"/>
      <c r="B7" s="8"/>
      <c r="C7" s="8"/>
      <c r="D7" s="8"/>
      <c r="E7" s="8"/>
      <c r="F7" s="8"/>
      <c r="G7" s="8"/>
      <c r="H7" s="8"/>
      <c r="I7" s="8"/>
      <c r="J7" s="8"/>
      <c r="K7" s="8"/>
      <c r="L7" s="8"/>
      <c r="M7" s="8"/>
      <c r="N7" s="8"/>
      <c r="O7" s="8"/>
      <c r="P7" s="8"/>
      <c r="Q7" s="8"/>
      <c r="R7" s="8"/>
      <c r="S7" s="8"/>
      <c r="T7" s="8"/>
      <c r="U7" s="8"/>
      <c r="V7" s="8"/>
      <c r="W7" s="8"/>
      <c r="X7" s="8"/>
      <c r="Y7" s="8"/>
      <c r="Z7" s="8"/>
    </row>
    <row r="8" spans="1:26" x14ac:dyDescent="0.25">
      <c r="A8" s="8"/>
      <c r="B8" s="8"/>
      <c r="C8" s="8"/>
      <c r="D8" s="8"/>
      <c r="E8" s="8"/>
      <c r="F8" s="8"/>
      <c r="G8" s="8"/>
      <c r="H8" s="8"/>
      <c r="I8" s="8"/>
      <c r="J8" s="8"/>
      <c r="K8" s="8"/>
      <c r="L8" s="8"/>
      <c r="M8" s="8"/>
      <c r="N8" s="8"/>
      <c r="O8" s="8"/>
      <c r="P8" s="8"/>
      <c r="Q8" s="8"/>
      <c r="R8" s="8"/>
      <c r="S8" s="8"/>
      <c r="T8" s="8"/>
      <c r="U8" s="8"/>
      <c r="V8" s="8"/>
      <c r="W8" s="8"/>
      <c r="X8" s="8"/>
      <c r="Y8" s="8"/>
      <c r="Z8" s="8"/>
    </row>
    <row r="9" spans="1:26" x14ac:dyDescent="0.25">
      <c r="A9" s="8"/>
      <c r="B9" s="8"/>
      <c r="C9" s="8"/>
      <c r="D9" s="8"/>
      <c r="E9" s="8"/>
      <c r="F9" s="8"/>
      <c r="G9" s="8"/>
      <c r="H9" s="8"/>
      <c r="I9" s="8"/>
      <c r="J9" s="8"/>
      <c r="K9" s="8"/>
      <c r="L9" s="8"/>
      <c r="M9" s="8"/>
      <c r="N9" s="8"/>
      <c r="O9" s="8"/>
      <c r="P9" s="8"/>
      <c r="Q9" s="8"/>
      <c r="R9" s="8"/>
      <c r="S9" s="8"/>
      <c r="T9" s="8"/>
      <c r="U9" s="8"/>
      <c r="V9" s="8"/>
      <c r="W9" s="8"/>
      <c r="X9" s="8"/>
      <c r="Y9" s="8"/>
      <c r="Z9" s="8"/>
    </row>
    <row r="10" spans="1:26"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FEC7-4E6E-4B88-9106-273755A8382C}">
  <dimension ref="A2:D11"/>
  <sheetViews>
    <sheetView workbookViewId="0">
      <selection activeCell="D10" sqref="D10"/>
    </sheetView>
  </sheetViews>
  <sheetFormatPr defaultRowHeight="15" x14ac:dyDescent="0.25"/>
  <cols>
    <col min="1" max="1" width="33.140625" bestFit="1" customWidth="1"/>
    <col min="2" max="2" width="11.140625" bestFit="1" customWidth="1"/>
  </cols>
  <sheetData>
    <row r="2" spans="1:4" x14ac:dyDescent="0.25">
      <c r="A2" t="s">
        <v>177</v>
      </c>
      <c r="B2" t="s">
        <v>158</v>
      </c>
    </row>
    <row r="3" spans="1:4" x14ac:dyDescent="0.25">
      <c r="A3" t="s">
        <v>171</v>
      </c>
      <c r="B3" s="5">
        <f>SUM(Purchase_Amount__USD)</f>
        <v>233081</v>
      </c>
    </row>
    <row r="4" spans="1:4" x14ac:dyDescent="0.25">
      <c r="A4" t="s">
        <v>176</v>
      </c>
      <c r="B4">
        <f>COUNT(Customer_ID)</f>
        <v>3900</v>
      </c>
    </row>
    <row r="5" spans="1:4" x14ac:dyDescent="0.25">
      <c r="A5" t="s">
        <v>169</v>
      </c>
      <c r="B5">
        <f>COUNTA(Customer_ID)</f>
        <v>3900</v>
      </c>
    </row>
    <row r="6" spans="1:4" x14ac:dyDescent="0.25">
      <c r="A6" t="s">
        <v>157</v>
      </c>
      <c r="B6" s="7">
        <f>AVERAGE(COUNT(Previous_Purchases)) * 0.0001</f>
        <v>0.39</v>
      </c>
    </row>
    <row r="7" spans="1:4" x14ac:dyDescent="0.25">
      <c r="A7" t="s">
        <v>170</v>
      </c>
      <c r="B7" s="4">
        <f>AVERAGE(Purchase_Amount__USD)</f>
        <v>59.764358974358977</v>
      </c>
      <c r="D7" s="3">
        <f>SUMIF(Discount_Applied, "Yes", Purchase_Amount__USD) /COUNTIF(Discount_Applied, "Yes")</f>
        <v>59.279069767441861</v>
      </c>
    </row>
    <row r="8" spans="1:4" x14ac:dyDescent="0.25">
      <c r="A8" t="s">
        <v>172</v>
      </c>
      <c r="B8" s="6">
        <f>SUMIF(Subscription_Status,"Yes",Purchase_Amount__USD)
 / SUM(Purchase_Amount__USD)</f>
        <v>0.26876922614884952</v>
      </c>
    </row>
    <row r="9" spans="1:4" x14ac:dyDescent="0.25">
      <c r="A9" t="s">
        <v>173</v>
      </c>
      <c r="B9" s="6">
        <f>D7*0.01</f>
        <v>0.59279069767441861</v>
      </c>
    </row>
    <row r="10" spans="1:4" x14ac:dyDescent="0.25">
      <c r="A10" t="s">
        <v>174</v>
      </c>
      <c r="B10" s="2">
        <f>AVERAGE(Review_Rating)</f>
        <v>3.7499487179487119</v>
      </c>
    </row>
    <row r="11" spans="1:4" x14ac:dyDescent="0.25">
      <c r="A11" t="s">
        <v>175</v>
      </c>
      <c r="B11" s="6">
        <f>COUNTIF(Shipping_Type,"Express")
 / COUNTA(Shipping_Type)</f>
        <v>0.16564102564102565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1923-B3C5-4EF4-8A1C-B74E5C41F5F4}">
  <dimension ref="A1:B5"/>
  <sheetViews>
    <sheetView workbookViewId="0">
      <selection activeCell="A2" sqref="A2"/>
    </sheetView>
  </sheetViews>
  <sheetFormatPr defaultRowHeight="15" x14ac:dyDescent="0.25"/>
  <cols>
    <col min="1" max="1" width="11" customWidth="1"/>
    <col min="2" max="2" width="12.5703125" customWidth="1"/>
  </cols>
  <sheetData>
    <row r="1" spans="1:2" x14ac:dyDescent="0.25">
      <c r="A1" t="s">
        <v>4</v>
      </c>
      <c r="B1" t="s">
        <v>154</v>
      </c>
    </row>
    <row r="2" spans="1:2" x14ac:dyDescent="0.25">
      <c r="A2" t="s">
        <v>21</v>
      </c>
      <c r="B2">
        <f xml:space="preserve"> COUNTIF(Category,A2)</f>
        <v>1737</v>
      </c>
    </row>
    <row r="3" spans="1:2" x14ac:dyDescent="0.25">
      <c r="A3" t="s">
        <v>69</v>
      </c>
      <c r="B3">
        <f xml:space="preserve"> COUNTIF(Category,A3)</f>
        <v>1240</v>
      </c>
    </row>
    <row r="4" spans="1:2" x14ac:dyDescent="0.25">
      <c r="A4" t="s">
        <v>43</v>
      </c>
      <c r="B4">
        <f xml:space="preserve"> COUNTIF(Category,A4)</f>
        <v>599</v>
      </c>
    </row>
    <row r="5" spans="1:2" x14ac:dyDescent="0.25">
      <c r="A5" t="s">
        <v>65</v>
      </c>
      <c r="B5">
        <f xml:space="preserve"> COUNTIF(Category,A5)</f>
        <v>324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1DAF-8D2C-4FF3-8069-1B2C54CDBEA0}">
  <dimension ref="A1:C5"/>
  <sheetViews>
    <sheetView workbookViewId="0">
      <selection activeCell="A3" sqref="A3"/>
    </sheetView>
  </sheetViews>
  <sheetFormatPr defaultRowHeight="15" x14ac:dyDescent="0.25"/>
  <cols>
    <col min="1" max="1" width="9.42578125" customWidth="1"/>
    <col min="2" max="2" width="18.140625" customWidth="1"/>
    <col min="3" max="3" width="16.140625" bestFit="1" customWidth="1"/>
  </cols>
  <sheetData>
    <row r="1" spans="1:3" x14ac:dyDescent="0.25">
      <c r="A1" t="s">
        <v>9</v>
      </c>
      <c r="B1" t="s">
        <v>160</v>
      </c>
      <c r="C1" t="s">
        <v>156</v>
      </c>
    </row>
    <row r="2" spans="1:3" x14ac:dyDescent="0.25">
      <c r="A2" t="s">
        <v>58</v>
      </c>
      <c r="B2" s="5">
        <f>SUMIF(Season,A2, Purchase_Amount__USD)</f>
        <v>60018</v>
      </c>
      <c r="C2">
        <f>COUNTIF(Season,A2)</f>
        <v>975</v>
      </c>
    </row>
    <row r="3" spans="1:3" x14ac:dyDescent="0.25">
      <c r="A3" t="s">
        <v>39</v>
      </c>
      <c r="B3" s="5">
        <f>SUMIF(Season,A3, Purchase_Amount__USD)</f>
        <v>58679</v>
      </c>
      <c r="C3">
        <f>COUNTIF(Season,A3)</f>
        <v>999</v>
      </c>
    </row>
    <row r="4" spans="1:3" x14ac:dyDescent="0.25">
      <c r="A4" t="s">
        <v>25</v>
      </c>
      <c r="B4" s="5">
        <f>SUMIF(Season,A4, Purchase_Amount__USD)</f>
        <v>58607</v>
      </c>
      <c r="C4">
        <f>COUNTIF(Season,A4)</f>
        <v>971</v>
      </c>
    </row>
    <row r="5" spans="1:3" x14ac:dyDescent="0.25">
      <c r="A5" t="s">
        <v>54</v>
      </c>
      <c r="B5" s="5">
        <f>SUMIF(Season,A5, Purchase_Amount__USD)</f>
        <v>55777</v>
      </c>
      <c r="C5">
        <f>COUNTIF(Season,A5)</f>
        <v>955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2B947-3FAA-4648-A8B2-71E4D8096B7E}">
  <dimension ref="A1:C51"/>
  <sheetViews>
    <sheetView workbookViewId="0">
      <selection activeCell="A2" sqref="A2"/>
    </sheetView>
  </sheetViews>
  <sheetFormatPr defaultRowHeight="15" x14ac:dyDescent="0.25"/>
  <cols>
    <col min="1" max="1" width="10.5703125" customWidth="1"/>
    <col min="2" max="2" width="12.5703125" customWidth="1"/>
    <col min="3" max="3" width="14" customWidth="1"/>
  </cols>
  <sheetData>
    <row r="1" spans="1:3" x14ac:dyDescent="0.25">
      <c r="A1" t="s">
        <v>6</v>
      </c>
      <c r="B1" t="s">
        <v>154</v>
      </c>
      <c r="C1" t="s">
        <v>156</v>
      </c>
    </row>
    <row r="2" spans="1:3" x14ac:dyDescent="0.25">
      <c r="A2" t="s">
        <v>22</v>
      </c>
      <c r="B2" s="5">
        <f>SUMIF(Location,A2, Purchase_Amount__USD)</f>
        <v>4402</v>
      </c>
      <c r="C2">
        <f xml:space="preserve"> COUNTIF(Location,A2)</f>
        <v>79</v>
      </c>
    </row>
    <row r="3" spans="1:3" x14ac:dyDescent="0.25">
      <c r="A3" t="s">
        <v>32</v>
      </c>
      <c r="B3" s="5">
        <f>SUMIF(Location,A3, Purchase_Amount__USD)</f>
        <v>4388</v>
      </c>
      <c r="C3">
        <f xml:space="preserve"> COUNTIF(Location,A3)</f>
        <v>77</v>
      </c>
    </row>
    <row r="4" spans="1:3" x14ac:dyDescent="0.25">
      <c r="A4" t="s">
        <v>37</v>
      </c>
      <c r="B4" s="5">
        <f>SUMIF(Location,A4, Purchase_Amount__USD)</f>
        <v>4384</v>
      </c>
      <c r="C4">
        <f xml:space="preserve"> COUNTIF(Location,A4)</f>
        <v>72</v>
      </c>
    </row>
    <row r="5" spans="1:3" x14ac:dyDescent="0.25">
      <c r="A5" t="s">
        <v>44</v>
      </c>
      <c r="B5" s="5">
        <f>SUMIF(Location,A5, Purchase_Amount__USD)</f>
        <v>3871</v>
      </c>
      <c r="C5">
        <f xml:space="preserve"> COUNTIF(Location,A5)</f>
        <v>63</v>
      </c>
    </row>
    <row r="6" spans="1:3" x14ac:dyDescent="0.25">
      <c r="A6" t="s">
        <v>48</v>
      </c>
      <c r="B6" s="5">
        <f>SUMIF(Location,A6, Purchase_Amount__USD)</f>
        <v>4243</v>
      </c>
      <c r="C6">
        <f xml:space="preserve"> COUNTIF(Location,A6)</f>
        <v>74</v>
      </c>
    </row>
    <row r="7" spans="1:3" x14ac:dyDescent="0.25">
      <c r="A7" t="s">
        <v>52</v>
      </c>
      <c r="B7" s="5">
        <f>SUMIF(Location,A7, Purchase_Amount__USD)</f>
        <v>4309</v>
      </c>
      <c r="C7">
        <f xml:space="preserve"> COUNTIF(Location,A7)</f>
        <v>71</v>
      </c>
    </row>
    <row r="8" spans="1:3" x14ac:dyDescent="0.25">
      <c r="A8" t="s">
        <v>57</v>
      </c>
      <c r="B8" s="5">
        <f>SUMIF(Location,A8, Purchase_Amount__USD)</f>
        <v>5784</v>
      </c>
      <c r="C8">
        <f xml:space="preserve"> COUNTIF(Location,A8)</f>
        <v>96</v>
      </c>
    </row>
    <row r="9" spans="1:3" x14ac:dyDescent="0.25">
      <c r="A9" t="s">
        <v>62</v>
      </c>
      <c r="B9" s="5">
        <f>SUMIF(Location,A9, Purchase_Amount__USD)</f>
        <v>4848</v>
      </c>
      <c r="C9">
        <f xml:space="preserve"> COUNTIF(Location,A9)</f>
        <v>84</v>
      </c>
    </row>
    <row r="10" spans="1:3" x14ac:dyDescent="0.25">
      <c r="A10" t="s">
        <v>66</v>
      </c>
      <c r="B10" s="5">
        <f>SUMIF(Location,A10, Purchase_Amount__USD)</f>
        <v>5174</v>
      </c>
      <c r="C10">
        <f xml:space="preserve"> COUNTIF(Location,A10)</f>
        <v>81</v>
      </c>
    </row>
    <row r="11" spans="1:3" x14ac:dyDescent="0.25">
      <c r="A11" t="s">
        <v>70</v>
      </c>
      <c r="B11" s="5">
        <f>SUMIF(Location,A11, Purchase_Amount__USD)</f>
        <v>4691</v>
      </c>
      <c r="C11">
        <f xml:space="preserve"> COUNTIF(Location,A11)</f>
        <v>81</v>
      </c>
    </row>
    <row r="12" spans="1:3" x14ac:dyDescent="0.25">
      <c r="A12" t="s">
        <v>74</v>
      </c>
      <c r="B12" s="5">
        <f>SUMIF(Location,A12, Purchase_Amount__USD)</f>
        <v>4828</v>
      </c>
      <c r="C12">
        <f xml:space="preserve"> COUNTIF(Location,A12)</f>
        <v>79</v>
      </c>
    </row>
    <row r="13" spans="1:3" x14ac:dyDescent="0.25">
      <c r="A13" t="s">
        <v>78</v>
      </c>
      <c r="B13" s="5">
        <f>SUMIF(Location,A13, Purchase_Amount__USD)</f>
        <v>3752</v>
      </c>
      <c r="C13">
        <f xml:space="preserve"> COUNTIF(Location,A13)</f>
        <v>65</v>
      </c>
    </row>
    <row r="14" spans="1:3" x14ac:dyDescent="0.25">
      <c r="A14" t="s">
        <v>80</v>
      </c>
      <c r="B14" s="5">
        <f>SUMIF(Location,A14, Purchase_Amount__USD)</f>
        <v>4758</v>
      </c>
      <c r="C14">
        <f xml:space="preserve"> COUNTIF(Location,A14)</f>
        <v>86</v>
      </c>
    </row>
    <row r="15" spans="1:3" x14ac:dyDescent="0.25">
      <c r="A15" t="s">
        <v>83</v>
      </c>
      <c r="B15" s="5">
        <f>SUMIF(Location,A15, Purchase_Amount__USD)</f>
        <v>4219</v>
      </c>
      <c r="C15">
        <f xml:space="preserve"> COUNTIF(Location,A15)</f>
        <v>71</v>
      </c>
    </row>
    <row r="16" spans="1:3" x14ac:dyDescent="0.25">
      <c r="A16" t="s">
        <v>85</v>
      </c>
      <c r="B16" s="5">
        <f>SUMIF(Location,A16, Purchase_Amount__USD)</f>
        <v>5257</v>
      </c>
      <c r="C16">
        <f xml:space="preserve"> COUNTIF(Location,A16)</f>
        <v>87</v>
      </c>
    </row>
    <row r="17" spans="1:3" x14ac:dyDescent="0.25">
      <c r="A17" t="s">
        <v>90</v>
      </c>
      <c r="B17" s="5">
        <f>SUMIF(Location,A17, Purchase_Amount__USD)</f>
        <v>5261</v>
      </c>
      <c r="C17">
        <f xml:space="preserve"> COUNTIF(Location,A17)</f>
        <v>89</v>
      </c>
    </row>
    <row r="18" spans="1:3" x14ac:dyDescent="0.25">
      <c r="A18" t="s">
        <v>91</v>
      </c>
      <c r="B18" s="5">
        <f>SUMIF(Location,A18, Purchase_Amount__USD)</f>
        <v>4883</v>
      </c>
      <c r="C18">
        <f xml:space="preserve"> COUNTIF(Location,A18)</f>
        <v>80</v>
      </c>
    </row>
    <row r="19" spans="1:3" x14ac:dyDescent="0.25">
      <c r="A19" t="s">
        <v>98</v>
      </c>
      <c r="B19" s="5">
        <f>SUMIF(Location,A19, Purchase_Amount__USD)</f>
        <v>4742</v>
      </c>
      <c r="C19">
        <f xml:space="preserve"> COUNTIF(Location,A19)</f>
        <v>78</v>
      </c>
    </row>
    <row r="20" spans="1:3" x14ac:dyDescent="0.25">
      <c r="A20" t="s">
        <v>99</v>
      </c>
      <c r="B20" s="5">
        <f>SUMIF(Location,A20, Purchase_Amount__USD)</f>
        <v>5605</v>
      </c>
      <c r="C20">
        <f xml:space="preserve"> COUNTIF(Location,A20)</f>
        <v>95</v>
      </c>
    </row>
    <row r="21" spans="1:3" x14ac:dyDescent="0.25">
      <c r="A21" t="s">
        <v>101</v>
      </c>
      <c r="B21" s="5">
        <f>SUMIF(Location,A21, Purchase_Amount__USD)</f>
        <v>4376</v>
      </c>
      <c r="C21">
        <f xml:space="preserve"> COUNTIF(Location,A21)</f>
        <v>75</v>
      </c>
    </row>
    <row r="22" spans="1:3" x14ac:dyDescent="0.25">
      <c r="A22" t="s">
        <v>103</v>
      </c>
      <c r="B22" s="5">
        <f>SUMIF(Location,A22, Purchase_Amount__USD)</f>
        <v>3798</v>
      </c>
      <c r="C22">
        <f xml:space="preserve"> COUNTIF(Location,A22)</f>
        <v>68</v>
      </c>
    </row>
    <row r="23" spans="1:3" x14ac:dyDescent="0.25">
      <c r="A23" t="s">
        <v>105</v>
      </c>
      <c r="B23" s="5">
        <f>SUMIF(Location,A23, Purchase_Amount__USD)</f>
        <v>4712</v>
      </c>
      <c r="C23">
        <f xml:space="preserve"> COUNTIF(Location,A23)</f>
        <v>77</v>
      </c>
    </row>
    <row r="24" spans="1:3" x14ac:dyDescent="0.25">
      <c r="A24" t="s">
        <v>107</v>
      </c>
      <c r="B24" s="5">
        <f>SUMIF(Location,A24, Purchase_Amount__USD)</f>
        <v>5514</v>
      </c>
      <c r="C24">
        <f xml:space="preserve"> COUNTIF(Location,A24)</f>
        <v>87</v>
      </c>
    </row>
    <row r="25" spans="1:3" x14ac:dyDescent="0.25">
      <c r="A25" t="s">
        <v>111</v>
      </c>
      <c r="B25" s="5">
        <f>SUMIF(Location,A25, Purchase_Amount__USD)</f>
        <v>3437</v>
      </c>
      <c r="C25">
        <f xml:space="preserve"> COUNTIF(Location,A25)</f>
        <v>63</v>
      </c>
    </row>
    <row r="26" spans="1:3" x14ac:dyDescent="0.25">
      <c r="A26" t="s">
        <v>112</v>
      </c>
      <c r="B26" s="5">
        <f>SUMIF(Location,A26, Purchase_Amount__USD)</f>
        <v>4222</v>
      </c>
      <c r="C26">
        <f xml:space="preserve"> COUNTIF(Location,A26)</f>
        <v>75</v>
      </c>
    </row>
    <row r="27" spans="1:3" x14ac:dyDescent="0.25">
      <c r="A27" t="s">
        <v>114</v>
      </c>
      <c r="B27" s="5">
        <f>SUMIF(Location,A27, Purchase_Amount__USD)</f>
        <v>5220</v>
      </c>
      <c r="C27">
        <f xml:space="preserve"> COUNTIF(Location,A27)</f>
        <v>83</v>
      </c>
    </row>
    <row r="28" spans="1:3" x14ac:dyDescent="0.25">
      <c r="A28" t="s">
        <v>115</v>
      </c>
      <c r="B28" s="5">
        <f>SUMIF(Location,A28, Purchase_Amount__USD)</f>
        <v>5617</v>
      </c>
      <c r="C28">
        <f xml:space="preserve"> COUNTIF(Location,A28)</f>
        <v>92</v>
      </c>
    </row>
    <row r="29" spans="1:3" x14ac:dyDescent="0.25">
      <c r="A29" t="s">
        <v>116</v>
      </c>
      <c r="B29" s="5">
        <f>SUMIF(Location,A29, Purchase_Amount__USD)</f>
        <v>4655</v>
      </c>
      <c r="C29">
        <f xml:space="preserve"> COUNTIF(Location,A29)</f>
        <v>79</v>
      </c>
    </row>
    <row r="30" spans="1:3" x14ac:dyDescent="0.25">
      <c r="A30" t="s">
        <v>117</v>
      </c>
      <c r="B30" s="5">
        <f>SUMIF(Location,A30, Purchase_Amount__USD)</f>
        <v>4326</v>
      </c>
      <c r="C30">
        <f xml:space="preserve"> COUNTIF(Location,A30)</f>
        <v>65</v>
      </c>
    </row>
    <row r="31" spans="1:3" x14ac:dyDescent="0.25">
      <c r="A31" t="s">
        <v>120</v>
      </c>
      <c r="B31" s="5">
        <f>SUMIF(Location,A31, Purchase_Amount__USD)</f>
        <v>4867</v>
      </c>
      <c r="C31">
        <f xml:space="preserve"> COUNTIF(Location,A31)</f>
        <v>72</v>
      </c>
    </row>
    <row r="32" spans="1:3" x14ac:dyDescent="0.25">
      <c r="A32" t="s">
        <v>122</v>
      </c>
      <c r="B32" s="5">
        <f>SUMIF(Location,A32, Purchase_Amount__USD)</f>
        <v>4772</v>
      </c>
      <c r="C32">
        <f xml:space="preserve"> COUNTIF(Location,A32)</f>
        <v>77</v>
      </c>
    </row>
    <row r="33" spans="1:3" x14ac:dyDescent="0.25">
      <c r="A33" t="s">
        <v>123</v>
      </c>
      <c r="B33" s="5">
        <f>SUMIF(Location,A33, Purchase_Amount__USD)</f>
        <v>4649</v>
      </c>
      <c r="C33">
        <f xml:space="preserve"> COUNTIF(Location,A33)</f>
        <v>77</v>
      </c>
    </row>
    <row r="34" spans="1:3" x14ac:dyDescent="0.25">
      <c r="A34" t="s">
        <v>127</v>
      </c>
      <c r="B34" s="5">
        <f>SUMIF(Location,A34, Purchase_Amount__USD)</f>
        <v>3802</v>
      </c>
      <c r="C34">
        <f xml:space="preserve"> COUNTIF(Location,A34)</f>
        <v>67</v>
      </c>
    </row>
    <row r="35" spans="1:3" x14ac:dyDescent="0.25">
      <c r="A35" t="s">
        <v>128</v>
      </c>
      <c r="B35" s="5">
        <f>SUMIF(Location,A35, Purchase_Amount__USD)</f>
        <v>4795</v>
      </c>
      <c r="C35">
        <f xml:space="preserve"> COUNTIF(Location,A35)</f>
        <v>86</v>
      </c>
    </row>
    <row r="36" spans="1:3" x14ac:dyDescent="0.25">
      <c r="A36" t="s">
        <v>129</v>
      </c>
      <c r="B36" s="5">
        <f>SUMIF(Location,A36, Purchase_Amount__USD)</f>
        <v>4860</v>
      </c>
      <c r="C36">
        <f xml:space="preserve"> COUNTIF(Location,A36)</f>
        <v>85</v>
      </c>
    </row>
    <row r="37" spans="1:3" x14ac:dyDescent="0.25">
      <c r="A37" t="s">
        <v>130</v>
      </c>
      <c r="B37" s="5">
        <f>SUMIF(Location,A37, Purchase_Amount__USD)</f>
        <v>5014</v>
      </c>
      <c r="C37">
        <f xml:space="preserve"> COUNTIF(Location,A37)</f>
        <v>81</v>
      </c>
    </row>
    <row r="38" spans="1:3" x14ac:dyDescent="0.25">
      <c r="A38" t="s">
        <v>131</v>
      </c>
      <c r="B38" s="5">
        <f>SUMIF(Location,A38, Purchase_Amount__USD)</f>
        <v>4439</v>
      </c>
      <c r="C38">
        <f xml:space="preserve"> COUNTIF(Location,A38)</f>
        <v>76</v>
      </c>
    </row>
    <row r="39" spans="1:3" x14ac:dyDescent="0.25">
      <c r="A39" t="s">
        <v>135</v>
      </c>
      <c r="B39" s="5">
        <f>SUMIF(Location,A39, Purchase_Amount__USD)</f>
        <v>5587</v>
      </c>
      <c r="C39">
        <f xml:space="preserve"> COUNTIF(Location,A39)</f>
        <v>93</v>
      </c>
    </row>
    <row r="40" spans="1:3" x14ac:dyDescent="0.25">
      <c r="A40" t="s">
        <v>138</v>
      </c>
      <c r="B40" s="5">
        <f>SUMIF(Location,A40, Purchase_Amount__USD)</f>
        <v>4926</v>
      </c>
      <c r="C40">
        <f xml:space="preserve"> COUNTIF(Location,A40)</f>
        <v>74</v>
      </c>
    </row>
    <row r="41" spans="1:3" x14ac:dyDescent="0.25">
      <c r="A41" t="s">
        <v>139</v>
      </c>
      <c r="B41" s="5">
        <f>SUMIF(Location,A41, Purchase_Amount__USD)</f>
        <v>4226</v>
      </c>
      <c r="C41">
        <f xml:space="preserve"> COUNTIF(Location,A41)</f>
        <v>78</v>
      </c>
    </row>
    <row r="42" spans="1:3" x14ac:dyDescent="0.25">
      <c r="A42" t="s">
        <v>140</v>
      </c>
      <c r="B42" s="5">
        <f>SUMIF(Location,A42, Purchase_Amount__USD)</f>
        <v>4443</v>
      </c>
      <c r="C42">
        <f xml:space="preserve"> COUNTIF(Location,A42)</f>
        <v>71</v>
      </c>
    </row>
    <row r="43" spans="1:3" x14ac:dyDescent="0.25">
      <c r="A43" t="s">
        <v>141</v>
      </c>
      <c r="B43" s="5">
        <f>SUMIF(Location,A43, Purchase_Amount__USD)</f>
        <v>4842</v>
      </c>
      <c r="C43">
        <f xml:space="preserve"> COUNTIF(Location,A43)</f>
        <v>77</v>
      </c>
    </row>
    <row r="44" spans="1:3" x14ac:dyDescent="0.25">
      <c r="A44" t="s">
        <v>142</v>
      </c>
      <c r="B44" s="5">
        <f>SUMIF(Location,A44, Purchase_Amount__USD)</f>
        <v>4645</v>
      </c>
      <c r="C44">
        <f xml:space="preserve"> COUNTIF(Location,A44)</f>
        <v>79</v>
      </c>
    </row>
    <row r="45" spans="1:3" x14ac:dyDescent="0.25">
      <c r="A45" t="s">
        <v>145</v>
      </c>
      <c r="B45" s="5">
        <f>SUMIF(Location,A45, Purchase_Amount__USD)</f>
        <v>5172</v>
      </c>
      <c r="C45">
        <f xml:space="preserve"> COUNTIF(Location,A45)</f>
        <v>87</v>
      </c>
    </row>
    <row r="46" spans="1:3" x14ac:dyDescent="0.25">
      <c r="A46" t="s">
        <v>146</v>
      </c>
      <c r="B46" s="5">
        <f>SUMIF(Location,A46, Purchase_Amount__USD)</f>
        <v>4201</v>
      </c>
      <c r="C46">
        <f xml:space="preserve"> COUNTIF(Location,A46)</f>
        <v>69</v>
      </c>
    </row>
    <row r="47" spans="1:3" x14ac:dyDescent="0.25">
      <c r="A47" t="s">
        <v>147</v>
      </c>
      <c r="B47" s="5">
        <f>SUMIF(Location,A47, Purchase_Amount__USD)</f>
        <v>4236</v>
      </c>
      <c r="C47">
        <f xml:space="preserve"> COUNTIF(Location,A47)</f>
        <v>70</v>
      </c>
    </row>
    <row r="48" spans="1:3" x14ac:dyDescent="0.25">
      <c r="A48" t="s">
        <v>148</v>
      </c>
      <c r="B48" s="5">
        <f>SUMIF(Location,A48, Purchase_Amount__USD)</f>
        <v>4977</v>
      </c>
      <c r="C48">
        <f xml:space="preserve"> COUNTIF(Location,A48)</f>
        <v>88</v>
      </c>
    </row>
    <row r="49" spans="1:3" x14ac:dyDescent="0.25">
      <c r="A49" t="s">
        <v>149</v>
      </c>
      <c r="B49" s="5">
        <f>SUMIF(Location,A49, Purchase_Amount__USD)</f>
        <v>4623</v>
      </c>
      <c r="C49">
        <f xml:space="preserve"> COUNTIF(Location,A49)</f>
        <v>73</v>
      </c>
    </row>
    <row r="50" spans="1:3" x14ac:dyDescent="0.25">
      <c r="A50" t="s">
        <v>150</v>
      </c>
      <c r="B50" s="5">
        <f>SUMIF(Location,A50, Purchase_Amount__USD)</f>
        <v>4196</v>
      </c>
      <c r="C50">
        <f xml:space="preserve"> COUNTIF(Location,A50)</f>
        <v>75</v>
      </c>
    </row>
    <row r="51" spans="1:3" x14ac:dyDescent="0.25">
      <c r="A51" t="s">
        <v>151</v>
      </c>
      <c r="B51" s="5">
        <f>SUMIF(Location,A51, Purchase_Amount__USD)</f>
        <v>4533</v>
      </c>
      <c r="C51">
        <f xml:space="preserve"> COUNTIF(Location,A51)</f>
        <v>73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1A96-9EC9-4E4C-9BFC-1B7041BC8AA6}">
  <dimension ref="A1:C7"/>
  <sheetViews>
    <sheetView workbookViewId="0">
      <selection activeCell="A2" sqref="A2"/>
    </sheetView>
  </sheetViews>
  <sheetFormatPr defaultRowHeight="15" x14ac:dyDescent="0.25"/>
  <cols>
    <col min="1" max="1" width="18.5703125" customWidth="1"/>
    <col min="2" max="2" width="12.5703125" customWidth="1"/>
    <col min="3" max="3" width="14" customWidth="1"/>
  </cols>
  <sheetData>
    <row r="1" spans="1:3" x14ac:dyDescent="0.25">
      <c r="A1" t="s">
        <v>168</v>
      </c>
      <c r="B1" t="s">
        <v>154</v>
      </c>
      <c r="C1" t="s">
        <v>156</v>
      </c>
    </row>
    <row r="2" spans="1:3" x14ac:dyDescent="0.25">
      <c r="A2" t="s">
        <v>27</v>
      </c>
      <c r="B2" s="5">
        <f>SUMIF(Payment_Method,A2, Purchase_Amount__USD)</f>
        <v>42567</v>
      </c>
      <c r="C2">
        <f xml:space="preserve"> COUNTIF(Payment_Method,A2)</f>
        <v>696</v>
      </c>
    </row>
    <row r="3" spans="1:3" x14ac:dyDescent="0.25">
      <c r="A3" t="s">
        <v>29</v>
      </c>
      <c r="B3" s="5">
        <f>SUMIF(Payment_Method,A3, Purchase_Amount__USD)</f>
        <v>39991</v>
      </c>
      <c r="C3">
        <f xml:space="preserve"> COUNTIF(Payment_Method,A3)</f>
        <v>653</v>
      </c>
    </row>
    <row r="4" spans="1:3" x14ac:dyDescent="0.25">
      <c r="A4" t="s">
        <v>35</v>
      </c>
      <c r="B4" s="5">
        <f>SUMIF(Payment_Method,A4, Purchase_Amount__USD)</f>
        <v>38833</v>
      </c>
      <c r="C4">
        <f xml:space="preserve"> COUNTIF(Payment_Method,A4)</f>
        <v>648</v>
      </c>
    </row>
    <row r="5" spans="1:3" x14ac:dyDescent="0.25">
      <c r="A5" t="s">
        <v>46</v>
      </c>
      <c r="B5" s="5">
        <f>SUMIF(Payment_Method,A5, Purchase_Amount__USD)</f>
        <v>37449</v>
      </c>
      <c r="C5">
        <f xml:space="preserve"> COUNTIF(Payment_Method,A5)</f>
        <v>638</v>
      </c>
    </row>
    <row r="6" spans="1:3" x14ac:dyDescent="0.25">
      <c r="A6" t="s">
        <v>34</v>
      </c>
      <c r="B6" s="5">
        <f>SUMIF(Payment_Method,A6, Purchase_Amount__USD)</f>
        <v>37123</v>
      </c>
      <c r="C6">
        <f xml:space="preserve"> COUNTIF(Payment_Method,A6)</f>
        <v>632</v>
      </c>
    </row>
    <row r="7" spans="1:3" x14ac:dyDescent="0.25">
      <c r="A7" t="s">
        <v>59</v>
      </c>
      <c r="B7" s="5">
        <f>SUMIF(Payment_Method,A7, Purchase_Amount__USD)</f>
        <v>37118</v>
      </c>
      <c r="C7">
        <f xml:space="preserve"> COUNTIF(Payment_Method,A7)</f>
        <v>633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7B7E-3E91-4C58-96ED-976583E34131}">
  <dimension ref="A1:C3"/>
  <sheetViews>
    <sheetView workbookViewId="0">
      <selection activeCell="S6" sqref="S6"/>
    </sheetView>
  </sheetViews>
  <sheetFormatPr defaultRowHeight="15" x14ac:dyDescent="0.25"/>
  <cols>
    <col min="1" max="2" width="9.85546875" customWidth="1"/>
  </cols>
  <sheetData>
    <row r="1" spans="1:3" x14ac:dyDescent="0.25">
      <c r="A1" t="s">
        <v>2</v>
      </c>
      <c r="B1" t="s">
        <v>159</v>
      </c>
      <c r="C1" t="s">
        <v>161</v>
      </c>
    </row>
    <row r="2" spans="1:3" x14ac:dyDescent="0.25">
      <c r="A2" t="s">
        <v>19</v>
      </c>
      <c r="B2">
        <f>COUNTIF(Gender,A2)</f>
        <v>2652</v>
      </c>
      <c r="C2">
        <f>AVERAGEIF(Gender, A2, Purchase_Amount__USD)</f>
        <v>59.536199095022624</v>
      </c>
    </row>
    <row r="3" spans="1:3" x14ac:dyDescent="0.25">
      <c r="A3" t="s">
        <v>153</v>
      </c>
      <c r="B3">
        <f>COUNTIF(Gender,A3)</f>
        <v>1248</v>
      </c>
      <c r="C3">
        <f>AVERAGEIF(Gender, A3, Purchase_Amount__USD)</f>
        <v>60.249198717948715</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48E30-8F6F-4D65-B5F6-33EAFB9070BD}">
  <dimension ref="A1:C8"/>
  <sheetViews>
    <sheetView workbookViewId="0">
      <selection activeCell="P13" sqref="P13"/>
    </sheetView>
  </sheetViews>
  <sheetFormatPr defaultRowHeight="15" x14ac:dyDescent="0.25"/>
  <cols>
    <col min="1" max="1" width="23.140625" customWidth="1"/>
    <col min="2" max="2" width="13.140625" customWidth="1"/>
  </cols>
  <sheetData>
    <row r="1" spans="1:3" x14ac:dyDescent="0.25">
      <c r="A1" t="s">
        <v>163</v>
      </c>
      <c r="B1" t="s">
        <v>159</v>
      </c>
      <c r="C1" t="s">
        <v>161</v>
      </c>
    </row>
    <row r="2" spans="1:3" x14ac:dyDescent="0.25">
      <c r="A2" t="s">
        <v>97</v>
      </c>
      <c r="B2">
        <f xml:space="preserve"> COUNTIF(Frequency_of_Purchases,A2)</f>
        <v>584</v>
      </c>
      <c r="C2" s="4">
        <f>AVERAGEIF(Frequency_of_Purchases,A2, Purchase_Amount__USD)</f>
        <v>60.082191780821915</v>
      </c>
    </row>
    <row r="3" spans="1:3" x14ac:dyDescent="0.25">
      <c r="A3" t="s">
        <v>50</v>
      </c>
      <c r="B3">
        <f xml:space="preserve"> COUNTIF(Frequency_of_Purchases,A3)</f>
        <v>572</v>
      </c>
      <c r="C3" s="4">
        <f>AVERAGEIF(Frequency_of_Purchases,A3, Purchase_Amount__USD)</f>
        <v>60.17307692307692</v>
      </c>
    </row>
    <row r="4" spans="1:3" x14ac:dyDescent="0.25">
      <c r="A4" t="s">
        <v>60</v>
      </c>
      <c r="B4">
        <f xml:space="preserve"> COUNTIF(Frequency_of_Purchases,A4)</f>
        <v>563</v>
      </c>
      <c r="C4" s="4">
        <f>AVERAGEIF(Frequency_of_Purchases,A4, Purchase_Amount__USD)</f>
        <v>59.984014209591471</v>
      </c>
    </row>
    <row r="5" spans="1:3" x14ac:dyDescent="0.25">
      <c r="A5" t="s">
        <v>88</v>
      </c>
      <c r="B5">
        <f xml:space="preserve"> COUNTIF(Frequency_of_Purchases,A5)</f>
        <v>553</v>
      </c>
      <c r="C5" s="4">
        <f>AVERAGEIF(Frequency_of_Purchases,A5, Purchase_Amount__USD)</f>
        <v>59.330922242314649</v>
      </c>
    </row>
    <row r="6" spans="1:3" x14ac:dyDescent="0.25">
      <c r="A6" t="s">
        <v>77</v>
      </c>
      <c r="B6">
        <f xml:space="preserve"> COUNTIF(Frequency_of_Purchases,A6)</f>
        <v>547</v>
      </c>
      <c r="C6" s="4">
        <f>AVERAGEIF(Frequency_of_Purchases,A6, Purchase_Amount__USD)</f>
        <v>60.694698354661789</v>
      </c>
    </row>
    <row r="7" spans="1:3" x14ac:dyDescent="0.25">
      <c r="A7" t="s">
        <v>30</v>
      </c>
      <c r="B7">
        <f xml:space="preserve"> COUNTIF(Frequency_of_Purchases,A7)</f>
        <v>542</v>
      </c>
      <c r="C7" s="4">
        <f>AVERAGEIF(Frequency_of_Purchases,A7, Purchase_Amount__USD)</f>
        <v>59.053505535055351</v>
      </c>
    </row>
    <row r="8" spans="1:3" x14ac:dyDescent="0.25">
      <c r="A8" t="s">
        <v>41</v>
      </c>
      <c r="B8">
        <f xml:space="preserve"> COUNTIF(Frequency_of_Purchases,A8)</f>
        <v>539</v>
      </c>
      <c r="C8" s="4">
        <f>AVERAGEIF(Frequency_of_Purchases,A8, Purchase_Amount__USD)</f>
        <v>58.972170686456401</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90B1-B559-4D17-B1E2-3B2C7A76C3E4}">
  <dimension ref="A1:C3"/>
  <sheetViews>
    <sheetView workbookViewId="0">
      <selection activeCell="K4" sqref="K4"/>
    </sheetView>
  </sheetViews>
  <sheetFormatPr defaultRowHeight="15" x14ac:dyDescent="0.25"/>
  <cols>
    <col min="1" max="1" width="12.42578125" customWidth="1"/>
    <col min="2" max="2" width="12.5703125" customWidth="1"/>
    <col min="3" max="3" width="20.7109375" customWidth="1"/>
  </cols>
  <sheetData>
    <row r="1" spans="1:3" x14ac:dyDescent="0.25">
      <c r="A1" t="s">
        <v>164</v>
      </c>
      <c r="B1" t="s">
        <v>154</v>
      </c>
      <c r="C1" t="s">
        <v>166</v>
      </c>
    </row>
    <row r="2" spans="1:3" x14ac:dyDescent="0.25">
      <c r="A2" t="s">
        <v>26</v>
      </c>
      <c r="B2" s="5">
        <f>SUMIF(Subscription_Status, A2, Purchase_Amount__USD)</f>
        <v>62645</v>
      </c>
      <c r="C2" s="7" cm="1">
        <f t="array" ref="C2">COUNTA(_xlfn.UNIQUE(_xlfn._xlws.FILTER(Customer_ID, Subscription_Status="Yes")))
 / COUNTA(_xlfn.UNIQUE(Customer_ID))</f>
        <v>0.27</v>
      </c>
    </row>
    <row r="3" spans="1:3" x14ac:dyDescent="0.25">
      <c r="A3" t="s">
        <v>152</v>
      </c>
      <c r="B3" s="5">
        <f>SUMIF(Subscription_Status, A3, Purchase_Amount__USD)</f>
        <v>170436</v>
      </c>
      <c r="C3" s="7" cm="1">
        <f t="array" ref="C3">COUNTA(_xlfn.UNIQUE(_xlfn._xlws.FILTER(Customer_ID, Subscription_Status="No")))
 / COUNTA(_xlfn.UNIQUE(Customer_ID))</f>
        <v>0.73</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1C01-63BF-4C36-B4E3-C3E4EEE3548A}">
  <dimension ref="A1:C7"/>
  <sheetViews>
    <sheetView workbookViewId="0">
      <selection activeCell="F21" sqref="F21"/>
    </sheetView>
  </sheetViews>
  <sheetFormatPr defaultRowHeight="15" x14ac:dyDescent="0.25"/>
  <cols>
    <col min="1" max="1" width="23.140625" customWidth="1"/>
    <col min="2" max="2" width="13.140625" customWidth="1"/>
  </cols>
  <sheetData>
    <row r="1" spans="1:3" x14ac:dyDescent="0.25">
      <c r="A1" t="s">
        <v>13</v>
      </c>
      <c r="B1" t="s">
        <v>159</v>
      </c>
      <c r="C1" t="s">
        <v>161</v>
      </c>
    </row>
    <row r="2" spans="1:3" x14ac:dyDescent="0.25">
      <c r="A2" t="s">
        <v>40</v>
      </c>
      <c r="B2">
        <f>COUNTIF(Shipping_Type, A2)</f>
        <v>675</v>
      </c>
      <c r="C2" s="4">
        <f>AVERAGEIF(Shipping_Type,A2, Purchase_Amount__USD)</f>
        <v>60.410370370370373</v>
      </c>
    </row>
    <row r="3" spans="1:3" x14ac:dyDescent="0.25">
      <c r="A3" t="s">
        <v>55</v>
      </c>
      <c r="B3">
        <f>COUNTIF(Shipping_Type, A3)</f>
        <v>654</v>
      </c>
      <c r="C3" s="4">
        <f>AVERAGEIF(Shipping_Type,A3, Purchase_Amount__USD)</f>
        <v>58.460244648318046</v>
      </c>
    </row>
    <row r="4" spans="1:3" x14ac:dyDescent="0.25">
      <c r="A4" t="s">
        <v>76</v>
      </c>
      <c r="B4">
        <f>COUNTIF(Shipping_Type, A4)</f>
        <v>650</v>
      </c>
      <c r="C4" s="4">
        <f>AVERAGEIF(Shipping_Type,A4, Purchase_Amount__USD)</f>
        <v>59.893846153846155</v>
      </c>
    </row>
    <row r="5" spans="1:3" x14ac:dyDescent="0.25">
      <c r="A5" t="s">
        <v>47</v>
      </c>
      <c r="B5">
        <f>COUNTIF(Shipping_Type, A5)</f>
        <v>648</v>
      </c>
      <c r="C5" s="4">
        <f>AVERAGEIF(Shipping_Type,A5, Purchase_Amount__USD)</f>
        <v>58.631172839506171</v>
      </c>
    </row>
    <row r="6" spans="1:3" x14ac:dyDescent="0.25">
      <c r="A6" t="s">
        <v>28</v>
      </c>
      <c r="B6">
        <f>COUNTIF(Shipping_Type, A6)</f>
        <v>646</v>
      </c>
      <c r="C6" s="4">
        <f>AVERAGEIF(Shipping_Type,A6, Purchase_Amount__USD)</f>
        <v>60.475232198142415</v>
      </c>
    </row>
    <row r="7" spans="1:3" x14ac:dyDescent="0.25">
      <c r="A7" t="s">
        <v>72</v>
      </c>
      <c r="B7">
        <f>COUNTIF(Shipping_Type, A7)</f>
        <v>627</v>
      </c>
      <c r="C7" s="4">
        <f>AVERAGEIF(Shipping_Type,A7, Purchase_Amount__USD)</f>
        <v>60.733652312599681</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62E3-36F0-44C4-AEE2-2A3AADB87FE1}">
  <dimension ref="A1:B5"/>
  <sheetViews>
    <sheetView workbookViewId="0">
      <selection activeCell="P10" sqref="P10"/>
    </sheetView>
  </sheetViews>
  <sheetFormatPr defaultRowHeight="15" x14ac:dyDescent="0.25"/>
  <cols>
    <col min="2" max="2" width="11.85546875" customWidth="1"/>
  </cols>
  <sheetData>
    <row r="1" spans="1:2" x14ac:dyDescent="0.25">
      <c r="A1" t="s">
        <v>7</v>
      </c>
      <c r="B1" t="s">
        <v>167</v>
      </c>
    </row>
    <row r="2" spans="1:2" x14ac:dyDescent="0.25">
      <c r="A2" t="s">
        <v>92</v>
      </c>
      <c r="B2" s="5">
        <f>SUMIF(Size,A2, Purchase_Amount__USD)</f>
        <v>25779</v>
      </c>
    </row>
    <row r="3" spans="1:2" x14ac:dyDescent="0.25">
      <c r="A3" t="s">
        <v>38</v>
      </c>
      <c r="B3" s="5">
        <f>SUMIF(Size,A3, Purchase_Amount__USD)</f>
        <v>40468</v>
      </c>
    </row>
    <row r="4" spans="1:2" x14ac:dyDescent="0.25">
      <c r="A4" t="s">
        <v>23</v>
      </c>
      <c r="B4" s="5">
        <f>SUMIF(Size,A4, Purchase_Amount__USD)</f>
        <v>61667</v>
      </c>
    </row>
    <row r="5" spans="1:2" x14ac:dyDescent="0.25">
      <c r="A5" t="s">
        <v>45</v>
      </c>
      <c r="B5" s="5">
        <f>SUMIF(Size,A5, Purchase_Amount__USD)</f>
        <v>105167</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534EB-7C03-4003-94B5-5E44F7B10545}">
  <dimension ref="A1:B3"/>
  <sheetViews>
    <sheetView workbookViewId="0">
      <selection sqref="A1:B3"/>
    </sheetView>
  </sheetViews>
  <sheetFormatPr defaultRowHeight="15" x14ac:dyDescent="0.25"/>
  <sheetData>
    <row r="1" spans="1:2" x14ac:dyDescent="0.25">
      <c r="A1" t="s">
        <v>165</v>
      </c>
      <c r="B1" t="s">
        <v>156</v>
      </c>
    </row>
    <row r="2" spans="1:2" x14ac:dyDescent="0.25">
      <c r="A2" t="s">
        <v>26</v>
      </c>
      <c r="B2">
        <f>COUNTIF(Discount_Applied, A2)</f>
        <v>1677</v>
      </c>
    </row>
    <row r="3" spans="1:2" x14ac:dyDescent="0.25">
      <c r="A3" t="s">
        <v>152</v>
      </c>
      <c r="B3">
        <f>COUNTIF(Discount_Applied, A3)</f>
        <v>2223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7DF55-8D07-49D0-A840-0955B8140906}">
  <dimension ref="A1:C26"/>
  <sheetViews>
    <sheetView workbookViewId="0">
      <selection activeCell="X31" sqref="X31"/>
    </sheetView>
  </sheetViews>
  <sheetFormatPr defaultRowHeight="15" x14ac:dyDescent="0.25"/>
  <cols>
    <col min="1" max="1" width="10" customWidth="1"/>
    <col min="2" max="2" width="13.140625" customWidth="1"/>
  </cols>
  <sheetData>
    <row r="1" spans="1:3" x14ac:dyDescent="0.25">
      <c r="A1" t="s">
        <v>162</v>
      </c>
      <c r="B1" t="s">
        <v>155</v>
      </c>
      <c r="C1" t="s">
        <v>161</v>
      </c>
    </row>
    <row r="2" spans="1:3" x14ac:dyDescent="0.25">
      <c r="A2" t="s">
        <v>20</v>
      </c>
      <c r="B2" s="5">
        <f xml:space="preserve"> SUMIF(Item_Purchased,A2, Purchase_Amount__USD)</f>
        <v>10410</v>
      </c>
      <c r="C2" s="4">
        <f>AVERAGEIF(Item_Purchased,A2, Purchase_Amount__USD)</f>
        <v>60.877192982456137</v>
      </c>
    </row>
    <row r="3" spans="1:3" x14ac:dyDescent="0.25">
      <c r="A3" t="s">
        <v>56</v>
      </c>
      <c r="B3" s="5">
        <f xml:space="preserve"> SUMIF(Item_Purchased,A3, Purchase_Amount__USD)</f>
        <v>10332</v>
      </c>
      <c r="C3" s="4">
        <f>AVERAGEIF(Item_Purchased,A3, Purchase_Amount__USD)</f>
        <v>61.136094674556212</v>
      </c>
    </row>
    <row r="4" spans="1:3" hidden="1" x14ac:dyDescent="0.25">
      <c r="A4" t="s">
        <v>36</v>
      </c>
      <c r="B4" s="5">
        <f xml:space="preserve"> SUMIF(Item_Purchased,A4, Purchase_Amount__USD)</f>
        <v>7548</v>
      </c>
      <c r="C4" s="4">
        <f>AVERAGEIF(Item_Purchased,A4, Purchase_Amount__USD)</f>
        <v>60.87096774193548</v>
      </c>
    </row>
    <row r="5" spans="1:3" hidden="1" x14ac:dyDescent="0.25">
      <c r="A5" t="s">
        <v>42</v>
      </c>
      <c r="B5" s="5">
        <f xml:space="preserve"> SUMIF(Item_Purchased,A5, Purchase_Amount__USD)</f>
        <v>9200</v>
      </c>
      <c r="C5" s="4">
        <f>AVERAGEIF(Item_Purchased,A5, Purchase_Amount__USD)</f>
        <v>57.5</v>
      </c>
    </row>
    <row r="6" spans="1:3" hidden="1" x14ac:dyDescent="0.25">
      <c r="A6" t="s">
        <v>51</v>
      </c>
      <c r="B6" s="5">
        <f xml:space="preserve"> SUMIF(Item_Purchased,A6, Purchase_Amount__USD)</f>
        <v>8635</v>
      </c>
      <c r="C6" s="4">
        <f>AVERAGEIF(Item_Purchased,A6, Purchase_Amount__USD)</f>
        <v>59.551724137931032</v>
      </c>
    </row>
    <row r="7" spans="1:3" x14ac:dyDescent="0.25">
      <c r="A7" t="s">
        <v>82</v>
      </c>
      <c r="B7" s="5">
        <f xml:space="preserve"> SUMIF(Item_Purchased,A7, Purchase_Amount__USD)</f>
        <v>10320</v>
      </c>
      <c r="C7" s="4">
        <f>AVERAGEIF(Item_Purchased,A7, Purchase_Amount__USD)</f>
        <v>62.168674698795179</v>
      </c>
    </row>
    <row r="8" spans="1:3" x14ac:dyDescent="0.25">
      <c r="A8" t="s">
        <v>95</v>
      </c>
      <c r="B8" s="5">
        <f xml:space="preserve"> SUMIF(Item_Purchased,A8, Purchase_Amount__USD)</f>
        <v>10090</v>
      </c>
      <c r="C8" s="4">
        <f>AVERAGEIF(Item_Purchased,A8, Purchase_Amount__USD)</f>
        <v>59.005847953216374</v>
      </c>
    </row>
    <row r="9" spans="1:3" hidden="1" x14ac:dyDescent="0.25">
      <c r="A9" t="s">
        <v>64</v>
      </c>
      <c r="B9" s="5">
        <f xml:space="preserve"> SUMIF(Item_Purchased,A9, Purchase_Amount__USD)</f>
        <v>9275</v>
      </c>
      <c r="C9" s="4">
        <f>AVERAGEIF(Item_Purchased,A9, Purchase_Amount__USD)</f>
        <v>57.608695652173914</v>
      </c>
    </row>
    <row r="10" spans="1:3" hidden="1" x14ac:dyDescent="0.25">
      <c r="A10" t="s">
        <v>68</v>
      </c>
      <c r="B10" s="5">
        <f xml:space="preserve"> SUMIF(Item_Purchased,A10, Purchase_Amount__USD)</f>
        <v>8857</v>
      </c>
      <c r="C10" s="4">
        <f>AVERAGEIF(Item_Purchased,A10, Purchase_Amount__USD)</f>
        <v>57.888888888888886</v>
      </c>
    </row>
    <row r="11" spans="1:3" hidden="1" x14ac:dyDescent="0.25">
      <c r="A11" t="s">
        <v>73</v>
      </c>
      <c r="B11" s="5">
        <f xml:space="preserve"> SUMIF(Item_Purchased,A11, Purchase_Amount__USD)</f>
        <v>9240</v>
      </c>
      <c r="C11" s="4">
        <f>AVERAGEIF(Item_Purchased,A11, Purchase_Amount__USD)</f>
        <v>61.6</v>
      </c>
    </row>
    <row r="12" spans="1:3" x14ac:dyDescent="0.25">
      <c r="A12" t="s">
        <v>106</v>
      </c>
      <c r="B12" s="5">
        <f xml:space="preserve"> SUMIF(Item_Purchased,A12, Purchase_Amount__USD)</f>
        <v>10010</v>
      </c>
      <c r="C12" s="4">
        <f>AVERAGEIF(Item_Purchased,A12, Purchase_Amount__USD)</f>
        <v>58.538011695906434</v>
      </c>
    </row>
    <row r="13" spans="1:3" hidden="1" x14ac:dyDescent="0.25">
      <c r="A13" t="s">
        <v>87</v>
      </c>
      <c r="B13" s="5">
        <f xml:space="preserve"> SUMIF(Item_Purchased,A13, Purchase_Amount__USD)</f>
        <v>9402</v>
      </c>
      <c r="C13" s="4">
        <f>AVERAGEIF(Item_Purchased,A13, Purchase_Amount__USD)</f>
        <v>59.506329113924053</v>
      </c>
    </row>
    <row r="14" spans="1:3" x14ac:dyDescent="0.25">
      <c r="A14" t="s">
        <v>89</v>
      </c>
      <c r="B14" s="5">
        <f xml:space="preserve"> SUMIF(Item_Purchased,A14, Purchase_Amount__USD)</f>
        <v>9649</v>
      </c>
      <c r="C14" s="4">
        <f>AVERAGEIF(Item_Purchased,A14, Purchase_Amount__USD)</f>
        <v>59.931677018633543</v>
      </c>
    </row>
    <row r="15" spans="1:3" x14ac:dyDescent="0.25">
      <c r="A15" t="s">
        <v>133</v>
      </c>
      <c r="B15" s="5">
        <f xml:space="preserve"> SUMIF(Item_Purchased,A15, Purchase_Amount__USD)</f>
        <v>9635</v>
      </c>
      <c r="C15" s="4">
        <f>AVERAGEIF(Item_Purchased,A15, Purchase_Amount__USD)</f>
        <v>59.844720496894411</v>
      </c>
    </row>
    <row r="16" spans="1:3" hidden="1" x14ac:dyDescent="0.25">
      <c r="A16" t="s">
        <v>102</v>
      </c>
      <c r="B16" s="5">
        <f xml:space="preserve"> SUMIF(Item_Purchased,A16, Purchase_Amount__USD)</f>
        <v>9249</v>
      </c>
      <c r="C16" s="4">
        <f>AVERAGEIF(Item_Purchased,A16, Purchase_Amount__USD)</f>
        <v>56.742331288343557</v>
      </c>
    </row>
    <row r="17" spans="1:3" hidden="1" x14ac:dyDescent="0.25">
      <c r="A17" t="s">
        <v>104</v>
      </c>
      <c r="B17" s="5">
        <f xml:space="preserve"> SUMIF(Item_Purchased,A17, Purchase_Amount__USD)</f>
        <v>8767</v>
      </c>
      <c r="C17" s="4">
        <f>AVERAGEIF(Item_Purchased,A17, Purchase_Amount__USD)</f>
        <v>58.059602649006621</v>
      </c>
    </row>
    <row r="18" spans="1:3" x14ac:dyDescent="0.25">
      <c r="A18" t="s">
        <v>119</v>
      </c>
      <c r="B18" s="5">
        <f xml:space="preserve"> SUMIF(Item_Purchased,A18, Purchase_Amount__USD)</f>
        <v>9561</v>
      </c>
      <c r="C18" s="4">
        <f>AVERAGEIF(Item_Purchased,A18, Purchase_Amount__USD)</f>
        <v>60.898089171974519</v>
      </c>
    </row>
    <row r="19" spans="1:3" hidden="1" x14ac:dyDescent="0.25">
      <c r="A19" t="s">
        <v>113</v>
      </c>
      <c r="B19" s="5">
        <f xml:space="preserve"> SUMIF(Item_Purchased,A19, Purchase_Amount__USD)</f>
        <v>9248</v>
      </c>
      <c r="C19" s="4">
        <f>AVERAGEIF(Item_Purchased,A19, Purchase_Amount__USD)</f>
        <v>62.911564625850339</v>
      </c>
    </row>
    <row r="20" spans="1:3" x14ac:dyDescent="0.25">
      <c r="A20" t="s">
        <v>31</v>
      </c>
      <c r="B20" s="5">
        <f xml:space="preserve"> SUMIF(Item_Purchased,A20, Purchase_Amount__USD)</f>
        <v>9462</v>
      </c>
      <c r="C20" s="4">
        <f>AVERAGEIF(Item_Purchased,A20, Purchase_Amount__USD)</f>
        <v>57.695121951219512</v>
      </c>
    </row>
    <row r="21" spans="1:3" hidden="1" x14ac:dyDescent="0.25">
      <c r="A21" t="s">
        <v>124</v>
      </c>
      <c r="B21" s="5">
        <f xml:space="preserve"> SUMIF(Item_Purchased,A21, Purchase_Amount__USD)</f>
        <v>9375</v>
      </c>
      <c r="C21" s="4">
        <f>AVERAGEIF(Item_Purchased,A21, Purchase_Amount__USD)</f>
        <v>60.876623376623378</v>
      </c>
    </row>
    <row r="22" spans="1:3" hidden="1" x14ac:dyDescent="0.25">
      <c r="A22" t="s">
        <v>125</v>
      </c>
      <c r="B22" s="5">
        <f xml:space="preserve"> SUMIF(Item_Purchased,A22, Purchase_Amount__USD)</f>
        <v>9252</v>
      </c>
      <c r="C22" s="4">
        <f>AVERAGEIF(Item_Purchased,A22, Purchase_Amount__USD)</f>
        <v>58.188679245283019</v>
      </c>
    </row>
    <row r="23" spans="1:3" hidden="1" x14ac:dyDescent="0.25">
      <c r="A23" t="s">
        <v>132</v>
      </c>
      <c r="B23" s="5">
        <f xml:space="preserve"> SUMIF(Item_Purchased,A23, Purchase_Amount__USD)</f>
        <v>8636</v>
      </c>
      <c r="C23" s="4">
        <f>AVERAGEIF(Item_Purchased,A23, Purchase_Amount__USD)</f>
        <v>60.391608391608393</v>
      </c>
    </row>
    <row r="24" spans="1:3" x14ac:dyDescent="0.25">
      <c r="A24" t="s">
        <v>61</v>
      </c>
      <c r="B24" s="5">
        <f xml:space="preserve"> SUMIF(Item_Purchased,A24, Purchase_Amount__USD)</f>
        <v>9433</v>
      </c>
      <c r="C24" s="4">
        <f>AVERAGEIF(Item_Purchased,A24, Purchase_Amount__USD)</f>
        <v>60.082802547770697</v>
      </c>
    </row>
    <row r="25" spans="1:3" hidden="1" x14ac:dyDescent="0.25">
      <c r="A25" t="s">
        <v>137</v>
      </c>
      <c r="B25" s="5">
        <f xml:space="preserve"> SUMIF(Item_Purchased,A25, Purchase_Amount__USD)</f>
        <v>9018</v>
      </c>
      <c r="C25" s="4">
        <f>AVERAGEIF(Item_Purchased,A25, Purchase_Amount__USD)</f>
        <v>62.625</v>
      </c>
    </row>
    <row r="26" spans="1:3" hidden="1" x14ac:dyDescent="0.25">
      <c r="A26" t="s">
        <v>143</v>
      </c>
      <c r="B26" s="5">
        <f xml:space="preserve"> SUMIF(Item_Purchased,A26, Purchase_Amount__USD)</f>
        <v>8477</v>
      </c>
      <c r="C26" s="4">
        <f>AVERAGEIF(Item_Purchased,A26, Purchase_Amount__USD)</f>
        <v>60.55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19</vt:i4>
      </vt:variant>
    </vt:vector>
  </HeadingPairs>
  <TitlesOfParts>
    <vt:vector size="34" baseType="lpstr">
      <vt:lpstr>shopping_trends</vt:lpstr>
      <vt:lpstr>Executive Overview</vt:lpstr>
      <vt:lpstr>Customer &amp; Operations Insights</vt:lpstr>
      <vt:lpstr>KPIs</vt:lpstr>
      <vt:lpstr>Category</vt:lpstr>
      <vt:lpstr>Season</vt:lpstr>
      <vt:lpstr>Location Map chart</vt:lpstr>
      <vt:lpstr>Payment Type</vt:lpstr>
      <vt:lpstr>Gender</vt:lpstr>
      <vt:lpstr>Frequency of Purchase</vt:lpstr>
      <vt:lpstr>Subscriber</vt:lpstr>
      <vt:lpstr>Shipping Method</vt:lpstr>
      <vt:lpstr>Product Size</vt:lpstr>
      <vt:lpstr>Discount</vt:lpstr>
      <vt:lpstr>Top 10 Product</vt:lpstr>
      <vt:lpstr>Age</vt:lpstr>
      <vt:lpstr>Category</vt:lpstr>
      <vt:lpstr>Color</vt:lpstr>
      <vt:lpstr>Customer_ID</vt:lpstr>
      <vt:lpstr>Discount_Applied</vt:lpstr>
      <vt:lpstr>Frequency_of_Purchases</vt:lpstr>
      <vt:lpstr>Gender</vt:lpstr>
      <vt:lpstr>Item_Purchased</vt:lpstr>
      <vt:lpstr>Location</vt:lpstr>
      <vt:lpstr>Payment_Method</vt:lpstr>
      <vt:lpstr>Preferred_Payment_Method</vt:lpstr>
      <vt:lpstr>Previous_Purchases</vt:lpstr>
      <vt:lpstr>Promo_Code_Used</vt:lpstr>
      <vt:lpstr>Purchase_Amount__USD</vt:lpstr>
      <vt:lpstr>Review_Rating</vt:lpstr>
      <vt:lpstr>Season</vt:lpstr>
      <vt:lpstr>Shipping_Type</vt:lpstr>
      <vt:lpstr>Size</vt:lpstr>
      <vt:lpstr>Subscription_Status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nadanee</dc:creator>
  <cp:lastModifiedBy>Nadani Abbas</cp:lastModifiedBy>
  <dcterms:created xsi:type="dcterms:W3CDTF">2026-01-05T05:28:39Z</dcterms:created>
  <dcterms:modified xsi:type="dcterms:W3CDTF">2026-01-06T23:02:35Z</dcterms:modified>
</cp:coreProperties>
</file>